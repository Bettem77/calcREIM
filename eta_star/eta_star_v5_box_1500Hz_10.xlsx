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Box\Personal\01_Study\03_Paper\02_2nd paper\Experiment\01_Ediss_Powder_Damper_test\Box\"/>
    </mc:Choice>
  </mc:AlternateContent>
  <xr:revisionPtr revIDLastSave="0" documentId="13_ncr:1_{363A68D0-C5D9-4A13-89A6-3508553290E1}" xr6:coauthVersionLast="47" xr6:coauthVersionMax="47" xr10:uidLastSave="{00000000-0000-0000-0000-000000000000}"/>
  <bookViews>
    <workbookView xWindow="735" yWindow="735" windowWidth="21600" windowHeight="11295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514" i="3" l="1"/>
  <c r="D514" i="3"/>
  <c r="B515" i="3"/>
  <c r="D515" i="3"/>
  <c r="B516" i="3"/>
  <c r="D516" i="3"/>
  <c r="B517" i="3"/>
  <c r="D517" i="3"/>
  <c r="B518" i="3"/>
  <c r="D518" i="3"/>
  <c r="B519" i="3"/>
  <c r="D519" i="3"/>
  <c r="B520" i="3"/>
  <c r="D520" i="3"/>
  <c r="B521" i="3"/>
  <c r="D521" i="3"/>
  <c r="B522" i="3"/>
  <c r="D522" i="3"/>
  <c r="B523" i="3"/>
  <c r="D523" i="3"/>
  <c r="B524" i="3"/>
  <c r="D524" i="3"/>
  <c r="B525" i="3"/>
  <c r="D525" i="3"/>
  <c r="B526" i="3"/>
  <c r="D526" i="3"/>
  <c r="B527" i="3"/>
  <c r="D527" i="3"/>
  <c r="B528" i="3"/>
  <c r="D528" i="3"/>
  <c r="B529" i="3"/>
  <c r="D529" i="3"/>
  <c r="B530" i="3"/>
  <c r="D530" i="3"/>
  <c r="B531" i="3"/>
  <c r="D531" i="3"/>
  <c r="B532" i="3"/>
  <c r="D532" i="3"/>
  <c r="B533" i="3"/>
  <c r="D533" i="3"/>
  <c r="B534" i="3"/>
  <c r="D534" i="3"/>
  <c r="B535" i="3"/>
  <c r="D535" i="3"/>
  <c r="B536" i="3"/>
  <c r="D536" i="3"/>
  <c r="B537" i="3"/>
  <c r="D537" i="3"/>
  <c r="B538" i="3"/>
  <c r="D538" i="3"/>
  <c r="B539" i="3"/>
  <c r="D539" i="3"/>
  <c r="B540" i="3"/>
  <c r="D540" i="3"/>
  <c r="B541" i="3"/>
  <c r="D541" i="3"/>
  <c r="B542" i="3"/>
  <c r="D542" i="3"/>
  <c r="B543" i="3"/>
  <c r="D543" i="3"/>
  <c r="B544" i="3"/>
  <c r="D544" i="3"/>
  <c r="B545" i="3"/>
  <c r="D545" i="3"/>
  <c r="B546" i="3"/>
  <c r="D546" i="3"/>
  <c r="B547" i="3"/>
  <c r="D547" i="3"/>
  <c r="B548" i="3"/>
  <c r="D548" i="3"/>
  <c r="B549" i="3"/>
  <c r="D549" i="3"/>
  <c r="B550" i="3"/>
  <c r="D550" i="3"/>
  <c r="B551" i="3"/>
  <c r="D551" i="3"/>
  <c r="B552" i="3"/>
  <c r="D552" i="3"/>
  <c r="B553" i="3"/>
  <c r="D553" i="3"/>
  <c r="B554" i="3"/>
  <c r="D554" i="3"/>
  <c r="B555" i="3"/>
  <c r="D555" i="3"/>
  <c r="B556" i="3"/>
  <c r="D556" i="3"/>
  <c r="B557" i="3"/>
  <c r="D557" i="3"/>
  <c r="B558" i="3"/>
  <c r="D558" i="3"/>
  <c r="B559" i="3"/>
  <c r="D559" i="3"/>
  <c r="B560" i="3"/>
  <c r="D560" i="3"/>
  <c r="B561" i="3"/>
  <c r="D561" i="3"/>
  <c r="B562" i="3"/>
  <c r="D562" i="3"/>
  <c r="B563" i="3"/>
  <c r="D563" i="3"/>
  <c r="B564" i="3"/>
  <c r="D564" i="3"/>
  <c r="B565" i="3"/>
  <c r="D565" i="3"/>
  <c r="B566" i="3"/>
  <c r="D566" i="3"/>
  <c r="B567" i="3"/>
  <c r="D567" i="3"/>
  <c r="B568" i="3"/>
  <c r="D568" i="3"/>
  <c r="B569" i="3"/>
  <c r="D569" i="3"/>
  <c r="B570" i="3"/>
  <c r="D570" i="3"/>
  <c r="B571" i="3"/>
  <c r="D571" i="3"/>
  <c r="B572" i="3"/>
  <c r="D572" i="3"/>
  <c r="B573" i="3"/>
  <c r="D573" i="3"/>
  <c r="B574" i="3"/>
  <c r="D574" i="3"/>
  <c r="B575" i="3"/>
  <c r="D575" i="3"/>
  <c r="B576" i="3"/>
  <c r="D576" i="3"/>
  <c r="B577" i="3"/>
  <c r="D577" i="3"/>
  <c r="B578" i="3"/>
  <c r="D578" i="3"/>
  <c r="B579" i="3"/>
  <c r="D579" i="3"/>
  <c r="B580" i="3"/>
  <c r="D580" i="3"/>
  <c r="B581" i="3"/>
  <c r="D581" i="3"/>
  <c r="B582" i="3"/>
  <c r="D582" i="3"/>
  <c r="B583" i="3"/>
  <c r="D583" i="3"/>
  <c r="B584" i="3"/>
  <c r="D584" i="3"/>
  <c r="B585" i="3"/>
  <c r="D585" i="3"/>
  <c r="B586" i="3"/>
  <c r="D586" i="3"/>
  <c r="B587" i="3"/>
  <c r="D587" i="3"/>
  <c r="B588" i="3"/>
  <c r="D588" i="3"/>
  <c r="B589" i="3"/>
  <c r="D589" i="3"/>
  <c r="B590" i="3"/>
  <c r="D590" i="3"/>
  <c r="B591" i="3"/>
  <c r="D591" i="3"/>
  <c r="B592" i="3"/>
  <c r="D592" i="3"/>
  <c r="B593" i="3"/>
  <c r="D593" i="3"/>
  <c r="B594" i="3"/>
  <c r="D594" i="3"/>
  <c r="B595" i="3"/>
  <c r="D595" i="3"/>
  <c r="B596" i="3"/>
  <c r="D596" i="3"/>
  <c r="B597" i="3"/>
  <c r="D597" i="3"/>
  <c r="B598" i="3"/>
  <c r="D598" i="3"/>
  <c r="B599" i="3"/>
  <c r="D599" i="3"/>
  <c r="B600" i="3"/>
  <c r="D600" i="3"/>
  <c r="B601" i="3"/>
  <c r="D601" i="3"/>
  <c r="B602" i="3"/>
  <c r="D602" i="3"/>
  <c r="B603" i="3"/>
  <c r="D603" i="3"/>
  <c r="B604" i="3"/>
  <c r="D604" i="3"/>
  <c r="B605" i="3"/>
  <c r="D605" i="3"/>
  <c r="B606" i="3"/>
  <c r="D606" i="3"/>
  <c r="B607" i="3"/>
  <c r="D607" i="3"/>
  <c r="B608" i="3"/>
  <c r="D608" i="3"/>
  <c r="B609" i="3"/>
  <c r="D609" i="3"/>
  <c r="B610" i="3"/>
  <c r="D610" i="3"/>
  <c r="B611" i="3"/>
  <c r="D611" i="3"/>
  <c r="B612" i="3"/>
  <c r="D612" i="3"/>
  <c r="B613" i="3"/>
  <c r="D613" i="3"/>
  <c r="B614" i="3"/>
  <c r="D614" i="3"/>
  <c r="B615" i="3"/>
  <c r="D615" i="3"/>
  <c r="B616" i="3"/>
  <c r="D616" i="3"/>
  <c r="B617" i="3"/>
  <c r="D617" i="3"/>
  <c r="B618" i="3"/>
  <c r="D618" i="3"/>
  <c r="B619" i="3"/>
  <c r="D619" i="3"/>
  <c r="B620" i="3"/>
  <c r="D620" i="3"/>
  <c r="B621" i="3"/>
  <c r="D621" i="3"/>
  <c r="B622" i="3"/>
  <c r="D622" i="3"/>
  <c r="B623" i="3"/>
  <c r="D623" i="3"/>
  <c r="B624" i="3"/>
  <c r="D624" i="3"/>
  <c r="B625" i="3"/>
  <c r="D625" i="3"/>
  <c r="B626" i="3"/>
  <c r="D626" i="3"/>
  <c r="B627" i="3"/>
  <c r="D627" i="3"/>
  <c r="B628" i="3"/>
  <c r="D628" i="3"/>
  <c r="B629" i="3"/>
  <c r="D629" i="3"/>
  <c r="B630" i="3"/>
  <c r="D630" i="3"/>
  <c r="B631" i="3"/>
  <c r="D631" i="3"/>
  <c r="B632" i="3"/>
  <c r="D632" i="3"/>
  <c r="B633" i="3"/>
  <c r="D633" i="3"/>
  <c r="B634" i="3"/>
  <c r="D634" i="3"/>
  <c r="B635" i="3"/>
  <c r="D635" i="3"/>
  <c r="B636" i="3"/>
  <c r="D636" i="3"/>
  <c r="B637" i="3"/>
  <c r="D637" i="3"/>
  <c r="B638" i="3"/>
  <c r="D638" i="3"/>
  <c r="B639" i="3"/>
  <c r="D639" i="3"/>
  <c r="B640" i="3"/>
  <c r="D640" i="3"/>
  <c r="B641" i="3"/>
  <c r="D641" i="3"/>
  <c r="B642" i="3"/>
  <c r="D642" i="3"/>
  <c r="B643" i="3"/>
  <c r="D643" i="3"/>
  <c r="B644" i="3"/>
  <c r="D644" i="3"/>
  <c r="B645" i="3"/>
  <c r="D645" i="3"/>
  <c r="B646" i="3"/>
  <c r="D646" i="3"/>
  <c r="B647" i="3"/>
  <c r="D647" i="3"/>
  <c r="B648" i="3"/>
  <c r="D648" i="3"/>
  <c r="B649" i="3"/>
  <c r="D649" i="3"/>
  <c r="B650" i="3"/>
  <c r="D650" i="3"/>
  <c r="B651" i="3"/>
  <c r="D651" i="3"/>
  <c r="B652" i="3"/>
  <c r="D652" i="3"/>
  <c r="B653" i="3"/>
  <c r="D653" i="3"/>
  <c r="B654" i="3"/>
  <c r="D654" i="3"/>
  <c r="B655" i="3"/>
  <c r="D655" i="3"/>
  <c r="B656" i="3"/>
  <c r="D656" i="3"/>
  <c r="B657" i="3"/>
  <c r="D657" i="3"/>
  <c r="B658" i="3"/>
  <c r="D658" i="3"/>
  <c r="B659" i="3"/>
  <c r="D659" i="3"/>
  <c r="B660" i="3"/>
  <c r="D660" i="3"/>
  <c r="B661" i="3"/>
  <c r="D661" i="3"/>
  <c r="B662" i="3"/>
  <c r="D662" i="3"/>
  <c r="B663" i="3"/>
  <c r="D663" i="3"/>
  <c r="B664" i="3"/>
  <c r="D664" i="3"/>
  <c r="B665" i="3"/>
  <c r="D665" i="3"/>
  <c r="B666" i="3"/>
  <c r="D666" i="3"/>
  <c r="B667" i="3"/>
  <c r="D667" i="3"/>
  <c r="B668" i="3"/>
  <c r="D668" i="3"/>
  <c r="B669" i="3"/>
  <c r="D669" i="3"/>
  <c r="B670" i="3"/>
  <c r="D670" i="3"/>
  <c r="B671" i="3"/>
  <c r="D671" i="3"/>
  <c r="B672" i="3"/>
  <c r="D672" i="3"/>
  <c r="B673" i="3"/>
  <c r="D673" i="3"/>
  <c r="B674" i="3"/>
  <c r="D674" i="3"/>
  <c r="B675" i="3"/>
  <c r="D675" i="3"/>
  <c r="B676" i="3"/>
  <c r="D676" i="3"/>
  <c r="B677" i="3"/>
  <c r="D677" i="3"/>
  <c r="B678" i="3"/>
  <c r="D678" i="3"/>
  <c r="B679" i="3"/>
  <c r="D679" i="3"/>
  <c r="B680" i="3"/>
  <c r="D680" i="3"/>
  <c r="B681" i="3"/>
  <c r="D681" i="3"/>
  <c r="B682" i="3"/>
  <c r="D682" i="3"/>
  <c r="B683" i="3"/>
  <c r="D683" i="3"/>
  <c r="B684" i="3"/>
  <c r="D684" i="3"/>
  <c r="B685" i="3"/>
  <c r="D685" i="3"/>
  <c r="B686" i="3"/>
  <c r="D686" i="3"/>
  <c r="B687" i="3"/>
  <c r="D687" i="3"/>
  <c r="B688" i="3"/>
  <c r="D688" i="3"/>
  <c r="B689" i="3"/>
  <c r="D689" i="3"/>
  <c r="B690" i="3"/>
  <c r="D690" i="3"/>
  <c r="B691" i="3"/>
  <c r="D691" i="3"/>
  <c r="B692" i="3"/>
  <c r="D692" i="3"/>
  <c r="B693" i="3"/>
  <c r="D693" i="3"/>
  <c r="B694" i="3"/>
  <c r="D694" i="3"/>
  <c r="B695" i="3"/>
  <c r="D695" i="3"/>
  <c r="B696" i="3"/>
  <c r="D696" i="3"/>
  <c r="B697" i="3"/>
  <c r="D697" i="3"/>
  <c r="B698" i="3"/>
  <c r="D698" i="3"/>
  <c r="B699" i="3"/>
  <c r="D699" i="3"/>
  <c r="B700" i="3"/>
  <c r="D700" i="3"/>
  <c r="B701" i="3"/>
  <c r="D701" i="3"/>
  <c r="B702" i="3"/>
  <c r="D702" i="3"/>
  <c r="B703" i="3"/>
  <c r="D703" i="3"/>
  <c r="B704" i="3"/>
  <c r="D704" i="3"/>
  <c r="B705" i="3"/>
  <c r="D705" i="3"/>
  <c r="B706" i="3"/>
  <c r="D706" i="3"/>
  <c r="B707" i="3"/>
  <c r="D707" i="3"/>
  <c r="B708" i="3"/>
  <c r="D708" i="3"/>
  <c r="B709" i="3"/>
  <c r="D709" i="3"/>
  <c r="B710" i="3"/>
  <c r="D710" i="3"/>
  <c r="B711" i="3"/>
  <c r="D711" i="3"/>
  <c r="B712" i="3"/>
  <c r="D712" i="3"/>
  <c r="B713" i="3"/>
  <c r="D713" i="3"/>
  <c r="B714" i="3"/>
  <c r="D714" i="3"/>
  <c r="B715" i="3"/>
  <c r="D715" i="3"/>
  <c r="B716" i="3"/>
  <c r="D716" i="3"/>
  <c r="B717" i="3"/>
  <c r="D717" i="3"/>
  <c r="B718" i="3"/>
  <c r="D718" i="3"/>
  <c r="B719" i="3"/>
  <c r="D719" i="3"/>
  <c r="B720" i="3"/>
  <c r="D720" i="3"/>
  <c r="B721" i="3"/>
  <c r="D721" i="3"/>
  <c r="B722" i="3"/>
  <c r="D722" i="3"/>
  <c r="B723" i="3"/>
  <c r="D723" i="3"/>
  <c r="B724" i="3"/>
  <c r="D724" i="3"/>
  <c r="B725" i="3"/>
  <c r="D725" i="3"/>
  <c r="B726" i="3"/>
  <c r="D726" i="3"/>
  <c r="B727" i="3"/>
  <c r="D727" i="3"/>
  <c r="B728" i="3"/>
  <c r="D728" i="3"/>
  <c r="B729" i="3"/>
  <c r="D729" i="3"/>
  <c r="B730" i="3"/>
  <c r="D730" i="3"/>
  <c r="B731" i="3"/>
  <c r="D731" i="3"/>
  <c r="B732" i="3"/>
  <c r="D732" i="3"/>
  <c r="B733" i="3"/>
  <c r="D733" i="3"/>
  <c r="B734" i="3"/>
  <c r="D734" i="3"/>
  <c r="B735" i="3"/>
  <c r="D735" i="3"/>
  <c r="B736" i="3"/>
  <c r="D736" i="3"/>
  <c r="B737" i="3"/>
  <c r="D737" i="3"/>
  <c r="B738" i="3"/>
  <c r="D738" i="3"/>
  <c r="B739" i="3"/>
  <c r="D739" i="3"/>
  <c r="B740" i="3"/>
  <c r="D740" i="3"/>
  <c r="B741" i="3"/>
  <c r="D741" i="3"/>
  <c r="B742" i="3"/>
  <c r="D742" i="3"/>
  <c r="B743" i="3"/>
  <c r="D743" i="3"/>
  <c r="B744" i="3"/>
  <c r="D744" i="3"/>
  <c r="B745" i="3"/>
  <c r="D745" i="3"/>
  <c r="B746" i="3"/>
  <c r="D746" i="3"/>
  <c r="B747" i="3"/>
  <c r="D747" i="3"/>
  <c r="B748" i="3"/>
  <c r="D748" i="3"/>
  <c r="B749" i="3"/>
  <c r="D749" i="3"/>
  <c r="B750" i="3"/>
  <c r="D750" i="3"/>
  <c r="B751" i="3"/>
  <c r="D751" i="3"/>
  <c r="B752" i="3"/>
  <c r="D752" i="3"/>
  <c r="B753" i="3"/>
  <c r="D753" i="3"/>
  <c r="B754" i="3"/>
  <c r="D754" i="3"/>
  <c r="B755" i="3"/>
  <c r="D755" i="3"/>
  <c r="B756" i="3"/>
  <c r="D756" i="3"/>
  <c r="B757" i="3"/>
  <c r="D757" i="3"/>
  <c r="B758" i="3"/>
  <c r="D758" i="3"/>
  <c r="B759" i="3"/>
  <c r="D759" i="3"/>
  <c r="B760" i="3"/>
  <c r="D760" i="3"/>
  <c r="B761" i="3"/>
  <c r="D761" i="3"/>
  <c r="B762" i="3"/>
  <c r="D762" i="3"/>
  <c r="B763" i="3"/>
  <c r="D763" i="3"/>
  <c r="B764" i="3"/>
  <c r="D764" i="3"/>
  <c r="B765" i="3"/>
  <c r="D765" i="3"/>
  <c r="B766" i="3"/>
  <c r="D766" i="3"/>
  <c r="B767" i="3"/>
  <c r="D767" i="3"/>
  <c r="B768" i="3"/>
  <c r="D768" i="3"/>
  <c r="B769" i="3"/>
  <c r="D769" i="3"/>
  <c r="B770" i="3"/>
  <c r="D770" i="3"/>
  <c r="B771" i="3"/>
  <c r="D771" i="3"/>
  <c r="B772" i="3"/>
  <c r="D772" i="3"/>
  <c r="B773" i="3"/>
  <c r="D773" i="3"/>
  <c r="B774" i="3"/>
  <c r="D774" i="3"/>
  <c r="B775" i="3"/>
  <c r="D775" i="3"/>
  <c r="B776" i="3"/>
  <c r="D776" i="3"/>
  <c r="B777" i="3"/>
  <c r="D777" i="3"/>
  <c r="B778" i="3"/>
  <c r="D778" i="3"/>
  <c r="B779" i="3"/>
  <c r="D779" i="3"/>
  <c r="B780" i="3"/>
  <c r="D780" i="3"/>
  <c r="B781" i="3"/>
  <c r="D781" i="3"/>
  <c r="B782" i="3"/>
  <c r="D782" i="3"/>
  <c r="B783" i="3"/>
  <c r="D783" i="3"/>
  <c r="B784" i="3"/>
  <c r="D784" i="3"/>
  <c r="B785" i="3"/>
  <c r="D785" i="3"/>
  <c r="B786" i="3"/>
  <c r="D786" i="3"/>
  <c r="B787" i="3"/>
  <c r="D787" i="3"/>
  <c r="B788" i="3"/>
  <c r="D788" i="3"/>
  <c r="B789" i="3"/>
  <c r="D789" i="3"/>
  <c r="B790" i="3"/>
  <c r="D790" i="3"/>
  <c r="B791" i="3"/>
  <c r="D791" i="3"/>
  <c r="B792" i="3"/>
  <c r="D792" i="3"/>
  <c r="B793" i="3"/>
  <c r="D793" i="3"/>
  <c r="B794" i="3"/>
  <c r="D794" i="3"/>
  <c r="B795" i="3"/>
  <c r="D795" i="3"/>
  <c r="B796" i="3"/>
  <c r="D796" i="3"/>
  <c r="B797" i="3"/>
  <c r="D797" i="3"/>
  <c r="B798" i="3"/>
  <c r="D798" i="3"/>
  <c r="B799" i="3"/>
  <c r="D799" i="3"/>
  <c r="B800" i="3"/>
  <c r="D800" i="3"/>
  <c r="B801" i="3"/>
  <c r="D801" i="3"/>
  <c r="B802" i="3"/>
  <c r="D802" i="3"/>
  <c r="B803" i="3"/>
  <c r="D803" i="3"/>
  <c r="B804" i="3"/>
  <c r="D804" i="3"/>
  <c r="B805" i="3"/>
  <c r="D805" i="3"/>
  <c r="B806" i="3"/>
  <c r="D806" i="3"/>
  <c r="B807" i="3"/>
  <c r="D807" i="3"/>
  <c r="B808" i="3"/>
  <c r="D808" i="3"/>
  <c r="B809" i="3"/>
  <c r="D809" i="3"/>
  <c r="B810" i="3"/>
  <c r="D810" i="3"/>
  <c r="B811" i="3"/>
  <c r="D811" i="3"/>
  <c r="B812" i="3"/>
  <c r="D812" i="3"/>
  <c r="B813" i="3"/>
  <c r="D813" i="3"/>
  <c r="B814" i="3"/>
  <c r="D814" i="3"/>
  <c r="B815" i="3"/>
  <c r="D815" i="3"/>
  <c r="B816" i="3"/>
  <c r="D816" i="3"/>
  <c r="B817" i="3"/>
  <c r="D817" i="3"/>
  <c r="B818" i="3"/>
  <c r="D818" i="3"/>
  <c r="B819" i="3"/>
  <c r="D819" i="3"/>
  <c r="B820" i="3"/>
  <c r="D820" i="3"/>
  <c r="B821" i="3"/>
  <c r="D821" i="3"/>
  <c r="B822" i="3"/>
  <c r="D822" i="3"/>
  <c r="B823" i="3"/>
  <c r="D823" i="3"/>
  <c r="B824" i="3"/>
  <c r="D824" i="3"/>
  <c r="B825" i="3"/>
  <c r="D825" i="3"/>
  <c r="B826" i="3"/>
  <c r="D826" i="3"/>
  <c r="B827" i="3"/>
  <c r="D827" i="3"/>
  <c r="B828" i="3"/>
  <c r="D828" i="3"/>
  <c r="B829" i="3"/>
  <c r="D829" i="3"/>
  <c r="B830" i="3"/>
  <c r="D830" i="3"/>
  <c r="B831" i="3"/>
  <c r="D831" i="3"/>
  <c r="B832" i="3"/>
  <c r="D832" i="3"/>
  <c r="B833" i="3"/>
  <c r="D833" i="3"/>
  <c r="B834" i="3"/>
  <c r="D834" i="3"/>
  <c r="B835" i="3"/>
  <c r="D835" i="3"/>
  <c r="B836" i="3"/>
  <c r="D836" i="3"/>
  <c r="B837" i="3"/>
  <c r="D837" i="3"/>
  <c r="B838" i="3"/>
  <c r="D838" i="3"/>
  <c r="B839" i="3"/>
  <c r="D839" i="3"/>
  <c r="B840" i="3"/>
  <c r="D840" i="3"/>
  <c r="B841" i="3"/>
  <c r="D841" i="3"/>
  <c r="B842" i="3"/>
  <c r="D842" i="3"/>
  <c r="B843" i="3"/>
  <c r="D843" i="3"/>
  <c r="B844" i="3"/>
  <c r="D844" i="3"/>
  <c r="B845" i="3"/>
  <c r="D845" i="3"/>
  <c r="B846" i="3"/>
  <c r="D846" i="3"/>
  <c r="B847" i="3"/>
  <c r="D847" i="3"/>
  <c r="B848" i="3"/>
  <c r="D848" i="3"/>
  <c r="B849" i="3"/>
  <c r="D849" i="3"/>
  <c r="B850" i="3"/>
  <c r="D850" i="3"/>
  <c r="B851" i="3"/>
  <c r="D851" i="3"/>
  <c r="B852" i="3"/>
  <c r="D852" i="3"/>
  <c r="B853" i="3"/>
  <c r="D853" i="3"/>
  <c r="B854" i="3"/>
  <c r="D854" i="3"/>
  <c r="B855" i="3"/>
  <c r="D855" i="3"/>
  <c r="B856" i="3"/>
  <c r="D856" i="3"/>
  <c r="B857" i="3"/>
  <c r="D857" i="3"/>
  <c r="B858" i="3"/>
  <c r="D858" i="3"/>
  <c r="B859" i="3"/>
  <c r="D859" i="3"/>
  <c r="B860" i="3"/>
  <c r="D860" i="3"/>
  <c r="B861" i="3"/>
  <c r="D861" i="3"/>
  <c r="B862" i="3"/>
  <c r="D862" i="3"/>
  <c r="B863" i="3"/>
  <c r="D863" i="3"/>
  <c r="B864" i="3"/>
  <c r="D864" i="3"/>
  <c r="B865" i="3"/>
  <c r="D865" i="3"/>
  <c r="B866" i="3"/>
  <c r="D866" i="3"/>
  <c r="B867" i="3"/>
  <c r="D867" i="3"/>
  <c r="B868" i="3"/>
  <c r="D868" i="3"/>
  <c r="B869" i="3"/>
  <c r="D869" i="3"/>
  <c r="B870" i="3"/>
  <c r="D870" i="3"/>
  <c r="B871" i="3"/>
  <c r="D871" i="3"/>
  <c r="B872" i="3"/>
  <c r="D872" i="3"/>
  <c r="B873" i="3"/>
  <c r="D873" i="3"/>
  <c r="B874" i="3"/>
  <c r="D874" i="3"/>
  <c r="B875" i="3"/>
  <c r="D875" i="3"/>
  <c r="B876" i="3"/>
  <c r="D876" i="3"/>
  <c r="B877" i="3"/>
  <c r="D877" i="3"/>
  <c r="B878" i="3"/>
  <c r="D878" i="3"/>
  <c r="B879" i="3"/>
  <c r="D879" i="3"/>
  <c r="B880" i="3"/>
  <c r="D880" i="3"/>
  <c r="B881" i="3"/>
  <c r="D881" i="3"/>
  <c r="B882" i="3"/>
  <c r="D882" i="3"/>
  <c r="B883" i="3"/>
  <c r="D883" i="3"/>
  <c r="B884" i="3"/>
  <c r="D884" i="3"/>
  <c r="B885" i="3"/>
  <c r="D885" i="3"/>
  <c r="B886" i="3"/>
  <c r="D886" i="3"/>
  <c r="B887" i="3"/>
  <c r="D887" i="3"/>
  <c r="B888" i="3"/>
  <c r="D888" i="3"/>
  <c r="B889" i="3"/>
  <c r="D889" i="3"/>
  <c r="B890" i="3"/>
  <c r="D890" i="3"/>
  <c r="B891" i="3"/>
  <c r="D891" i="3"/>
  <c r="B892" i="3"/>
  <c r="D892" i="3"/>
  <c r="B893" i="3"/>
  <c r="D893" i="3"/>
  <c r="B894" i="3"/>
  <c r="D894" i="3"/>
  <c r="B895" i="3"/>
  <c r="D895" i="3"/>
  <c r="B896" i="3"/>
  <c r="D896" i="3"/>
  <c r="B897" i="3"/>
  <c r="D897" i="3"/>
  <c r="B898" i="3"/>
  <c r="D898" i="3"/>
  <c r="B899" i="3"/>
  <c r="D899" i="3"/>
  <c r="B900" i="3"/>
  <c r="D900" i="3"/>
  <c r="B901" i="3"/>
  <c r="D901" i="3"/>
  <c r="B902" i="3"/>
  <c r="D902" i="3"/>
  <c r="B903" i="3"/>
  <c r="D903" i="3"/>
  <c r="B904" i="3"/>
  <c r="D904" i="3"/>
  <c r="B905" i="3"/>
  <c r="D905" i="3"/>
  <c r="B906" i="3"/>
  <c r="D906" i="3"/>
  <c r="B907" i="3"/>
  <c r="D907" i="3"/>
  <c r="B908" i="3"/>
  <c r="D908" i="3"/>
  <c r="B909" i="3"/>
  <c r="D909" i="3"/>
  <c r="B910" i="3"/>
  <c r="D910" i="3"/>
  <c r="B911" i="3"/>
  <c r="D911" i="3"/>
  <c r="B912" i="3"/>
  <c r="D912" i="3"/>
  <c r="B913" i="3"/>
  <c r="D913" i="3"/>
  <c r="B914" i="3"/>
  <c r="D914" i="3"/>
  <c r="B915" i="3"/>
  <c r="D915" i="3"/>
  <c r="B916" i="3"/>
  <c r="D916" i="3"/>
  <c r="B917" i="3"/>
  <c r="D917" i="3"/>
  <c r="B918" i="3"/>
  <c r="D918" i="3"/>
  <c r="B919" i="3"/>
  <c r="D919" i="3"/>
  <c r="B920" i="3"/>
  <c r="D920" i="3"/>
  <c r="B921" i="3"/>
  <c r="D921" i="3"/>
  <c r="B922" i="3"/>
  <c r="D922" i="3"/>
  <c r="B923" i="3"/>
  <c r="D923" i="3"/>
  <c r="B924" i="3"/>
  <c r="D924" i="3"/>
  <c r="B925" i="3"/>
  <c r="D925" i="3"/>
  <c r="B926" i="3"/>
  <c r="D926" i="3"/>
  <c r="B927" i="3"/>
  <c r="D927" i="3"/>
  <c r="B928" i="3"/>
  <c r="D928" i="3"/>
  <c r="B929" i="3"/>
  <c r="D929" i="3"/>
  <c r="B930" i="3"/>
  <c r="D930" i="3"/>
  <c r="B931" i="3"/>
  <c r="D931" i="3"/>
  <c r="B932" i="3"/>
  <c r="D932" i="3"/>
  <c r="B933" i="3"/>
  <c r="D933" i="3"/>
  <c r="B934" i="3"/>
  <c r="D934" i="3"/>
  <c r="B935" i="3"/>
  <c r="D935" i="3"/>
  <c r="B936" i="3"/>
  <c r="D936" i="3"/>
  <c r="B937" i="3"/>
  <c r="D937" i="3"/>
  <c r="B938" i="3"/>
  <c r="D938" i="3"/>
  <c r="B939" i="3"/>
  <c r="D939" i="3"/>
  <c r="B940" i="3"/>
  <c r="D940" i="3"/>
  <c r="B941" i="3"/>
  <c r="D941" i="3"/>
  <c r="B942" i="3"/>
  <c r="D942" i="3"/>
  <c r="B943" i="3"/>
  <c r="D943" i="3"/>
  <c r="B944" i="3"/>
  <c r="D944" i="3"/>
  <c r="B945" i="3"/>
  <c r="D945" i="3"/>
  <c r="B946" i="3"/>
  <c r="D946" i="3"/>
  <c r="B947" i="3"/>
  <c r="D947" i="3"/>
  <c r="B948" i="3"/>
  <c r="D948" i="3"/>
  <c r="B949" i="3"/>
  <c r="D949" i="3"/>
  <c r="B950" i="3"/>
  <c r="D950" i="3"/>
  <c r="B951" i="3"/>
  <c r="D951" i="3"/>
  <c r="B952" i="3"/>
  <c r="D952" i="3"/>
  <c r="B953" i="3"/>
  <c r="D953" i="3"/>
  <c r="B954" i="3"/>
  <c r="D954" i="3"/>
  <c r="B955" i="3"/>
  <c r="D955" i="3"/>
  <c r="B956" i="3"/>
  <c r="D956" i="3"/>
  <c r="B957" i="3"/>
  <c r="D957" i="3"/>
  <c r="B958" i="3"/>
  <c r="D958" i="3"/>
  <c r="B959" i="3"/>
  <c r="D959" i="3"/>
  <c r="B960" i="3"/>
  <c r="D960" i="3"/>
  <c r="B961" i="3"/>
  <c r="D961" i="3"/>
  <c r="B962" i="3"/>
  <c r="D962" i="3"/>
  <c r="B963" i="3"/>
  <c r="D963" i="3"/>
  <c r="B964" i="3"/>
  <c r="D964" i="3"/>
  <c r="B965" i="3"/>
  <c r="D965" i="3"/>
  <c r="B966" i="3"/>
  <c r="D966" i="3"/>
  <c r="B967" i="3"/>
  <c r="D967" i="3"/>
  <c r="B968" i="3"/>
  <c r="D968" i="3"/>
  <c r="B969" i="3"/>
  <c r="D969" i="3"/>
  <c r="B970" i="3"/>
  <c r="D970" i="3"/>
  <c r="B971" i="3"/>
  <c r="D971" i="3"/>
  <c r="B972" i="3"/>
  <c r="D972" i="3"/>
  <c r="B973" i="3"/>
  <c r="D973" i="3"/>
  <c r="B974" i="3"/>
  <c r="D974" i="3"/>
  <c r="B975" i="3"/>
  <c r="D975" i="3"/>
  <c r="B976" i="3"/>
  <c r="D976" i="3"/>
  <c r="B977" i="3"/>
  <c r="D977" i="3"/>
  <c r="B978" i="3"/>
  <c r="D978" i="3"/>
  <c r="B979" i="3"/>
  <c r="D979" i="3"/>
  <c r="B980" i="3"/>
  <c r="D980" i="3"/>
  <c r="B981" i="3"/>
  <c r="D981" i="3"/>
  <c r="B982" i="3"/>
  <c r="D982" i="3"/>
  <c r="B983" i="3"/>
  <c r="D983" i="3"/>
  <c r="B984" i="3"/>
  <c r="D984" i="3"/>
  <c r="B985" i="3"/>
  <c r="D985" i="3"/>
  <c r="B986" i="3"/>
  <c r="D986" i="3"/>
  <c r="B987" i="3"/>
  <c r="D987" i="3"/>
  <c r="B988" i="3"/>
  <c r="D988" i="3"/>
  <c r="B989" i="3"/>
  <c r="D989" i="3"/>
  <c r="B990" i="3"/>
  <c r="D990" i="3"/>
  <c r="B991" i="3"/>
  <c r="D991" i="3"/>
  <c r="B992" i="3"/>
  <c r="D992" i="3"/>
  <c r="B993" i="3"/>
  <c r="D993" i="3"/>
  <c r="B994" i="3"/>
  <c r="D994" i="3"/>
  <c r="B995" i="3"/>
  <c r="D995" i="3"/>
  <c r="B996" i="3"/>
  <c r="D996" i="3"/>
  <c r="B997" i="3"/>
  <c r="D997" i="3"/>
  <c r="B998" i="3"/>
  <c r="D998" i="3"/>
  <c r="B999" i="3"/>
  <c r="D999" i="3"/>
  <c r="B1000" i="3"/>
  <c r="D1000" i="3"/>
  <c r="B1001" i="3"/>
  <c r="D1001" i="3"/>
  <c r="B1002" i="3"/>
  <c r="D1002" i="3"/>
  <c r="B1003" i="3"/>
  <c r="D1003" i="3"/>
  <c r="B1004" i="3"/>
  <c r="D1004" i="3"/>
  <c r="B1005" i="3"/>
  <c r="D1005" i="3"/>
  <c r="B1006" i="3"/>
  <c r="D1006" i="3"/>
  <c r="B1007" i="3"/>
  <c r="D1007" i="3"/>
  <c r="B1008" i="3"/>
  <c r="D1008" i="3"/>
  <c r="B1009" i="3"/>
  <c r="D1009" i="3"/>
  <c r="B1010" i="3"/>
  <c r="D1010" i="3"/>
  <c r="B1011" i="3"/>
  <c r="D1011" i="3"/>
  <c r="B1012" i="3"/>
  <c r="D1012" i="3"/>
  <c r="B1013" i="3"/>
  <c r="D1013" i="3"/>
  <c r="B1014" i="3"/>
  <c r="D1014" i="3"/>
  <c r="B1015" i="3"/>
  <c r="D1015" i="3"/>
  <c r="B1016" i="3"/>
  <c r="D1016" i="3"/>
  <c r="B1017" i="3"/>
  <c r="D1017" i="3"/>
  <c r="B1018" i="3"/>
  <c r="D1018" i="3"/>
  <c r="B1019" i="3"/>
  <c r="D1019" i="3"/>
  <c r="B1020" i="3"/>
  <c r="D1020" i="3"/>
  <c r="B1021" i="3"/>
  <c r="D1021" i="3"/>
  <c r="B1022" i="3"/>
  <c r="D1022" i="3"/>
  <c r="B1023" i="3"/>
  <c r="D1023" i="3"/>
  <c r="B1024" i="3"/>
  <c r="D1024" i="3"/>
  <c r="B1025" i="3"/>
  <c r="D1025" i="3"/>
  <c r="B1026" i="3"/>
  <c r="D1026" i="3"/>
  <c r="B1027" i="3"/>
  <c r="D1027" i="3"/>
  <c r="B1028" i="3"/>
  <c r="D1028" i="3"/>
  <c r="B1029" i="3"/>
  <c r="D1029" i="3"/>
  <c r="B1030" i="3"/>
  <c r="D1030" i="3"/>
  <c r="B1031" i="3"/>
  <c r="D1031" i="3"/>
  <c r="B1032" i="3"/>
  <c r="D1032" i="3"/>
  <c r="B1033" i="3"/>
  <c r="D1033" i="3"/>
  <c r="B1034" i="3"/>
  <c r="D1034" i="3"/>
  <c r="B1035" i="3"/>
  <c r="D1035" i="3"/>
  <c r="B1036" i="3"/>
  <c r="D1036" i="3"/>
  <c r="B1037" i="3"/>
  <c r="D1037" i="3"/>
  <c r="B1038" i="3"/>
  <c r="D1038" i="3"/>
  <c r="B1039" i="3"/>
  <c r="D1039" i="3"/>
  <c r="B1040" i="3"/>
  <c r="D1040" i="3"/>
  <c r="B1041" i="3"/>
  <c r="D1041" i="3"/>
  <c r="B1042" i="3"/>
  <c r="D1042" i="3"/>
  <c r="B1043" i="3"/>
  <c r="D1043" i="3"/>
  <c r="B1044" i="3"/>
  <c r="D1044" i="3"/>
  <c r="B1045" i="3"/>
  <c r="D1045" i="3"/>
  <c r="B1046" i="3"/>
  <c r="D1046" i="3"/>
  <c r="B1047" i="3"/>
  <c r="D1047" i="3"/>
  <c r="B1048" i="3"/>
  <c r="D1048" i="3"/>
  <c r="B1049" i="3"/>
  <c r="D1049" i="3"/>
  <c r="B1050" i="3"/>
  <c r="D1050" i="3"/>
  <c r="B1051" i="3"/>
  <c r="D1051" i="3"/>
  <c r="B1052" i="3"/>
  <c r="D1052" i="3"/>
  <c r="B1053" i="3"/>
  <c r="D1053" i="3"/>
  <c r="B1054" i="3"/>
  <c r="D1054" i="3"/>
  <c r="B1055" i="3"/>
  <c r="D1055" i="3"/>
  <c r="B1056" i="3"/>
  <c r="D1056" i="3"/>
  <c r="B1057" i="3"/>
  <c r="D1057" i="3"/>
  <c r="B1058" i="3"/>
  <c r="D1058" i="3"/>
  <c r="B1059" i="3"/>
  <c r="D1059" i="3"/>
  <c r="B1060" i="3"/>
  <c r="D1060" i="3"/>
  <c r="B1061" i="3"/>
  <c r="D1061" i="3"/>
  <c r="B1062" i="3"/>
  <c r="D1062" i="3"/>
  <c r="B1063" i="3"/>
  <c r="D1063" i="3"/>
  <c r="B1064" i="3"/>
  <c r="D1064" i="3"/>
  <c r="B1065" i="3"/>
  <c r="D1065" i="3"/>
  <c r="B1066" i="3"/>
  <c r="D1066" i="3"/>
  <c r="B1067" i="3"/>
  <c r="D1067" i="3"/>
  <c r="B1068" i="3"/>
  <c r="D1068" i="3"/>
  <c r="B1069" i="3"/>
  <c r="D1069" i="3"/>
  <c r="B1070" i="3"/>
  <c r="D1070" i="3"/>
  <c r="B1071" i="3"/>
  <c r="D1071" i="3"/>
  <c r="B1072" i="3"/>
  <c r="D1072" i="3"/>
  <c r="B1073" i="3"/>
  <c r="D1073" i="3"/>
  <c r="B1074" i="3"/>
  <c r="D1074" i="3"/>
  <c r="B1075" i="3"/>
  <c r="D1075" i="3"/>
  <c r="B1076" i="3"/>
  <c r="D1076" i="3"/>
  <c r="B1077" i="3"/>
  <c r="D1077" i="3"/>
  <c r="B1078" i="3"/>
  <c r="D1078" i="3"/>
  <c r="B1079" i="3"/>
  <c r="D1079" i="3"/>
  <c r="B1080" i="3"/>
  <c r="D1080" i="3"/>
  <c r="B1081" i="3"/>
  <c r="D1081" i="3"/>
  <c r="B1082" i="3"/>
  <c r="D1082" i="3"/>
  <c r="B1083" i="3"/>
  <c r="D1083" i="3"/>
  <c r="B1084" i="3"/>
  <c r="D1084" i="3"/>
  <c r="B1085" i="3"/>
  <c r="D1085" i="3"/>
  <c r="B1086" i="3"/>
  <c r="D1086" i="3"/>
  <c r="B1087" i="3"/>
  <c r="D1087" i="3"/>
  <c r="B1088" i="3"/>
  <c r="D1088" i="3"/>
  <c r="B1089" i="3"/>
  <c r="D1089" i="3"/>
  <c r="B1090" i="3"/>
  <c r="D1090" i="3"/>
  <c r="B1091" i="3"/>
  <c r="D1091" i="3"/>
  <c r="B1092" i="3"/>
  <c r="D1092" i="3"/>
  <c r="B1093" i="3"/>
  <c r="D1093" i="3"/>
  <c r="B1094" i="3"/>
  <c r="D1094" i="3"/>
  <c r="B1095" i="3"/>
  <c r="D1095" i="3"/>
  <c r="B1096" i="3"/>
  <c r="D1096" i="3"/>
  <c r="B1097" i="3"/>
  <c r="D1097" i="3"/>
  <c r="B1098" i="3"/>
  <c r="D1098" i="3"/>
  <c r="B1099" i="3"/>
  <c r="D1099" i="3"/>
  <c r="B1100" i="3"/>
  <c r="D1100" i="3"/>
  <c r="B1101" i="3"/>
  <c r="D1101" i="3"/>
  <c r="B1102" i="3"/>
  <c r="D1102" i="3"/>
  <c r="B1103" i="3"/>
  <c r="D1103" i="3"/>
  <c r="B1104" i="3"/>
  <c r="D1104" i="3"/>
  <c r="B1105" i="3"/>
  <c r="D1105" i="3"/>
  <c r="B1106" i="3"/>
  <c r="D1106" i="3"/>
  <c r="B1107" i="3"/>
  <c r="D1107" i="3"/>
  <c r="B1108" i="3"/>
  <c r="D1108" i="3"/>
  <c r="B1109" i="3"/>
  <c r="D1109" i="3"/>
  <c r="B1110" i="3"/>
  <c r="D1110" i="3"/>
  <c r="B1111" i="3"/>
  <c r="D1111" i="3"/>
  <c r="B1112" i="3"/>
  <c r="D1112" i="3"/>
  <c r="B1113" i="3"/>
  <c r="D1113" i="3"/>
  <c r="B1114" i="3"/>
  <c r="D1114" i="3"/>
  <c r="B1115" i="3"/>
  <c r="D1115" i="3"/>
  <c r="B1116" i="3"/>
  <c r="D1116" i="3"/>
  <c r="B1117" i="3"/>
  <c r="D1117" i="3"/>
  <c r="B1118" i="3"/>
  <c r="D1118" i="3"/>
  <c r="B1119" i="3"/>
  <c r="D1119" i="3"/>
  <c r="B1120" i="3"/>
  <c r="D1120" i="3"/>
  <c r="B1121" i="3"/>
  <c r="D1121" i="3"/>
  <c r="B1122" i="3"/>
  <c r="D1122" i="3"/>
  <c r="B1123" i="3"/>
  <c r="D1123" i="3"/>
  <c r="B1124" i="3"/>
  <c r="D1124" i="3"/>
  <c r="B1125" i="3"/>
  <c r="D1125" i="3"/>
  <c r="B1126" i="3"/>
  <c r="D1126" i="3"/>
  <c r="B1127" i="3"/>
  <c r="D1127" i="3"/>
  <c r="B1128" i="3"/>
  <c r="D1128" i="3"/>
  <c r="B1129" i="3"/>
  <c r="D1129" i="3"/>
  <c r="B1130" i="3"/>
  <c r="D1130" i="3"/>
  <c r="B1131" i="3"/>
  <c r="D1131" i="3"/>
  <c r="B1132" i="3"/>
  <c r="D1132" i="3"/>
  <c r="B1133" i="3"/>
  <c r="D1133" i="3"/>
  <c r="B1134" i="3"/>
  <c r="D1134" i="3"/>
  <c r="B1135" i="3"/>
  <c r="D1135" i="3"/>
  <c r="B1136" i="3"/>
  <c r="D1136" i="3"/>
  <c r="B1137" i="3"/>
  <c r="D1137" i="3"/>
  <c r="B1138" i="3"/>
  <c r="D1138" i="3"/>
  <c r="B1139" i="3"/>
  <c r="D1139" i="3"/>
  <c r="B1140" i="3"/>
  <c r="D1140" i="3"/>
  <c r="B1141" i="3"/>
  <c r="D1141" i="3"/>
  <c r="B1142" i="3"/>
  <c r="D1142" i="3"/>
  <c r="B1143" i="3"/>
  <c r="D1143" i="3"/>
  <c r="B1144" i="3"/>
  <c r="D1144" i="3"/>
  <c r="B1145" i="3"/>
  <c r="D1145" i="3"/>
  <c r="B1146" i="3"/>
  <c r="D1146" i="3"/>
  <c r="B1147" i="3"/>
  <c r="D1147" i="3"/>
  <c r="B1148" i="3"/>
  <c r="D1148" i="3"/>
  <c r="B1149" i="3"/>
  <c r="D1149" i="3"/>
  <c r="B1150" i="3"/>
  <c r="D1150" i="3"/>
  <c r="B1151" i="3"/>
  <c r="D1151" i="3"/>
  <c r="B1152" i="3"/>
  <c r="D1152" i="3"/>
  <c r="B1153" i="3"/>
  <c r="D1153" i="3"/>
  <c r="B1154" i="3"/>
  <c r="D1154" i="3"/>
  <c r="B1155" i="3"/>
  <c r="D1155" i="3"/>
  <c r="B1156" i="3"/>
  <c r="D1156" i="3"/>
  <c r="B1157" i="3"/>
  <c r="D1157" i="3"/>
  <c r="B1158" i="3"/>
  <c r="D1158" i="3"/>
  <c r="B1159" i="3"/>
  <c r="D1159" i="3"/>
  <c r="B1160" i="3"/>
  <c r="D1160" i="3"/>
  <c r="B1161" i="3"/>
  <c r="D1161" i="3"/>
  <c r="B1162" i="3"/>
  <c r="D1162" i="3"/>
  <c r="B1163" i="3"/>
  <c r="D1163" i="3"/>
  <c r="B1164" i="3"/>
  <c r="D1164" i="3"/>
  <c r="B1165" i="3"/>
  <c r="D1165" i="3"/>
  <c r="B1166" i="3"/>
  <c r="D1166" i="3"/>
  <c r="B1167" i="3"/>
  <c r="D1167" i="3"/>
  <c r="B1168" i="3"/>
  <c r="D1168" i="3"/>
  <c r="B1169" i="3"/>
  <c r="D1169" i="3"/>
  <c r="B1170" i="3"/>
  <c r="D1170" i="3"/>
  <c r="B1171" i="3"/>
  <c r="D1171" i="3"/>
  <c r="B1172" i="3"/>
  <c r="D1172" i="3"/>
  <c r="B1173" i="3"/>
  <c r="D1173" i="3"/>
  <c r="B1174" i="3"/>
  <c r="D1174" i="3"/>
  <c r="B1175" i="3"/>
  <c r="D1175" i="3"/>
  <c r="B1176" i="3"/>
  <c r="D1176" i="3"/>
  <c r="B1177" i="3"/>
  <c r="D1177" i="3"/>
  <c r="B1178" i="3"/>
  <c r="D1178" i="3"/>
  <c r="B1179" i="3"/>
  <c r="D1179" i="3"/>
  <c r="B1180" i="3"/>
  <c r="D1180" i="3"/>
  <c r="B1181" i="3"/>
  <c r="D1181" i="3"/>
  <c r="B1182" i="3"/>
  <c r="D1182" i="3"/>
  <c r="B1183" i="3"/>
  <c r="D1183" i="3"/>
  <c r="B1184" i="3"/>
  <c r="D1184" i="3"/>
  <c r="B1185" i="3"/>
  <c r="D1185" i="3"/>
  <c r="B1186" i="3"/>
  <c r="D1186" i="3"/>
  <c r="B1187" i="3"/>
  <c r="D1187" i="3"/>
  <c r="B1188" i="3"/>
  <c r="D1188" i="3"/>
  <c r="B1189" i="3"/>
  <c r="D1189" i="3"/>
  <c r="B1190" i="3"/>
  <c r="D1190" i="3"/>
  <c r="B1191" i="3"/>
  <c r="D1191" i="3"/>
  <c r="B1192" i="3"/>
  <c r="D1192" i="3"/>
  <c r="B1193" i="3"/>
  <c r="D1193" i="3"/>
  <c r="B1194" i="3"/>
  <c r="D1194" i="3"/>
  <c r="B1195" i="3"/>
  <c r="D1195" i="3"/>
  <c r="B1196" i="3"/>
  <c r="D1196" i="3"/>
  <c r="B1197" i="3"/>
  <c r="D1197" i="3"/>
  <c r="B1198" i="3"/>
  <c r="D1198" i="3"/>
  <c r="B1199" i="3"/>
  <c r="D1199" i="3"/>
  <c r="B1200" i="3"/>
  <c r="D1200" i="3"/>
  <c r="B1201" i="3"/>
  <c r="D1201" i="3"/>
  <c r="B1202" i="3"/>
  <c r="D1202" i="3"/>
  <c r="B1203" i="3"/>
  <c r="D1203" i="3"/>
  <c r="B1204" i="3"/>
  <c r="D1204" i="3"/>
  <c r="B1205" i="3"/>
  <c r="D1205" i="3"/>
  <c r="B1206" i="3"/>
  <c r="D1206" i="3"/>
  <c r="B1207" i="3"/>
  <c r="D1207" i="3"/>
  <c r="B1208" i="3"/>
  <c r="D1208" i="3"/>
  <c r="B1209" i="3"/>
  <c r="D1209" i="3"/>
  <c r="B1210" i="3"/>
  <c r="D1210" i="3"/>
  <c r="B1211" i="3"/>
  <c r="D1211" i="3"/>
  <c r="B1212" i="3"/>
  <c r="D1212" i="3"/>
  <c r="B1213" i="3"/>
  <c r="D1213" i="3"/>
  <c r="B1214" i="3"/>
  <c r="D1214" i="3"/>
  <c r="B1215" i="3"/>
  <c r="D1215" i="3"/>
  <c r="B1216" i="3"/>
  <c r="D1216" i="3"/>
  <c r="B1217" i="3"/>
  <c r="D1217" i="3"/>
  <c r="B1218" i="3"/>
  <c r="D1218" i="3"/>
  <c r="B1219" i="3"/>
  <c r="D1219" i="3"/>
  <c r="B1220" i="3"/>
  <c r="D1220" i="3"/>
  <c r="B1221" i="3"/>
  <c r="D1221" i="3"/>
  <c r="B1222" i="3"/>
  <c r="D1222" i="3"/>
  <c r="B1223" i="3"/>
  <c r="D1223" i="3"/>
  <c r="B1224" i="3"/>
  <c r="D1224" i="3"/>
  <c r="B1225" i="3"/>
  <c r="D1225" i="3"/>
  <c r="B1226" i="3"/>
  <c r="D1226" i="3"/>
  <c r="B1227" i="3"/>
  <c r="D1227" i="3"/>
  <c r="B1228" i="3"/>
  <c r="D1228" i="3"/>
  <c r="B1229" i="3"/>
  <c r="D1229" i="3"/>
  <c r="B1230" i="3"/>
  <c r="D1230" i="3"/>
  <c r="B1231" i="3"/>
  <c r="D1231" i="3"/>
  <c r="B1232" i="3"/>
  <c r="D1232" i="3"/>
  <c r="B1233" i="3"/>
  <c r="D1233" i="3"/>
  <c r="B1234" i="3"/>
  <c r="D1234" i="3"/>
  <c r="B1235" i="3"/>
  <c r="D1235" i="3"/>
  <c r="B1236" i="3"/>
  <c r="D1236" i="3"/>
  <c r="B1237" i="3"/>
  <c r="D1237" i="3"/>
  <c r="B1238" i="3"/>
  <c r="D1238" i="3"/>
  <c r="B1239" i="3"/>
  <c r="D1239" i="3"/>
  <c r="B1240" i="3"/>
  <c r="D1240" i="3"/>
  <c r="B1241" i="3"/>
  <c r="D1241" i="3"/>
  <c r="B1242" i="3"/>
  <c r="D1242" i="3"/>
  <c r="B1243" i="3"/>
  <c r="D1243" i="3"/>
  <c r="B1244" i="3"/>
  <c r="D1244" i="3"/>
  <c r="B1245" i="3"/>
  <c r="D1245" i="3"/>
  <c r="B1246" i="3"/>
  <c r="D1246" i="3"/>
  <c r="B1247" i="3"/>
  <c r="D1247" i="3"/>
  <c r="B1248" i="3"/>
  <c r="D1248" i="3"/>
  <c r="B1249" i="3"/>
  <c r="D1249" i="3"/>
  <c r="B1250" i="3"/>
  <c r="D1250" i="3"/>
  <c r="B1251" i="3"/>
  <c r="D1251" i="3"/>
  <c r="B1252" i="3"/>
  <c r="D1252" i="3"/>
  <c r="B1253" i="3"/>
  <c r="D1253" i="3"/>
  <c r="B1254" i="3"/>
  <c r="D1254" i="3"/>
  <c r="B1255" i="3"/>
  <c r="D1255" i="3"/>
  <c r="B1256" i="3"/>
  <c r="D1256" i="3"/>
  <c r="B1257" i="3"/>
  <c r="D1257" i="3"/>
  <c r="B1258" i="3"/>
  <c r="D1258" i="3"/>
  <c r="B1259" i="3"/>
  <c r="D1259" i="3"/>
  <c r="B1260" i="3"/>
  <c r="D1260" i="3"/>
  <c r="B1261" i="3"/>
  <c r="D1261" i="3"/>
  <c r="B1262" i="3"/>
  <c r="D1262" i="3"/>
  <c r="B1263" i="3"/>
  <c r="D1263" i="3"/>
  <c r="B1264" i="3"/>
  <c r="D1264" i="3"/>
  <c r="B1265" i="3"/>
  <c r="D1265" i="3"/>
  <c r="B1266" i="3"/>
  <c r="D1266" i="3"/>
  <c r="B1267" i="3"/>
  <c r="D1267" i="3"/>
  <c r="B1268" i="3"/>
  <c r="D1268" i="3"/>
  <c r="B1269" i="3"/>
  <c r="D1269" i="3"/>
  <c r="B1270" i="3"/>
  <c r="D1270" i="3"/>
  <c r="B1271" i="3"/>
  <c r="D1271" i="3"/>
  <c r="B1272" i="3"/>
  <c r="D1272" i="3"/>
  <c r="B1273" i="3"/>
  <c r="D1273" i="3"/>
  <c r="B1274" i="3"/>
  <c r="D1274" i="3"/>
  <c r="B1275" i="3"/>
  <c r="D1275" i="3"/>
  <c r="B1276" i="3"/>
  <c r="D1276" i="3"/>
  <c r="B1277" i="3"/>
  <c r="D1277" i="3"/>
  <c r="B1278" i="3"/>
  <c r="D1278" i="3"/>
  <c r="B1279" i="3"/>
  <c r="D1279" i="3"/>
  <c r="B1280" i="3"/>
  <c r="D1280" i="3"/>
  <c r="B1281" i="3"/>
  <c r="D1281" i="3"/>
  <c r="B1282" i="3"/>
  <c r="D1282" i="3"/>
  <c r="B1283" i="3"/>
  <c r="D1283" i="3"/>
  <c r="B1284" i="3"/>
  <c r="D1284" i="3"/>
  <c r="B1285" i="3"/>
  <c r="D1285" i="3"/>
  <c r="B1286" i="3"/>
  <c r="D1286" i="3"/>
  <c r="B1287" i="3"/>
  <c r="D1287" i="3"/>
  <c r="B1288" i="3"/>
  <c r="D1288" i="3"/>
  <c r="B1289" i="3"/>
  <c r="D1289" i="3"/>
  <c r="B1290" i="3"/>
  <c r="D1290" i="3"/>
  <c r="B1291" i="3"/>
  <c r="D1291" i="3"/>
  <c r="B1292" i="3"/>
  <c r="D1292" i="3"/>
  <c r="B1293" i="3"/>
  <c r="D1293" i="3"/>
  <c r="B1294" i="3"/>
  <c r="D1294" i="3"/>
  <c r="B1295" i="3"/>
  <c r="D1295" i="3"/>
  <c r="B1296" i="3"/>
  <c r="D1296" i="3"/>
  <c r="B1297" i="3"/>
  <c r="D1297" i="3"/>
  <c r="B1298" i="3"/>
  <c r="D1298" i="3"/>
  <c r="B1299" i="3"/>
  <c r="D1299" i="3"/>
  <c r="B1300" i="3"/>
  <c r="D1300" i="3"/>
  <c r="B1301" i="3"/>
  <c r="D1301" i="3"/>
  <c r="B1302" i="3"/>
  <c r="D1302" i="3"/>
  <c r="B1303" i="3"/>
  <c r="D1303" i="3"/>
  <c r="B1304" i="3"/>
  <c r="D1304" i="3"/>
  <c r="B1305" i="3"/>
  <c r="D1305" i="3"/>
  <c r="B1306" i="3"/>
  <c r="D1306" i="3"/>
  <c r="B1307" i="3"/>
  <c r="D1307" i="3"/>
  <c r="B1308" i="3"/>
  <c r="D1308" i="3"/>
  <c r="B1309" i="3"/>
  <c r="D1309" i="3"/>
  <c r="B1310" i="3"/>
  <c r="D1310" i="3"/>
  <c r="B1311" i="3"/>
  <c r="D1311" i="3"/>
  <c r="B1312" i="3"/>
  <c r="D1312" i="3"/>
  <c r="B1313" i="3"/>
  <c r="D1313" i="3"/>
  <c r="B1314" i="3"/>
  <c r="D1314" i="3"/>
  <c r="B1315" i="3"/>
  <c r="D1315" i="3"/>
  <c r="B1316" i="3"/>
  <c r="D1316" i="3"/>
  <c r="B1317" i="3"/>
  <c r="D1317" i="3"/>
  <c r="B1318" i="3"/>
  <c r="D1318" i="3"/>
  <c r="B1319" i="3"/>
  <c r="D1319" i="3"/>
  <c r="B1320" i="3"/>
  <c r="D1320" i="3"/>
  <c r="B1321" i="3"/>
  <c r="D1321" i="3"/>
  <c r="B1322" i="3"/>
  <c r="D1322" i="3"/>
  <c r="B1323" i="3"/>
  <c r="D1323" i="3"/>
  <c r="B1324" i="3"/>
  <c r="D1324" i="3"/>
  <c r="B1325" i="3"/>
  <c r="D1325" i="3"/>
  <c r="B1326" i="3"/>
  <c r="D1326" i="3"/>
  <c r="B1327" i="3"/>
  <c r="D1327" i="3"/>
  <c r="B1328" i="3"/>
  <c r="D1328" i="3"/>
  <c r="B1329" i="3"/>
  <c r="D1329" i="3"/>
  <c r="B1330" i="3"/>
  <c r="D1330" i="3"/>
  <c r="B1331" i="3"/>
  <c r="D1331" i="3"/>
  <c r="B1332" i="3"/>
  <c r="D1332" i="3"/>
  <c r="B1333" i="3"/>
  <c r="D1333" i="3"/>
  <c r="B1334" i="3"/>
  <c r="D1334" i="3"/>
  <c r="B1335" i="3"/>
  <c r="D1335" i="3"/>
  <c r="B1336" i="3"/>
  <c r="D1336" i="3"/>
  <c r="B1337" i="3"/>
  <c r="D1337" i="3"/>
  <c r="B1338" i="3"/>
  <c r="D1338" i="3"/>
  <c r="B1339" i="3"/>
  <c r="D1339" i="3"/>
  <c r="B1340" i="3"/>
  <c r="D1340" i="3"/>
  <c r="B1341" i="3"/>
  <c r="D1341" i="3"/>
  <c r="B1342" i="3"/>
  <c r="D1342" i="3"/>
  <c r="B1343" i="3"/>
  <c r="D1343" i="3"/>
  <c r="B1344" i="3"/>
  <c r="D1344" i="3"/>
  <c r="B1345" i="3"/>
  <c r="D1345" i="3"/>
  <c r="B1346" i="3"/>
  <c r="D1346" i="3"/>
  <c r="B1347" i="3"/>
  <c r="D1347" i="3"/>
  <c r="B1348" i="3"/>
  <c r="D1348" i="3"/>
  <c r="B1349" i="3"/>
  <c r="D1349" i="3"/>
  <c r="B1350" i="3"/>
  <c r="D1350" i="3"/>
  <c r="B1351" i="3"/>
  <c r="D1351" i="3"/>
  <c r="B1352" i="3"/>
  <c r="D1352" i="3"/>
  <c r="B1353" i="3"/>
  <c r="D1353" i="3"/>
  <c r="B1354" i="3"/>
  <c r="D1354" i="3"/>
  <c r="B1355" i="3"/>
  <c r="D1355" i="3"/>
  <c r="B1356" i="3"/>
  <c r="D1356" i="3"/>
  <c r="B1357" i="3"/>
  <c r="D1357" i="3"/>
  <c r="B1358" i="3"/>
  <c r="D1358" i="3"/>
  <c r="B1359" i="3"/>
  <c r="D1359" i="3"/>
  <c r="B1360" i="3"/>
  <c r="D1360" i="3"/>
  <c r="B1361" i="3"/>
  <c r="D1361" i="3"/>
  <c r="B1362" i="3"/>
  <c r="D1362" i="3"/>
  <c r="B1363" i="3"/>
  <c r="D1363" i="3"/>
  <c r="B1364" i="3"/>
  <c r="D1364" i="3"/>
  <c r="B1365" i="3"/>
  <c r="D1365" i="3"/>
  <c r="B1366" i="3"/>
  <c r="D1366" i="3"/>
  <c r="B1367" i="3"/>
  <c r="D1367" i="3"/>
  <c r="B1368" i="3"/>
  <c r="D1368" i="3"/>
  <c r="B1369" i="3"/>
  <c r="D1369" i="3"/>
  <c r="B1370" i="3"/>
  <c r="D1370" i="3"/>
  <c r="B1371" i="3"/>
  <c r="D1371" i="3"/>
  <c r="B1372" i="3"/>
  <c r="D1372" i="3"/>
  <c r="B1373" i="3"/>
  <c r="D1373" i="3"/>
  <c r="B1374" i="3"/>
  <c r="D1374" i="3"/>
  <c r="B1375" i="3"/>
  <c r="D1375" i="3"/>
  <c r="B1376" i="3"/>
  <c r="D1376" i="3"/>
  <c r="B1377" i="3"/>
  <c r="D1377" i="3"/>
  <c r="B1378" i="3"/>
  <c r="D1378" i="3"/>
  <c r="B1379" i="3"/>
  <c r="D1379" i="3"/>
  <c r="B1380" i="3"/>
  <c r="D1380" i="3"/>
  <c r="B1381" i="3"/>
  <c r="D1381" i="3"/>
  <c r="B1382" i="3"/>
  <c r="D1382" i="3"/>
  <c r="B1383" i="3"/>
  <c r="D1383" i="3"/>
  <c r="B1384" i="3"/>
  <c r="D1384" i="3"/>
  <c r="B1385" i="3"/>
  <c r="D1385" i="3"/>
  <c r="B1386" i="3"/>
  <c r="D1386" i="3"/>
  <c r="B1387" i="3"/>
  <c r="D1387" i="3"/>
  <c r="B1388" i="3"/>
  <c r="D1388" i="3"/>
  <c r="B1389" i="3"/>
  <c r="D1389" i="3"/>
  <c r="B1390" i="3"/>
  <c r="D1390" i="3"/>
  <c r="B1391" i="3"/>
  <c r="D1391" i="3"/>
  <c r="B1392" i="3"/>
  <c r="D1392" i="3"/>
  <c r="B1393" i="3"/>
  <c r="D1393" i="3"/>
  <c r="B1394" i="3"/>
  <c r="D1394" i="3"/>
  <c r="B1395" i="3"/>
  <c r="D1395" i="3"/>
  <c r="B1396" i="3"/>
  <c r="D1396" i="3"/>
  <c r="B1397" i="3"/>
  <c r="D1397" i="3"/>
  <c r="B1398" i="3"/>
  <c r="D1398" i="3"/>
  <c r="B1399" i="3"/>
  <c r="D1399" i="3"/>
  <c r="B1400" i="3"/>
  <c r="D1400" i="3"/>
  <c r="B1401" i="3"/>
  <c r="D1401" i="3"/>
  <c r="B1402" i="3"/>
  <c r="D1402" i="3"/>
  <c r="B1403" i="3"/>
  <c r="D1403" i="3"/>
  <c r="B1404" i="3"/>
  <c r="D1404" i="3"/>
  <c r="B1405" i="3"/>
  <c r="D1405" i="3"/>
  <c r="B1406" i="3"/>
  <c r="D1406" i="3"/>
  <c r="B1407" i="3"/>
  <c r="D1407" i="3"/>
  <c r="B1408" i="3"/>
  <c r="D1408" i="3"/>
  <c r="B1409" i="3"/>
  <c r="D1409" i="3"/>
  <c r="B1410" i="3"/>
  <c r="D1410" i="3"/>
  <c r="B1411" i="3"/>
  <c r="D1411" i="3"/>
  <c r="B1412" i="3"/>
  <c r="D1412" i="3"/>
  <c r="B1413" i="3"/>
  <c r="D1413" i="3"/>
  <c r="B1414" i="3"/>
  <c r="D1414" i="3"/>
  <c r="B1415" i="3"/>
  <c r="D1415" i="3"/>
  <c r="B1416" i="3"/>
  <c r="D1416" i="3"/>
  <c r="B1417" i="3"/>
  <c r="D1417" i="3"/>
  <c r="B1418" i="3"/>
  <c r="D1418" i="3"/>
  <c r="B1419" i="3"/>
  <c r="D1419" i="3"/>
  <c r="B1420" i="3"/>
  <c r="D1420" i="3"/>
  <c r="B1421" i="3"/>
  <c r="D1421" i="3"/>
  <c r="B1422" i="3"/>
  <c r="D1422" i="3"/>
  <c r="B1423" i="3"/>
  <c r="D1423" i="3"/>
  <c r="B1424" i="3"/>
  <c r="D1424" i="3"/>
  <c r="B1425" i="3"/>
  <c r="D1425" i="3"/>
  <c r="B1426" i="3"/>
  <c r="D1426" i="3"/>
  <c r="B1427" i="3"/>
  <c r="D1427" i="3"/>
  <c r="B1428" i="3"/>
  <c r="D1428" i="3"/>
  <c r="B1429" i="3"/>
  <c r="D1429" i="3"/>
  <c r="B1430" i="3"/>
  <c r="D1430" i="3"/>
  <c r="B1431" i="3"/>
  <c r="D1431" i="3"/>
  <c r="B1432" i="3"/>
  <c r="D1432" i="3"/>
  <c r="B1433" i="3"/>
  <c r="D1433" i="3"/>
  <c r="B1434" i="3"/>
  <c r="D1434" i="3"/>
  <c r="B1435" i="3"/>
  <c r="D1435" i="3"/>
  <c r="B1436" i="3"/>
  <c r="D1436" i="3"/>
  <c r="B1437" i="3"/>
  <c r="D1437" i="3"/>
  <c r="B1438" i="3"/>
  <c r="D1438" i="3"/>
  <c r="B1439" i="3"/>
  <c r="D1439" i="3"/>
  <c r="B1440" i="3"/>
  <c r="D1440" i="3"/>
  <c r="B1441" i="3"/>
  <c r="D1441" i="3"/>
  <c r="B1442" i="3"/>
  <c r="D1442" i="3"/>
  <c r="B1443" i="3"/>
  <c r="D1443" i="3"/>
  <c r="B1444" i="3"/>
  <c r="D1444" i="3"/>
  <c r="B1445" i="3"/>
  <c r="D1445" i="3"/>
  <c r="B1446" i="3"/>
  <c r="D1446" i="3"/>
  <c r="B1447" i="3"/>
  <c r="D1447" i="3"/>
  <c r="B1448" i="3"/>
  <c r="D1448" i="3"/>
  <c r="B1449" i="3"/>
  <c r="D1449" i="3"/>
  <c r="B1450" i="3"/>
  <c r="D1450" i="3"/>
  <c r="B1451" i="3"/>
  <c r="D1451" i="3"/>
  <c r="B1452" i="3"/>
  <c r="D1452" i="3"/>
  <c r="B1453" i="3"/>
  <c r="D1453" i="3"/>
  <c r="B1454" i="3"/>
  <c r="D1454" i="3"/>
  <c r="B1455" i="3"/>
  <c r="D1455" i="3"/>
  <c r="B1456" i="3"/>
  <c r="D1456" i="3"/>
  <c r="B1457" i="3"/>
  <c r="D1457" i="3"/>
  <c r="B1458" i="3"/>
  <c r="D1458" i="3"/>
  <c r="B1459" i="3"/>
  <c r="D1459" i="3"/>
  <c r="B1460" i="3"/>
  <c r="D1460" i="3"/>
  <c r="B1461" i="3"/>
  <c r="D1461" i="3"/>
  <c r="B1462" i="3"/>
  <c r="D1462" i="3"/>
  <c r="B1463" i="3"/>
  <c r="D1463" i="3"/>
  <c r="B1464" i="3"/>
  <c r="D1464" i="3"/>
  <c r="B1465" i="3"/>
  <c r="D1465" i="3"/>
  <c r="B1466" i="3"/>
  <c r="D1466" i="3"/>
  <c r="B1467" i="3"/>
  <c r="D1467" i="3"/>
  <c r="B1468" i="3"/>
  <c r="D1468" i="3"/>
  <c r="B1469" i="3"/>
  <c r="D1469" i="3"/>
  <c r="B1470" i="3"/>
  <c r="D1470" i="3"/>
  <c r="B1471" i="3"/>
  <c r="D1471" i="3"/>
  <c r="B1472" i="3"/>
  <c r="D1472" i="3"/>
  <c r="B1473" i="3"/>
  <c r="D1473" i="3"/>
  <c r="B1474" i="3"/>
  <c r="D1474" i="3"/>
  <c r="B1475" i="3"/>
  <c r="D1475" i="3"/>
  <c r="B1476" i="3"/>
  <c r="D1476" i="3"/>
  <c r="B1477" i="3"/>
  <c r="D1477" i="3"/>
  <c r="B1478" i="3"/>
  <c r="D1478" i="3"/>
  <c r="B1479" i="3"/>
  <c r="D1479" i="3"/>
  <c r="B1480" i="3"/>
  <c r="D1480" i="3"/>
  <c r="B1481" i="3"/>
  <c r="D1481" i="3"/>
  <c r="B1482" i="3"/>
  <c r="D1482" i="3"/>
  <c r="B1483" i="3"/>
  <c r="D1483" i="3"/>
  <c r="B1484" i="3"/>
  <c r="D1484" i="3"/>
  <c r="B1485" i="3"/>
  <c r="D1485" i="3"/>
  <c r="B1486" i="3"/>
  <c r="D1486" i="3"/>
  <c r="B1487" i="3"/>
  <c r="D1487" i="3"/>
  <c r="B1488" i="3"/>
  <c r="D1488" i="3"/>
  <c r="B1489" i="3"/>
  <c r="D1489" i="3"/>
  <c r="B1490" i="3"/>
  <c r="D1490" i="3"/>
  <c r="B1491" i="3"/>
  <c r="D1491" i="3"/>
  <c r="B1492" i="3"/>
  <c r="D1492" i="3"/>
  <c r="B1493" i="3"/>
  <c r="D1493" i="3"/>
  <c r="B1494" i="3"/>
  <c r="D1494" i="3"/>
  <c r="B1495" i="3"/>
  <c r="D1495" i="3"/>
  <c r="B1496" i="3"/>
  <c r="D1496" i="3"/>
  <c r="B1497" i="3"/>
  <c r="D1497" i="3"/>
  <c r="B1498" i="3"/>
  <c r="D1498" i="3"/>
  <c r="B1499" i="3"/>
  <c r="D1499" i="3"/>
  <c r="B1500" i="3"/>
  <c r="D1500" i="3"/>
  <c r="B1501" i="3"/>
  <c r="D1501" i="3"/>
  <c r="B1502" i="3"/>
  <c r="D1502" i="3"/>
  <c r="B1503" i="3"/>
  <c r="D1503" i="3"/>
  <c r="B1504" i="3"/>
  <c r="D1504" i="3"/>
  <c r="B1505" i="3"/>
  <c r="D1505" i="3"/>
  <c r="B1506" i="3"/>
  <c r="D1506" i="3"/>
  <c r="B1507" i="3"/>
  <c r="D1507" i="3"/>
  <c r="B1508" i="3"/>
  <c r="D1508" i="3"/>
  <c r="B1509" i="3"/>
  <c r="D1509" i="3"/>
  <c r="B1510" i="3"/>
  <c r="D1510" i="3"/>
  <c r="B1511" i="3"/>
  <c r="D1511" i="3"/>
  <c r="B1512" i="3"/>
  <c r="D1512" i="3"/>
  <c r="B1513" i="3"/>
  <c r="D1513" i="3"/>
  <c r="B1514" i="3"/>
  <c r="D1514" i="3"/>
  <c r="B1515" i="3"/>
  <c r="D1515" i="3"/>
  <c r="B1516" i="3"/>
  <c r="D1516" i="3"/>
  <c r="B1517" i="3"/>
  <c r="D1517" i="3"/>
  <c r="B1518" i="3"/>
  <c r="D1518" i="3"/>
  <c r="B1519" i="3"/>
  <c r="D1519" i="3"/>
  <c r="B1520" i="3"/>
  <c r="D1520" i="3"/>
  <c r="B1521" i="3"/>
  <c r="D1521" i="3"/>
  <c r="B1522" i="3"/>
  <c r="D1522" i="3"/>
  <c r="B1523" i="3"/>
  <c r="D1523" i="3"/>
  <c r="B1524" i="3"/>
  <c r="D1524" i="3"/>
  <c r="B1525" i="3"/>
  <c r="D1525" i="3"/>
  <c r="B1526" i="3"/>
  <c r="D1526" i="3"/>
  <c r="B1527" i="3"/>
  <c r="D1527" i="3"/>
  <c r="B1528" i="3"/>
  <c r="D1528" i="3"/>
  <c r="B1529" i="3"/>
  <c r="D1529" i="3"/>
  <c r="B1530" i="3"/>
  <c r="D1530" i="3"/>
  <c r="B1531" i="3"/>
  <c r="D1531" i="3"/>
  <c r="B1532" i="3"/>
  <c r="D1532" i="3"/>
  <c r="B1533" i="3"/>
  <c r="D1533" i="3"/>
  <c r="B1534" i="3"/>
  <c r="D1534" i="3"/>
  <c r="B1535" i="3"/>
  <c r="D1535" i="3"/>
  <c r="B1536" i="3"/>
  <c r="D1536" i="3"/>
  <c r="B1537" i="3"/>
  <c r="D1537" i="3"/>
  <c r="B1538" i="3"/>
  <c r="D1538" i="3"/>
  <c r="B1539" i="3"/>
  <c r="D1539" i="3"/>
  <c r="B1540" i="3"/>
  <c r="D1540" i="3"/>
  <c r="B1541" i="3"/>
  <c r="D1541" i="3"/>
  <c r="B1542" i="3"/>
  <c r="D1542" i="3"/>
  <c r="B1543" i="3"/>
  <c r="D1543" i="3"/>
  <c r="B1544" i="3"/>
  <c r="D1544" i="3"/>
  <c r="B1545" i="3"/>
  <c r="D1545" i="3"/>
  <c r="B1546" i="3"/>
  <c r="D1546" i="3"/>
  <c r="B1547" i="3"/>
  <c r="D1547" i="3"/>
  <c r="B1548" i="3"/>
  <c r="D1548" i="3"/>
  <c r="B1549" i="3"/>
  <c r="D1549" i="3"/>
  <c r="B1550" i="3"/>
  <c r="D1550" i="3"/>
  <c r="B1551" i="3"/>
  <c r="D1551" i="3"/>
  <c r="B1552" i="3"/>
  <c r="D1552" i="3"/>
  <c r="B1553" i="3"/>
  <c r="D1553" i="3"/>
  <c r="B1554" i="3"/>
  <c r="D1554" i="3"/>
  <c r="B1555" i="3"/>
  <c r="D1555" i="3"/>
  <c r="B1556" i="3"/>
  <c r="D1556" i="3"/>
  <c r="B1557" i="3"/>
  <c r="D1557" i="3"/>
  <c r="B1558" i="3"/>
  <c r="D1558" i="3"/>
  <c r="B1559" i="3"/>
  <c r="D1559" i="3"/>
  <c r="B1560" i="3"/>
  <c r="D1560" i="3"/>
  <c r="B1561" i="3"/>
  <c r="D1561" i="3"/>
  <c r="B1562" i="3"/>
  <c r="D1562" i="3"/>
  <c r="B1563" i="3"/>
  <c r="D1563" i="3"/>
  <c r="B1564" i="3"/>
  <c r="D1564" i="3"/>
  <c r="B1565" i="3"/>
  <c r="D1565" i="3"/>
  <c r="B1566" i="3"/>
  <c r="D1566" i="3"/>
  <c r="B1567" i="3"/>
  <c r="D1567" i="3"/>
  <c r="B1568" i="3"/>
  <c r="D1568" i="3"/>
  <c r="B1569" i="3"/>
  <c r="D1569" i="3"/>
  <c r="B1570" i="3"/>
  <c r="D1570" i="3"/>
  <c r="B1571" i="3"/>
  <c r="D1571" i="3"/>
  <c r="B1572" i="3"/>
  <c r="D1572" i="3"/>
  <c r="B1573" i="3"/>
  <c r="D1573" i="3"/>
  <c r="B1574" i="3"/>
  <c r="D1574" i="3"/>
  <c r="B1575" i="3"/>
  <c r="D1575" i="3"/>
  <c r="B1576" i="3"/>
  <c r="D1576" i="3"/>
  <c r="B1577" i="3"/>
  <c r="D1577" i="3"/>
  <c r="B1578" i="3"/>
  <c r="D1578" i="3"/>
  <c r="B1579" i="3"/>
  <c r="D1579" i="3"/>
  <c r="B1580" i="3"/>
  <c r="D1580" i="3"/>
  <c r="B1581" i="3"/>
  <c r="D1581" i="3"/>
  <c r="B1582" i="3"/>
  <c r="D1582" i="3"/>
  <c r="B1583" i="3"/>
  <c r="D1583" i="3"/>
  <c r="B1584" i="3"/>
  <c r="D1584" i="3"/>
  <c r="B1585" i="3"/>
  <c r="D1585" i="3"/>
  <c r="B1586" i="3"/>
  <c r="D1586" i="3"/>
  <c r="B1587" i="3"/>
  <c r="D1587" i="3"/>
  <c r="B1588" i="3"/>
  <c r="D1588" i="3"/>
  <c r="B1589" i="3"/>
  <c r="D1589" i="3"/>
  <c r="B1590" i="3"/>
  <c r="D1590" i="3"/>
  <c r="B1591" i="3"/>
  <c r="D1591" i="3"/>
  <c r="B1592" i="3"/>
  <c r="D1592" i="3"/>
  <c r="B1593" i="3"/>
  <c r="D1593" i="3"/>
  <c r="B1594" i="3"/>
  <c r="D1594" i="3"/>
  <c r="B1595" i="3"/>
  <c r="D1595" i="3"/>
  <c r="B1596" i="3"/>
  <c r="D1596" i="3"/>
  <c r="B1597" i="3"/>
  <c r="D1597" i="3"/>
  <c r="B1598" i="3"/>
  <c r="D1598" i="3"/>
  <c r="B1599" i="3"/>
  <c r="D1599" i="3"/>
  <c r="B1600" i="3"/>
  <c r="D1600" i="3"/>
  <c r="B1601" i="3"/>
  <c r="D1601" i="3"/>
  <c r="B1602" i="3"/>
  <c r="D1602" i="3"/>
  <c r="B1603" i="3"/>
  <c r="D1603" i="3"/>
  <c r="B1604" i="3"/>
  <c r="D1604" i="3"/>
  <c r="B1605" i="3"/>
  <c r="D1605" i="3"/>
  <c r="B1606" i="3"/>
  <c r="D1606" i="3"/>
  <c r="B1607" i="3"/>
  <c r="D1607" i="3"/>
  <c r="B1608" i="3"/>
  <c r="D1608" i="3"/>
  <c r="B1609" i="3"/>
  <c r="D1609" i="3"/>
  <c r="B1610" i="3"/>
  <c r="D1610" i="3"/>
  <c r="B1611" i="3"/>
  <c r="D1611" i="3"/>
  <c r="B1612" i="3"/>
  <c r="D1612" i="3"/>
  <c r="B1613" i="3"/>
  <c r="D1613" i="3"/>
  <c r="B1614" i="3"/>
  <c r="D1614" i="3"/>
  <c r="B1615" i="3"/>
  <c r="D1615" i="3"/>
  <c r="B1616" i="3"/>
  <c r="D1616" i="3"/>
  <c r="B1617" i="3"/>
  <c r="D1617" i="3"/>
  <c r="B1618" i="3"/>
  <c r="D1618" i="3"/>
  <c r="B1619" i="3"/>
  <c r="D1619" i="3"/>
  <c r="B1620" i="3"/>
  <c r="D1620" i="3"/>
  <c r="B1621" i="3"/>
  <c r="D1621" i="3"/>
  <c r="B1622" i="3"/>
  <c r="D1622" i="3"/>
  <c r="B1623" i="3"/>
  <c r="D1623" i="3"/>
  <c r="B1624" i="3"/>
  <c r="D1624" i="3"/>
  <c r="B1625" i="3"/>
  <c r="D1625" i="3"/>
  <c r="B1626" i="3"/>
  <c r="D1626" i="3"/>
  <c r="B1627" i="3"/>
  <c r="D1627" i="3"/>
  <c r="B1628" i="3"/>
  <c r="D1628" i="3"/>
  <c r="B1629" i="3"/>
  <c r="D1629" i="3"/>
  <c r="B1630" i="3"/>
  <c r="D1630" i="3"/>
  <c r="B1631" i="3"/>
  <c r="D1631" i="3"/>
  <c r="B1632" i="3"/>
  <c r="D1632" i="3"/>
  <c r="B1633" i="3"/>
  <c r="D1633" i="3"/>
  <c r="B1634" i="3"/>
  <c r="D1634" i="3"/>
  <c r="B1635" i="3"/>
  <c r="D1635" i="3"/>
  <c r="B1636" i="3"/>
  <c r="D1636" i="3"/>
  <c r="B1637" i="3"/>
  <c r="D1637" i="3"/>
  <c r="B1638" i="3"/>
  <c r="D1638" i="3"/>
  <c r="B1639" i="3"/>
  <c r="D1639" i="3"/>
  <c r="B1640" i="3"/>
  <c r="D1640" i="3"/>
  <c r="B1641" i="3"/>
  <c r="D1641" i="3"/>
  <c r="B1642" i="3"/>
  <c r="D1642" i="3"/>
  <c r="B1643" i="3"/>
  <c r="D1643" i="3"/>
  <c r="B1644" i="3"/>
  <c r="D1644" i="3"/>
  <c r="B1645" i="3"/>
  <c r="D1645" i="3"/>
  <c r="B1646" i="3"/>
  <c r="D1646" i="3"/>
  <c r="B1647" i="3"/>
  <c r="D1647" i="3"/>
  <c r="B1648" i="3"/>
  <c r="D1648" i="3"/>
  <c r="B1649" i="3"/>
  <c r="D1649" i="3"/>
  <c r="B1650" i="3"/>
  <c r="D1650" i="3"/>
  <c r="B1651" i="3"/>
  <c r="D1651" i="3"/>
  <c r="B1652" i="3"/>
  <c r="D1652" i="3"/>
  <c r="B1653" i="3"/>
  <c r="D1653" i="3"/>
  <c r="B1654" i="3"/>
  <c r="D1654" i="3"/>
  <c r="B1655" i="3"/>
  <c r="D1655" i="3"/>
  <c r="B1656" i="3"/>
  <c r="D1656" i="3"/>
  <c r="B1657" i="3"/>
  <c r="D1657" i="3"/>
  <c r="B1658" i="3"/>
  <c r="D1658" i="3"/>
  <c r="B1659" i="3"/>
  <c r="D1659" i="3"/>
  <c r="B1660" i="3"/>
  <c r="D1660" i="3"/>
  <c r="B1661" i="3"/>
  <c r="D1661" i="3"/>
  <c r="B1662" i="3"/>
  <c r="D1662" i="3"/>
  <c r="B1663" i="3"/>
  <c r="D1663" i="3"/>
  <c r="B1664" i="3"/>
  <c r="D1664" i="3"/>
  <c r="B1665" i="3"/>
  <c r="D1665" i="3"/>
  <c r="B1666" i="3"/>
  <c r="D1666" i="3"/>
  <c r="B1667" i="3"/>
  <c r="D1667" i="3"/>
  <c r="B1668" i="3"/>
  <c r="D1668" i="3"/>
  <c r="B1669" i="3"/>
  <c r="D1669" i="3"/>
  <c r="B1670" i="3"/>
  <c r="D1670" i="3"/>
  <c r="B1671" i="3"/>
  <c r="D1671" i="3"/>
  <c r="B1672" i="3"/>
  <c r="D1672" i="3"/>
  <c r="B1673" i="3"/>
  <c r="D1673" i="3"/>
  <c r="B1674" i="3"/>
  <c r="D1674" i="3"/>
  <c r="B1675" i="3"/>
  <c r="D1675" i="3"/>
  <c r="B1676" i="3"/>
  <c r="D1676" i="3"/>
  <c r="B1677" i="3"/>
  <c r="D1677" i="3"/>
  <c r="B1678" i="3"/>
  <c r="D1678" i="3"/>
  <c r="B1679" i="3"/>
  <c r="D1679" i="3"/>
  <c r="B1680" i="3"/>
  <c r="D1680" i="3"/>
  <c r="B1681" i="3"/>
  <c r="D1681" i="3"/>
  <c r="B1682" i="3"/>
  <c r="D1682" i="3"/>
  <c r="B1683" i="3"/>
  <c r="D1683" i="3"/>
  <c r="B1684" i="3"/>
  <c r="D1684" i="3"/>
  <c r="B1685" i="3"/>
  <c r="D1685" i="3"/>
  <c r="B1686" i="3"/>
  <c r="D1686" i="3"/>
  <c r="B1687" i="3"/>
  <c r="D1687" i="3"/>
  <c r="B1688" i="3"/>
  <c r="D1688" i="3"/>
  <c r="B1689" i="3"/>
  <c r="D1689" i="3"/>
  <c r="B1690" i="3"/>
  <c r="D1690" i="3"/>
  <c r="B1691" i="3"/>
  <c r="D1691" i="3"/>
  <c r="B1692" i="3"/>
  <c r="D1692" i="3"/>
  <c r="B1693" i="3"/>
  <c r="D1693" i="3"/>
  <c r="B1694" i="3"/>
  <c r="D1694" i="3"/>
  <c r="B1695" i="3"/>
  <c r="D1695" i="3"/>
  <c r="B1696" i="3"/>
  <c r="D1696" i="3"/>
  <c r="B1697" i="3"/>
  <c r="D1697" i="3"/>
  <c r="B1698" i="3"/>
  <c r="D1698" i="3"/>
  <c r="B1699" i="3"/>
  <c r="D1699" i="3"/>
  <c r="B1700" i="3"/>
  <c r="D1700" i="3"/>
  <c r="B1701" i="3"/>
  <c r="D1701" i="3"/>
  <c r="B1702" i="3"/>
  <c r="D1702" i="3"/>
  <c r="B1703" i="3"/>
  <c r="D1703" i="3"/>
  <c r="B1704" i="3"/>
  <c r="D1704" i="3"/>
  <c r="B1705" i="3"/>
  <c r="D1705" i="3"/>
  <c r="B1706" i="3"/>
  <c r="D1706" i="3"/>
  <c r="B1707" i="3"/>
  <c r="D1707" i="3"/>
  <c r="B1708" i="3"/>
  <c r="D1708" i="3"/>
  <c r="B1709" i="3"/>
  <c r="D1709" i="3"/>
  <c r="B1710" i="3"/>
  <c r="D1710" i="3"/>
  <c r="B1711" i="3"/>
  <c r="D1711" i="3"/>
  <c r="B1712" i="3"/>
  <c r="D1712" i="3"/>
  <c r="B1713" i="3"/>
  <c r="D1713" i="3"/>
  <c r="B1714" i="3"/>
  <c r="D1714" i="3"/>
  <c r="B1715" i="3"/>
  <c r="D1715" i="3"/>
  <c r="B1716" i="3"/>
  <c r="D1716" i="3"/>
  <c r="B1717" i="3"/>
  <c r="D1717" i="3"/>
  <c r="B1718" i="3"/>
  <c r="D1718" i="3"/>
  <c r="B1719" i="3"/>
  <c r="D1719" i="3"/>
  <c r="B1720" i="3"/>
  <c r="D1720" i="3"/>
  <c r="B1721" i="3"/>
  <c r="D1721" i="3"/>
  <c r="B1722" i="3"/>
  <c r="D1722" i="3"/>
  <c r="B1723" i="3"/>
  <c r="D1723" i="3"/>
  <c r="B1724" i="3"/>
  <c r="D1724" i="3"/>
  <c r="B1725" i="3"/>
  <c r="D1725" i="3"/>
  <c r="B1726" i="3"/>
  <c r="D1726" i="3"/>
  <c r="B1727" i="3"/>
  <c r="D1727" i="3"/>
  <c r="B1728" i="3"/>
  <c r="D1728" i="3"/>
  <c r="B1729" i="3"/>
  <c r="D1729" i="3"/>
  <c r="B1730" i="3"/>
  <c r="D1730" i="3"/>
  <c r="B1731" i="3"/>
  <c r="D1731" i="3"/>
  <c r="B1732" i="3"/>
  <c r="D1732" i="3"/>
  <c r="B1733" i="3"/>
  <c r="D1733" i="3"/>
  <c r="B1734" i="3"/>
  <c r="D1734" i="3"/>
  <c r="B1735" i="3"/>
  <c r="D1735" i="3"/>
  <c r="B1736" i="3"/>
  <c r="D1736" i="3"/>
  <c r="B1737" i="3"/>
  <c r="D1737" i="3"/>
  <c r="B1738" i="3"/>
  <c r="D1738" i="3"/>
  <c r="B1739" i="3"/>
  <c r="D1739" i="3"/>
  <c r="B1740" i="3"/>
  <c r="D1740" i="3"/>
  <c r="B1741" i="3"/>
  <c r="D1741" i="3"/>
  <c r="B1742" i="3"/>
  <c r="D1742" i="3"/>
  <c r="B1743" i="3"/>
  <c r="D1743" i="3"/>
  <c r="B1744" i="3"/>
  <c r="D1744" i="3"/>
  <c r="B1745" i="3"/>
  <c r="D1745" i="3"/>
  <c r="B1746" i="3"/>
  <c r="D1746" i="3"/>
  <c r="B1747" i="3"/>
  <c r="D1747" i="3"/>
  <c r="B1748" i="3"/>
  <c r="D1748" i="3"/>
  <c r="B1749" i="3"/>
  <c r="D1749" i="3"/>
  <c r="B1750" i="3"/>
  <c r="D1750" i="3"/>
  <c r="B1751" i="3"/>
  <c r="D1751" i="3"/>
  <c r="B1752" i="3"/>
  <c r="D1752" i="3"/>
  <c r="B1753" i="3"/>
  <c r="D1753" i="3"/>
  <c r="B1754" i="3"/>
  <c r="D1754" i="3"/>
  <c r="B1755" i="3"/>
  <c r="D1755" i="3"/>
  <c r="B1756" i="3"/>
  <c r="D1756" i="3"/>
  <c r="B1757" i="3"/>
  <c r="D1757" i="3"/>
  <c r="B1758" i="3"/>
  <c r="D1758" i="3"/>
  <c r="B1759" i="3"/>
  <c r="D1759" i="3"/>
  <c r="B1760" i="3"/>
  <c r="D1760" i="3"/>
  <c r="B1761" i="3"/>
  <c r="D1761" i="3"/>
  <c r="B1762" i="3"/>
  <c r="D1762" i="3"/>
  <c r="B1763" i="3"/>
  <c r="D1763" i="3"/>
  <c r="B1764" i="3"/>
  <c r="D1764" i="3"/>
  <c r="B1765" i="3"/>
  <c r="D1765" i="3"/>
  <c r="B1766" i="3"/>
  <c r="D1766" i="3"/>
  <c r="B1767" i="3"/>
  <c r="D1767" i="3"/>
  <c r="B1768" i="3"/>
  <c r="D1768" i="3"/>
  <c r="B1769" i="3"/>
  <c r="D1769" i="3"/>
  <c r="B1770" i="3"/>
  <c r="D1770" i="3"/>
  <c r="B1771" i="3"/>
  <c r="D1771" i="3"/>
  <c r="B1772" i="3"/>
  <c r="D1772" i="3"/>
  <c r="B1773" i="3"/>
  <c r="D1773" i="3"/>
  <c r="B1774" i="3"/>
  <c r="D1774" i="3"/>
  <c r="B1775" i="3"/>
  <c r="D1775" i="3"/>
  <c r="B1776" i="3"/>
  <c r="D1776" i="3"/>
  <c r="B1777" i="3"/>
  <c r="D1777" i="3"/>
  <c r="B1778" i="3"/>
  <c r="D1778" i="3"/>
  <c r="B1779" i="3"/>
  <c r="D1779" i="3"/>
  <c r="B1780" i="3"/>
  <c r="D1780" i="3"/>
  <c r="B1781" i="3"/>
  <c r="D1781" i="3"/>
  <c r="B1782" i="3"/>
  <c r="D1782" i="3"/>
  <c r="B1783" i="3"/>
  <c r="D1783" i="3"/>
  <c r="B1784" i="3"/>
  <c r="D1784" i="3"/>
  <c r="B1785" i="3"/>
  <c r="D1785" i="3"/>
  <c r="B1786" i="3"/>
  <c r="D1786" i="3"/>
  <c r="B1787" i="3"/>
  <c r="D1787" i="3"/>
  <c r="B1788" i="3"/>
  <c r="D1788" i="3"/>
  <c r="B1789" i="3"/>
  <c r="D1789" i="3"/>
  <c r="B1790" i="3"/>
  <c r="D1790" i="3"/>
  <c r="B1791" i="3"/>
  <c r="D1791" i="3"/>
  <c r="B1792" i="3"/>
  <c r="D1792" i="3"/>
  <c r="B1793" i="3"/>
  <c r="D1793" i="3"/>
  <c r="B1794" i="3"/>
  <c r="D1794" i="3"/>
  <c r="B1795" i="3"/>
  <c r="D1795" i="3"/>
  <c r="B1796" i="3"/>
  <c r="D1796" i="3"/>
  <c r="B1797" i="3"/>
  <c r="D1797" i="3"/>
  <c r="B1798" i="3"/>
  <c r="D1798" i="3"/>
  <c r="B1799" i="3"/>
  <c r="D1799" i="3"/>
  <c r="B1800" i="3"/>
  <c r="D1800" i="3"/>
  <c r="B1801" i="3"/>
  <c r="D1801" i="3"/>
  <c r="B1802" i="3"/>
  <c r="D1802" i="3"/>
  <c r="B1803" i="3"/>
  <c r="D1803" i="3"/>
  <c r="B1804" i="3"/>
  <c r="D1804" i="3"/>
  <c r="B1805" i="3"/>
  <c r="D1805" i="3"/>
  <c r="B1806" i="3"/>
  <c r="D1806" i="3"/>
  <c r="B1807" i="3"/>
  <c r="D1807" i="3"/>
  <c r="B1808" i="3"/>
  <c r="D1808" i="3"/>
  <c r="B1809" i="3"/>
  <c r="D1809" i="3"/>
  <c r="B1810" i="3"/>
  <c r="D1810" i="3"/>
  <c r="B1811" i="3"/>
  <c r="D1811" i="3"/>
  <c r="B1812" i="3"/>
  <c r="D1812" i="3"/>
  <c r="B1813" i="3"/>
  <c r="D1813" i="3"/>
  <c r="B1814" i="3"/>
  <c r="D1814" i="3"/>
  <c r="B1815" i="3"/>
  <c r="D1815" i="3"/>
  <c r="B1816" i="3"/>
  <c r="D1816" i="3"/>
  <c r="B1817" i="3"/>
  <c r="D1817" i="3"/>
  <c r="B1818" i="3"/>
  <c r="D1818" i="3"/>
  <c r="B1819" i="3"/>
  <c r="D1819" i="3"/>
  <c r="B1820" i="3"/>
  <c r="D1820" i="3"/>
  <c r="B1821" i="3"/>
  <c r="D1821" i="3"/>
  <c r="B1822" i="3"/>
  <c r="D1822" i="3"/>
  <c r="B1823" i="3"/>
  <c r="D1823" i="3"/>
  <c r="B1824" i="3"/>
  <c r="D1824" i="3"/>
  <c r="B1825" i="3"/>
  <c r="D1825" i="3"/>
  <c r="B1826" i="3"/>
  <c r="D1826" i="3"/>
  <c r="B1827" i="3"/>
  <c r="D1827" i="3"/>
  <c r="B1828" i="3"/>
  <c r="D1828" i="3"/>
  <c r="B1829" i="3"/>
  <c r="D1829" i="3"/>
  <c r="B1830" i="3"/>
  <c r="D1830" i="3"/>
  <c r="B1831" i="3"/>
  <c r="D1831" i="3"/>
  <c r="B1832" i="3"/>
  <c r="D1832" i="3"/>
  <c r="B1833" i="3"/>
  <c r="D1833" i="3"/>
  <c r="B1834" i="3"/>
  <c r="D1834" i="3"/>
  <c r="B1835" i="3"/>
  <c r="D1835" i="3"/>
  <c r="B1836" i="3"/>
  <c r="D1836" i="3"/>
  <c r="B1837" i="3"/>
  <c r="D1837" i="3"/>
  <c r="B1838" i="3"/>
  <c r="D1838" i="3"/>
  <c r="B1839" i="3"/>
  <c r="D1839" i="3"/>
  <c r="B1840" i="3"/>
  <c r="D1840" i="3"/>
  <c r="B1841" i="3"/>
  <c r="D1841" i="3"/>
  <c r="B1842" i="3"/>
  <c r="D1842" i="3"/>
  <c r="B1843" i="3"/>
  <c r="D1843" i="3"/>
  <c r="B1844" i="3"/>
  <c r="D1844" i="3"/>
  <c r="B1845" i="3"/>
  <c r="D1845" i="3"/>
  <c r="B1846" i="3"/>
  <c r="D1846" i="3"/>
  <c r="B1847" i="3"/>
  <c r="D1847" i="3"/>
  <c r="B1848" i="3"/>
  <c r="D1848" i="3"/>
  <c r="B1849" i="3"/>
  <c r="D1849" i="3"/>
  <c r="B1850" i="3"/>
  <c r="D1850" i="3"/>
  <c r="B1851" i="3"/>
  <c r="D1851" i="3"/>
  <c r="B1852" i="3"/>
  <c r="D1852" i="3"/>
  <c r="B1853" i="3"/>
  <c r="D1853" i="3"/>
  <c r="B1854" i="3"/>
  <c r="D1854" i="3"/>
  <c r="B1855" i="3"/>
  <c r="D1855" i="3"/>
  <c r="B1856" i="3"/>
  <c r="D1856" i="3"/>
  <c r="B1857" i="3"/>
  <c r="D1857" i="3"/>
  <c r="B1858" i="3"/>
  <c r="D1858" i="3"/>
  <c r="B1859" i="3"/>
  <c r="D1859" i="3"/>
  <c r="B1860" i="3"/>
  <c r="D1860" i="3"/>
  <c r="B1861" i="3"/>
  <c r="D1861" i="3"/>
  <c r="B1862" i="3"/>
  <c r="D1862" i="3"/>
  <c r="B1863" i="3"/>
  <c r="D1863" i="3"/>
  <c r="B1864" i="3"/>
  <c r="D1864" i="3"/>
  <c r="B1865" i="3"/>
  <c r="D1865" i="3"/>
  <c r="B1866" i="3"/>
  <c r="D1866" i="3"/>
  <c r="B1867" i="3"/>
  <c r="D1867" i="3"/>
  <c r="B1868" i="3"/>
  <c r="D1868" i="3"/>
  <c r="B1869" i="3"/>
  <c r="D1869" i="3"/>
  <c r="B1870" i="3"/>
  <c r="D1870" i="3"/>
  <c r="B1871" i="3"/>
  <c r="D1871" i="3"/>
  <c r="B1872" i="3"/>
  <c r="D1872" i="3"/>
  <c r="B1873" i="3"/>
  <c r="D1873" i="3"/>
  <c r="B1874" i="3"/>
  <c r="D1874" i="3"/>
  <c r="B1875" i="3"/>
  <c r="D1875" i="3"/>
  <c r="B1876" i="3"/>
  <c r="D1876" i="3"/>
  <c r="B1877" i="3"/>
  <c r="D1877" i="3"/>
  <c r="B1878" i="3"/>
  <c r="D1878" i="3"/>
  <c r="B1879" i="3"/>
  <c r="D1879" i="3"/>
  <c r="B1880" i="3"/>
  <c r="D1880" i="3"/>
  <c r="B1881" i="3"/>
  <c r="D1881" i="3"/>
  <c r="B1882" i="3"/>
  <c r="D1882" i="3"/>
  <c r="B1883" i="3"/>
  <c r="D1883" i="3"/>
  <c r="B1884" i="3"/>
  <c r="D1884" i="3"/>
  <c r="B1885" i="3"/>
  <c r="D1885" i="3"/>
  <c r="B1886" i="3"/>
  <c r="D1886" i="3"/>
  <c r="B1887" i="3"/>
  <c r="D1887" i="3"/>
  <c r="B1888" i="3"/>
  <c r="D1888" i="3"/>
  <c r="B1889" i="3"/>
  <c r="D1889" i="3"/>
  <c r="B1890" i="3"/>
  <c r="D1890" i="3"/>
  <c r="B1891" i="3"/>
  <c r="D1891" i="3"/>
  <c r="B1892" i="3"/>
  <c r="D1892" i="3"/>
  <c r="B1893" i="3"/>
  <c r="D1893" i="3"/>
  <c r="B1894" i="3"/>
  <c r="D1894" i="3"/>
  <c r="B1895" i="3"/>
  <c r="D1895" i="3"/>
  <c r="B1896" i="3"/>
  <c r="D1896" i="3"/>
  <c r="B1897" i="3"/>
  <c r="D1897" i="3"/>
  <c r="B1898" i="3"/>
  <c r="D1898" i="3"/>
  <c r="B1899" i="3"/>
  <c r="D1899" i="3"/>
  <c r="B1900" i="3"/>
  <c r="D1900" i="3"/>
  <c r="B1901" i="3"/>
  <c r="D1901" i="3"/>
  <c r="B1902" i="3"/>
  <c r="D1902" i="3"/>
  <c r="B1903" i="3"/>
  <c r="D1903" i="3"/>
  <c r="B1904" i="3"/>
  <c r="D1904" i="3"/>
  <c r="B1905" i="3"/>
  <c r="D1905" i="3"/>
  <c r="B1906" i="3"/>
  <c r="D1906" i="3"/>
  <c r="B1907" i="3"/>
  <c r="D1907" i="3"/>
  <c r="B1908" i="3"/>
  <c r="D1908" i="3"/>
  <c r="B1909" i="3"/>
  <c r="D1909" i="3"/>
  <c r="B1910" i="3"/>
  <c r="D1910" i="3"/>
  <c r="B1911" i="3"/>
  <c r="D1911" i="3"/>
  <c r="B1912" i="3"/>
  <c r="D1912" i="3"/>
  <c r="B1913" i="3"/>
  <c r="D1913" i="3"/>
  <c r="B1914" i="3"/>
  <c r="D1914" i="3"/>
  <c r="B1915" i="3"/>
  <c r="D1915" i="3"/>
  <c r="B1916" i="3"/>
  <c r="D1916" i="3"/>
  <c r="B1917" i="3"/>
  <c r="D1917" i="3"/>
  <c r="B1918" i="3"/>
  <c r="D1918" i="3"/>
  <c r="B1919" i="3"/>
  <c r="D1919" i="3"/>
  <c r="B1920" i="3"/>
  <c r="D1920" i="3"/>
  <c r="B1921" i="3"/>
  <c r="D1921" i="3"/>
  <c r="B1922" i="3"/>
  <c r="D1922" i="3"/>
  <c r="B1923" i="3"/>
  <c r="D1923" i="3"/>
  <c r="B1924" i="3"/>
  <c r="D1924" i="3"/>
  <c r="B1925" i="3"/>
  <c r="D1925" i="3"/>
  <c r="B1926" i="3"/>
  <c r="D1926" i="3"/>
  <c r="B1927" i="3"/>
  <c r="D1927" i="3"/>
  <c r="B1928" i="3"/>
  <c r="D1928" i="3"/>
  <c r="B1929" i="3"/>
  <c r="D1929" i="3"/>
  <c r="B1930" i="3"/>
  <c r="D1930" i="3"/>
  <c r="B1931" i="3"/>
  <c r="D1931" i="3"/>
  <c r="B1932" i="3"/>
  <c r="D1932" i="3"/>
  <c r="B1933" i="3"/>
  <c r="D1933" i="3"/>
  <c r="B1934" i="3"/>
  <c r="D1934" i="3"/>
  <c r="B1935" i="3"/>
  <c r="D1935" i="3"/>
  <c r="B1936" i="3"/>
  <c r="D1936" i="3"/>
  <c r="B1937" i="3"/>
  <c r="D1937" i="3"/>
  <c r="B1938" i="3"/>
  <c r="D1938" i="3"/>
  <c r="B1939" i="3"/>
  <c r="D1939" i="3"/>
  <c r="B1940" i="3"/>
  <c r="D1940" i="3"/>
  <c r="B1941" i="3"/>
  <c r="D1941" i="3"/>
  <c r="B1942" i="3"/>
  <c r="D1942" i="3"/>
  <c r="B1943" i="3"/>
  <c r="D1943" i="3"/>
  <c r="B1944" i="3"/>
  <c r="D1944" i="3"/>
  <c r="B1945" i="3"/>
  <c r="D1945" i="3"/>
  <c r="B1946" i="3"/>
  <c r="D1946" i="3"/>
  <c r="B1947" i="3"/>
  <c r="D1947" i="3"/>
  <c r="B1948" i="3"/>
  <c r="D1948" i="3"/>
  <c r="B1949" i="3"/>
  <c r="D1949" i="3"/>
  <c r="B1950" i="3"/>
  <c r="D1950" i="3"/>
  <c r="B1951" i="3"/>
  <c r="D1951" i="3"/>
  <c r="B1952" i="3"/>
  <c r="D1952" i="3"/>
  <c r="B1953" i="3"/>
  <c r="D1953" i="3"/>
  <c r="B1954" i="3"/>
  <c r="D1954" i="3"/>
  <c r="B1955" i="3"/>
  <c r="D1955" i="3"/>
  <c r="B1956" i="3"/>
  <c r="D1956" i="3"/>
  <c r="B1957" i="3"/>
  <c r="D1957" i="3"/>
  <c r="B1958" i="3"/>
  <c r="D1958" i="3"/>
  <c r="B1959" i="3"/>
  <c r="D1959" i="3"/>
  <c r="B1960" i="3"/>
  <c r="D1960" i="3"/>
  <c r="B1961" i="3"/>
  <c r="D1961" i="3"/>
  <c r="B1962" i="3"/>
  <c r="D1962" i="3"/>
  <c r="B1963" i="3"/>
  <c r="D1963" i="3"/>
  <c r="B1964" i="3"/>
  <c r="D1964" i="3"/>
  <c r="B1965" i="3"/>
  <c r="D1965" i="3"/>
  <c r="B1966" i="3"/>
  <c r="D1966" i="3"/>
  <c r="B1967" i="3"/>
  <c r="D1967" i="3"/>
  <c r="B1968" i="3"/>
  <c r="D1968" i="3"/>
  <c r="B1969" i="3"/>
  <c r="D1969" i="3"/>
  <c r="B1970" i="3"/>
  <c r="D1970" i="3"/>
  <c r="B1971" i="3"/>
  <c r="D1971" i="3"/>
  <c r="B1972" i="3"/>
  <c r="D1972" i="3"/>
  <c r="B1973" i="3"/>
  <c r="D1973" i="3"/>
  <c r="B1974" i="3"/>
  <c r="D1974" i="3"/>
  <c r="B1975" i="3"/>
  <c r="D1975" i="3"/>
  <c r="B1976" i="3"/>
  <c r="D1976" i="3"/>
  <c r="B1977" i="3"/>
  <c r="D1977" i="3"/>
  <c r="B1978" i="3"/>
  <c r="D1978" i="3"/>
  <c r="B1979" i="3"/>
  <c r="D1979" i="3"/>
  <c r="B1980" i="3"/>
  <c r="D1980" i="3"/>
  <c r="B1981" i="3"/>
  <c r="D1981" i="3"/>
  <c r="B1982" i="3"/>
  <c r="D1982" i="3"/>
  <c r="B1983" i="3"/>
  <c r="D1983" i="3"/>
  <c r="B1984" i="3"/>
  <c r="D1984" i="3"/>
  <c r="B1985" i="3"/>
  <c r="D1985" i="3"/>
  <c r="B1986" i="3"/>
  <c r="D1986" i="3"/>
  <c r="B1987" i="3"/>
  <c r="D1987" i="3"/>
  <c r="B1988" i="3"/>
  <c r="D1988" i="3"/>
  <c r="B1989" i="3"/>
  <c r="D1989" i="3"/>
  <c r="B1990" i="3"/>
  <c r="D1990" i="3"/>
  <c r="B1991" i="3"/>
  <c r="D1991" i="3"/>
  <c r="B1992" i="3"/>
  <c r="D1992" i="3"/>
  <c r="B1993" i="3"/>
  <c r="D1993" i="3"/>
  <c r="B1994" i="3"/>
  <c r="D1994" i="3"/>
  <c r="B1995" i="3"/>
  <c r="D1995" i="3"/>
  <c r="B1996" i="3"/>
  <c r="D1996" i="3"/>
  <c r="B1997" i="3"/>
  <c r="D1997" i="3"/>
  <c r="B1998" i="3"/>
  <c r="D1998" i="3"/>
  <c r="B1999" i="3"/>
  <c r="D1999" i="3"/>
  <c r="B2000" i="3"/>
  <c r="D2000" i="3"/>
  <c r="B2001" i="3"/>
  <c r="D2001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<sst xmlns="http://schemas.openxmlformats.org/spreadsheetml/2006/main" count="123" uniqueCount="69">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</sst>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"/>
    <numFmt numFmtId="177" formatCode="0.000E+00"/>
    <numFmt numFmtId="178" formatCode="0.0000"/>
    <numFmt numFmtId="179" formatCode="0.00000"/>
  </numFmts>
  <fonts count="13" x14ac:knownFonts="1">
    <font>
      <sz val="11"/>
      <color theme="1"/>
      <name val="ＭＳ Ｐゴシック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  <font>
      <sz val="6"/>
      <name val="ＭＳ Ｐゴシック"/>
      <family val="3"/>
      <charset val="128"/>
      <scheme val="minor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0" fontId="7" fillId="0" borderId="0" xfId="0" applyFont="1"/>
    <xf numFmtId="176" fontId="8" fillId="7" borderId="0" xfId="0" applyNumberFormat="1" applyFont="1" applyFill="1" applyAlignment="1">
      <alignment horizontal="center" vertical="center"/>
    </xf>
    <xf numFmtId="177" fontId="3" fillId="0" borderId="0" xfId="0" applyNumberFormat="1" applyFont="1"/>
    <xf numFmtId="176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11" fontId="0" fillId="0" borderId="0" xfId="0" applyNumberFormat="1"/>
    <xf numFmtId="0" fontId="1" fillId="8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16" activePane="bottomLeft" state="frozen"/>
      <selection pane="bottomLeft" sqref="A1:H1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6" t="s">
        <v>0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50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1.61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2.1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3.71</v>
      </c>
      <c r="C9" s="2" t="s">
        <v>10</v>
      </c>
    </row>
    <row r="10" spans="1:8" ht="14.25" x14ac:dyDescent="0.2">
      <c r="A10" s="2" t="s">
        <v>15</v>
      </c>
      <c r="B10" s="8">
        <f>2*PI()*B6</f>
        <v>314.15926535897933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18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21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23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24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25</v>
      </c>
      <c r="B21" s="23"/>
      <c r="C21" s="23"/>
      <c r="D21" s="23"/>
      <c r="E21" s="23"/>
      <c r="F21" s="23"/>
      <c r="G21" s="23"/>
      <c r="H21" s="23"/>
    </row>
    <row r="22" spans="1:8" ht="14.25" x14ac:dyDescent="0.2">
      <c r="A22" s="24" t="s">
        <v>26</v>
      </c>
      <c r="B22" s="23"/>
      <c r="C22" s="23"/>
      <c r="D22" s="23"/>
      <c r="E22" s="23"/>
      <c r="F22" s="23"/>
      <c r="G22" s="23"/>
      <c r="H22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32</v>
      </c>
      <c r="B29" s="10">
        <f>SUMPRODUCT(TimeData!C2:C100000, COS(2*PI()*$B$6*TimeData!A2:A100000))</f>
        <v>0</v>
      </c>
      <c r="C29" s="2"/>
    </row>
    <row r="30" spans="1:8" ht="14.25" x14ac:dyDescent="0.2">
      <c r="A30" s="2" t="s">
        <v>33</v>
      </c>
      <c r="B30" s="10">
        <f>-SUMPRODUCT(TimeData!C2:C100000, SIN(2*PI()*$B$6*TimeData!A2:A100000))</f>
        <v>0</v>
      </c>
      <c r="C30" s="2"/>
    </row>
    <row r="31" spans="1:8" ht="14.25" x14ac:dyDescent="0.2">
      <c r="A31" s="2" t="s">
        <v>34</v>
      </c>
      <c r="B31" s="10">
        <f>SUMPRODUCT(TimeData!B2:B100000, COS(2*PI()*$B$6*TimeData!A2:A100000))</f>
        <v>1.2306356700871344</v>
      </c>
      <c r="C31" s="2"/>
    </row>
    <row r="32" spans="1:8" ht="14.25" x14ac:dyDescent="0.2">
      <c r="A32" s="2" t="s">
        <v>35</v>
      </c>
      <c r="B32" s="10">
        <f>-SUMPRODUCT(TimeData!B2:B100000, SIN(2*PI()*$B$6*TimeData!A2:A100000))</f>
        <v>0.11128139088352021</v>
      </c>
      <c r="C32" s="2"/>
    </row>
    <row r="33" spans="1:4" ht="14.25" x14ac:dyDescent="0.2">
      <c r="A33" s="2" t="s">
        <v>36</v>
      </c>
      <c r="B33" s="10">
        <f>-(B10^2)*B29/1000</f>
        <v>0</v>
      </c>
      <c r="C33" s="2"/>
    </row>
    <row r="34" spans="1:4" ht="14.25" x14ac:dyDescent="0.2">
      <c r="A34" s="2" t="s">
        <v>37</v>
      </c>
      <c r="B34" s="10">
        <f>-(B10^2)*B30/1000</f>
        <v>0</v>
      </c>
      <c r="C34" s="2"/>
    </row>
    <row r="35" spans="1:4" ht="14.25" x14ac:dyDescent="0.2">
      <c r="A35" s="2" t="s">
        <v>38</v>
      </c>
      <c r="B35" s="10">
        <f>B33^2+B34^2</f>
        <v>0</v>
      </c>
      <c r="C35" s="2"/>
    </row>
    <row r="36" spans="1:4" ht="14.25" x14ac:dyDescent="0.2">
      <c r="A36" s="2" t="s">
        <v>39</v>
      </c>
      <c r="B36" s="10">
        <f>B33*B31+B34*B32</f>
        <v>0</v>
      </c>
      <c r="C36" s="2"/>
    </row>
    <row r="37" spans="1:4" ht="14.25" x14ac:dyDescent="0.2">
      <c r="A37" s="2" t="s">
        <v>40</v>
      </c>
      <c r="B37" s="10">
        <f>B33*B32-B34*B31</f>
        <v>0</v>
      </c>
      <c r="C37" s="2"/>
    </row>
    <row r="38" spans="1:4" ht="14.25" x14ac:dyDescent="0.2">
      <c r="A38" s="2" t="s">
        <v>41</v>
      </c>
      <c r="B38" s="11">
        <f>2*SQRT(B29^2+B30^2)/B5</f>
        <v>0</v>
      </c>
      <c r="C38" s="2" t="s">
        <v>42</v>
      </c>
    </row>
    <row r="39" spans="1:4" ht="14.25" x14ac:dyDescent="0.2">
      <c r="A39" s="2" t="s">
        <v>43</v>
      </c>
      <c r="B39" s="12">
        <f>2*SQRT(B35)/B5</f>
        <v>0</v>
      </c>
      <c r="C39" s="2" t="s">
        <v>44</v>
      </c>
    </row>
    <row r="40" spans="1:4" ht="14.25" x14ac:dyDescent="0.2">
      <c r="A40" s="2" t="s">
        <v>45</v>
      </c>
      <c r="B40" s="13">
        <f>B39/B10</f>
        <v>0</v>
      </c>
      <c r="C40" s="2" t="s">
        <v>46</v>
      </c>
    </row>
    <row r="41" spans="1:4" ht="18" x14ac:dyDescent="0.2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ht="14.25" x14ac:dyDescent="0.2">
      <c r="A42" s="2" t="s">
        <v>50</v>
      </c>
      <c r="B42" s="16">
        <f>-B37/(PI()*B6^2*B5^2)</f>
        <v>0</v>
      </c>
      <c r="C42" s="2" t="s">
        <v>51</v>
      </c>
    </row>
    <row r="43" spans="1:4" ht="14.25" x14ac:dyDescent="0.2">
      <c r="A43" s="2" t="s">
        <v>52</v>
      </c>
      <c r="B43" s="16">
        <f>0.5*(B9/1000)*B40^2</f>
        <v>0</v>
      </c>
      <c r="C43" s="2" t="s">
        <v>51</v>
      </c>
    </row>
    <row r="44" spans="1:4" ht="14.25" x14ac:dyDescent="0.2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4" activePane="bottomLeft" state="frozen"/>
      <selection pane="bottomLeft" activeCell="B9" sqref="B9"/>
    </sheetView>
  </sheetViews>
  <sheetFormatPr defaultRowHeight="13.5" x14ac:dyDescent="0.1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15">
      <c r="A1" s="22" t="s">
        <v>55</v>
      </c>
      <c r="B1" s="23"/>
      <c r="C1" s="23"/>
      <c r="D1" s="23"/>
      <c r="E1" s="23"/>
      <c r="F1" s="23"/>
      <c r="G1" s="23"/>
      <c r="H1" s="23"/>
    </row>
    <row r="3" spans="1:8" ht="15" x14ac:dyDescent="0.25">
      <c r="A3" s="1" t="s">
        <v>1</v>
      </c>
    </row>
    <row r="4" spans="1:8" ht="14.25" x14ac:dyDescent="0.2">
      <c r="A4" s="2" t="s">
        <v>2</v>
      </c>
      <c r="B4" s="3">
        <f>(COUNT(TimeData!A2:A100000)-1)/(INDEX(TimeData!A2:A100000,COUNT(TimeData!A2:A100000))-TimeData!A2)</f>
        <v>51199.998360780439</v>
      </c>
      <c r="C4" s="2" t="s">
        <v>3</v>
      </c>
      <c r="D4" s="4" t="s">
        <v>4</v>
      </c>
    </row>
    <row r="5" spans="1:8" ht="14.25" x14ac:dyDescent="0.2">
      <c r="A5" s="2" t="s">
        <v>5</v>
      </c>
      <c r="B5" s="5">
        <f>COUNT(TimeData!A2:A100000)</f>
        <v>2000</v>
      </c>
      <c r="C5" s="2" t="s">
        <v>6</v>
      </c>
    </row>
    <row r="6" spans="1:8" ht="14.25" x14ac:dyDescent="0.2">
      <c r="A6" s="2" t="s">
        <v>7</v>
      </c>
      <c r="B6" s="6">
        <v>1500</v>
      </c>
      <c r="C6" s="2" t="s">
        <v>3</v>
      </c>
      <c r="D6" s="4" t="s">
        <v>8</v>
      </c>
    </row>
    <row r="7" spans="1:8" ht="14.25" x14ac:dyDescent="0.2">
      <c r="A7" s="2" t="s">
        <v>9</v>
      </c>
      <c r="B7" s="6">
        <v>0</v>
      </c>
      <c r="C7" s="2" t="s">
        <v>10</v>
      </c>
      <c r="D7" s="4" t="s">
        <v>11</v>
      </c>
    </row>
    <row r="8" spans="1:8" ht="14.25" x14ac:dyDescent="0.2">
      <c r="A8" s="2" t="s">
        <v>12</v>
      </c>
      <c r="B8" s="6">
        <v>0.88</v>
      </c>
      <c r="C8" s="2" t="s">
        <v>10</v>
      </c>
      <c r="D8" s="4" t="s">
        <v>13</v>
      </c>
    </row>
    <row r="9" spans="1:8" ht="14.25" x14ac:dyDescent="0.2">
      <c r="A9" s="2" t="s">
        <v>14</v>
      </c>
      <c r="B9" s="7">
        <f>B7+B8</f>
        <v>0.88</v>
      </c>
      <c r="C9" s="2" t="s">
        <v>10</v>
      </c>
    </row>
    <row r="10" spans="1:8" ht="14.25" x14ac:dyDescent="0.2">
      <c r="A10" s="2" t="s">
        <v>15</v>
      </c>
      <c r="B10" s="8">
        <f>2*PI()*B6</f>
        <v>9424.7779607693792</v>
      </c>
      <c r="C10" s="2" t="s">
        <v>16</v>
      </c>
    </row>
    <row r="12" spans="1:8" ht="15" x14ac:dyDescent="0.25">
      <c r="A12" s="1" t="s">
        <v>17</v>
      </c>
    </row>
    <row r="13" spans="1:8" ht="14.25" x14ac:dyDescent="0.2">
      <c r="A13" s="25" t="s">
        <v>56</v>
      </c>
      <c r="B13" s="23"/>
      <c r="C13" s="23"/>
      <c r="D13" s="23"/>
      <c r="E13" s="23"/>
      <c r="F13" s="23"/>
      <c r="G13" s="23"/>
      <c r="H13" s="23"/>
    </row>
    <row r="14" spans="1:8" ht="14.25" x14ac:dyDescent="0.2">
      <c r="A14" s="25" t="s">
        <v>19</v>
      </c>
      <c r="B14" s="23"/>
      <c r="C14" s="23"/>
      <c r="D14" s="23"/>
      <c r="E14" s="23"/>
      <c r="F14" s="23"/>
      <c r="G14" s="23"/>
      <c r="H14" s="23"/>
    </row>
    <row r="15" spans="1:8" ht="14.25" x14ac:dyDescent="0.2">
      <c r="A15" s="25" t="s">
        <v>20</v>
      </c>
      <c r="B15" s="23"/>
      <c r="C15" s="23"/>
      <c r="D15" s="23"/>
      <c r="E15" s="23"/>
      <c r="F15" s="23"/>
      <c r="G15" s="23"/>
      <c r="H15" s="23"/>
    </row>
    <row r="16" spans="1:8" ht="14.25" x14ac:dyDescent="0.2">
      <c r="A16" s="25" t="s">
        <v>57</v>
      </c>
      <c r="B16" s="23"/>
      <c r="C16" s="23"/>
      <c r="D16" s="23"/>
      <c r="E16" s="23"/>
      <c r="F16" s="23"/>
      <c r="G16" s="23"/>
      <c r="H16" s="23"/>
    </row>
    <row r="18" spans="1:8" ht="15" x14ac:dyDescent="0.25">
      <c r="A18" s="1" t="s">
        <v>22</v>
      </c>
    </row>
    <row r="19" spans="1:8" ht="14.25" x14ac:dyDescent="0.2">
      <c r="A19" s="24" t="s">
        <v>58</v>
      </c>
      <c r="B19" s="23"/>
      <c r="C19" s="23"/>
      <c r="D19" s="23"/>
      <c r="E19" s="23"/>
      <c r="F19" s="23"/>
      <c r="G19" s="23"/>
      <c r="H19" s="23"/>
    </row>
    <row r="20" spans="1:8" ht="14.25" x14ac:dyDescent="0.2">
      <c r="A20" s="24" t="s">
        <v>25</v>
      </c>
      <c r="B20" s="23"/>
      <c r="C20" s="23"/>
      <c r="D20" s="23"/>
      <c r="E20" s="23"/>
      <c r="F20" s="23"/>
      <c r="G20" s="23"/>
      <c r="H20" s="23"/>
    </row>
    <row r="21" spans="1:8" ht="14.25" x14ac:dyDescent="0.2">
      <c r="A21" s="24" t="s">
        <v>26</v>
      </c>
      <c r="B21" s="23"/>
      <c r="C21" s="23"/>
      <c r="D21" s="23"/>
      <c r="E21" s="23"/>
      <c r="F21" s="23"/>
      <c r="G21" s="23"/>
      <c r="H21" s="23"/>
    </row>
    <row r="27" spans="1:8" ht="15" x14ac:dyDescent="0.25">
      <c r="A27" s="1" t="s">
        <v>27</v>
      </c>
    </row>
    <row r="28" spans="1:8" ht="15" x14ac:dyDescent="0.15">
      <c r="A28" s="9" t="s">
        <v>28</v>
      </c>
      <c r="B28" s="9" t="s">
        <v>29</v>
      </c>
      <c r="C28" s="9" t="s">
        <v>30</v>
      </c>
      <c r="D28" s="9" t="s">
        <v>31</v>
      </c>
    </row>
    <row r="29" spans="1:8" ht="14.25" x14ac:dyDescent="0.2">
      <c r="A29" s="2" t="s">
        <v>34</v>
      </c>
      <c r="B29" s="10">
        <f>SUMPRODUCT(TimeData!B2:B100000, COS(2*PI()*$B$6*TimeData!A2:A100000))</f>
        <v>205.92430330361586</v>
      </c>
      <c r="C29" s="2"/>
    </row>
    <row r="30" spans="1:8" ht="14.25" x14ac:dyDescent="0.2">
      <c r="A30" s="2" t="s">
        <v>35</v>
      </c>
      <c r="B30" s="10">
        <f>-SUMPRODUCT(TimeData!B2:B100000, SIN(2*PI()*$B$6*TimeData!A2:A100000))</f>
        <v>-146.27082772475629</v>
      </c>
      <c r="C30" s="2"/>
    </row>
    <row r="31" spans="1:8" ht="14.25" x14ac:dyDescent="0.2">
      <c r="A31" s="2" t="s">
        <v>59</v>
      </c>
      <c r="B31" s="10">
        <f>SUMPRODUCT(TimeData!D2:D100000, COS(2*PI()*$B$6*TimeData!A2:A100000))</f>
        <v>82410.687227711111</v>
      </c>
      <c r="C31" s="2"/>
    </row>
    <row r="32" spans="1:8" ht="14.25" x14ac:dyDescent="0.2">
      <c r="A32" s="2" t="s">
        <v>60</v>
      </c>
      <c r="B32" s="10">
        <f>-SUMPRODUCT(TimeData!D2:D100000, SIN(2*PI()*$B$6*TimeData!A2:A100000))</f>
        <v>-58811.72512780581</v>
      </c>
      <c r="C32" s="2"/>
    </row>
    <row r="33" spans="1:4" ht="14.25" x14ac:dyDescent="0.2">
      <c r="A33" s="2" t="s">
        <v>38</v>
      </c>
      <c r="B33" s="10">
        <f>B31^2+B32^2</f>
        <v>10250340381.852213</v>
      </c>
      <c r="C33" s="2"/>
    </row>
    <row r="34" spans="1:4" ht="14.25" x14ac:dyDescent="0.2">
      <c r="A34" s="2" t="s">
        <v>39</v>
      </c>
      <c r="B34" s="10">
        <f>B31*B29+B32*B30</f>
        <v>25572803.066503607</v>
      </c>
      <c r="C34" s="2"/>
    </row>
    <row r="35" spans="1:4" ht="14.25" x14ac:dyDescent="0.2">
      <c r="A35" s="2" t="s">
        <v>40</v>
      </c>
      <c r="B35" s="10">
        <f>B31*B30-B32*B29</f>
        <v>56484.088863864541</v>
      </c>
      <c r="C35" s="2"/>
    </row>
    <row r="36" spans="1:4" ht="14.25" x14ac:dyDescent="0.2">
      <c r="A36" s="2" t="s">
        <v>43</v>
      </c>
      <c r="B36" s="12">
        <f>2*SQRT(B33)/B5</f>
        <v>101.24396466877525</v>
      </c>
      <c r="C36" s="2" t="s">
        <v>44</v>
      </c>
    </row>
    <row r="37" spans="1:4" ht="14.25" x14ac:dyDescent="0.2">
      <c r="A37" s="2" t="s">
        <v>45</v>
      </c>
      <c r="B37" s="13">
        <f>B36/B10</f>
        <v>1.0742318290171192E-2</v>
      </c>
      <c r="C37" s="2" t="s">
        <v>46</v>
      </c>
    </row>
    <row r="38" spans="1:4" ht="18" x14ac:dyDescent="0.25">
      <c r="A38" s="14" t="s">
        <v>47</v>
      </c>
      <c r="B38" s="15">
        <f>-2*PI()*B35/((B9/1000)*B33)</f>
        <v>-3.9344591143706059E-2</v>
      </c>
      <c r="C38" s="2" t="s">
        <v>48</v>
      </c>
      <c r="D38" s="2" t="s">
        <v>49</v>
      </c>
    </row>
    <row r="39" spans="1:4" ht="14.25" x14ac:dyDescent="0.2">
      <c r="A39" s="2" t="s">
        <v>50</v>
      </c>
      <c r="B39" s="16">
        <f>-B35/(PI()*B6^2*B5^2)</f>
        <v>-1.9977159886057603E-9</v>
      </c>
      <c r="C39" s="2" t="s">
        <v>51</v>
      </c>
    </row>
    <row r="40" spans="1:4" ht="14.25" x14ac:dyDescent="0.2">
      <c r="A40" s="2" t="s">
        <v>52</v>
      </c>
      <c r="B40" s="16">
        <f>0.5*(B9/1000)*B37^2</f>
        <v>5.0774856988832467E-8</v>
      </c>
      <c r="C40" s="2" t="s">
        <v>51</v>
      </c>
    </row>
    <row r="41" spans="1:4" ht="14.25" x14ac:dyDescent="0.2">
      <c r="A41" s="2" t="s">
        <v>53</v>
      </c>
      <c r="B41" s="17">
        <f>B39/B40</f>
        <v>-3.9344591143706073E-2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honeticPr fontId="12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3.5" x14ac:dyDescent="0.15"/>
  <cols>
    <col min="1" max="2" width="14" customWidth="1"/>
    <col min="3" max="4" width="22" customWidth="1"/>
    <col min="6" max="6" width="50" customWidth="1"/>
  </cols>
  <sheetData>
    <row r="1" spans="1:8" ht="15" x14ac:dyDescent="0.15">
      <c r="A1" s="9" t="s">
        <v>61</v>
      </c>
      <c r="B1" s="9" t="s">
        <v>62</v>
      </c>
      <c r="C1" s="9" t="s">
        <v>63</v>
      </c>
      <c r="D1" s="9" t="s">
        <v>64</v>
      </c>
    </row>
    <row r="2" spans="1:8" ht="14.25" x14ac:dyDescent="0.2">
      <c r="A2" s="21">
        <v>0</v>
      </c>
      <c r="B2" s="21">
        <f>H2</f>
        <v>0.20453930000000001</v>
      </c>
      <c r="D2">
        <f>G2*-1000/3.18</f>
        <v>82.65669811320754</v>
      </c>
      <c r="F2" s="18" t="s">
        <v>65</v>
      </c>
      <c r="G2" s="21">
        <v>-0.26284829999999998</v>
      </c>
      <c r="H2" s="21">
        <v>0.20453930000000001</v>
      </c>
    </row>
    <row r="3" spans="1:8" ht="14.25" x14ac:dyDescent="0.2">
      <c r="A3" s="21">
        <v>1.953125E-5</v>
      </c>
      <c r="B3" s="21">
        <f t="shared" ref="B3:B66" si="0">H3</f>
        <v>0.2277584</v>
      </c>
      <c r="D3">
        <f t="shared" ref="D3:D66" si="1">G3*-1000/3.18</f>
        <v>91.89100628930818</v>
      </c>
      <c r="F3" s="19" t="s">
        <v>66</v>
      </c>
      <c r="G3" s="21">
        <v>-0.29221340000000001</v>
      </c>
      <c r="H3" s="21">
        <v>0.2277584</v>
      </c>
    </row>
    <row r="4" spans="1:8" ht="14.25" x14ac:dyDescent="0.2">
      <c r="A4" s="21">
        <v>3.9062500000000001E-5</v>
      </c>
      <c r="B4" s="21">
        <f t="shared" si="0"/>
        <v>0.24344209999999999</v>
      </c>
      <c r="D4">
        <f t="shared" si="1"/>
        <v>98.300188679245281</v>
      </c>
      <c r="F4" s="20" t="s">
        <v>67</v>
      </c>
      <c r="G4" s="21">
        <v>-0.3125946</v>
      </c>
      <c r="H4" s="21">
        <v>0.24344209999999999</v>
      </c>
    </row>
    <row r="5" spans="1:8" ht="14.25" x14ac:dyDescent="0.2">
      <c r="A5" s="21">
        <v>5.8593749999999998E-5</v>
      </c>
      <c r="B5" s="21">
        <f t="shared" si="0"/>
        <v>0.2509904</v>
      </c>
      <c r="D5">
        <f t="shared" si="1"/>
        <v>101.34537735849057</v>
      </c>
      <c r="F5" s="4" t="s">
        <v>68</v>
      </c>
      <c r="G5" s="21">
        <v>-0.32227830000000002</v>
      </c>
      <c r="H5" s="21">
        <v>0.2509904</v>
      </c>
    </row>
    <row r="6" spans="1:8" x14ac:dyDescent="0.15">
      <c r="A6" s="21">
        <v>7.8125000000000002E-5</v>
      </c>
      <c r="B6" s="21">
        <f t="shared" si="0"/>
        <v>0.25004539999999997</v>
      </c>
      <c r="D6">
        <f t="shared" si="1"/>
        <v>101.01877358490566</v>
      </c>
      <c r="G6" s="21">
        <v>-0.32123970000000002</v>
      </c>
      <c r="H6" s="21">
        <v>0.25004539999999997</v>
      </c>
    </row>
    <row r="7" spans="1:8" x14ac:dyDescent="0.15">
      <c r="A7" s="21">
        <v>9.7656250000000005E-5</v>
      </c>
      <c r="B7" s="21">
        <f t="shared" si="0"/>
        <v>0.24132500000000001</v>
      </c>
      <c r="D7">
        <f t="shared" si="1"/>
        <v>97.585345911949688</v>
      </c>
      <c r="G7" s="21">
        <v>-0.31032140000000002</v>
      </c>
      <c r="H7" s="21">
        <v>0.24132500000000001</v>
      </c>
    </row>
    <row r="8" spans="1:8" x14ac:dyDescent="0.15">
      <c r="A8" s="21">
        <v>1.171875E-4</v>
      </c>
      <c r="B8" s="21">
        <f t="shared" si="0"/>
        <v>0.22393299999999999</v>
      </c>
      <c r="D8">
        <f t="shared" si="1"/>
        <v>90.543144654088039</v>
      </c>
      <c r="G8" s="21">
        <v>-0.28792719999999999</v>
      </c>
      <c r="H8" s="21">
        <v>0.22393299999999999</v>
      </c>
    </row>
    <row r="9" spans="1:8" x14ac:dyDescent="0.15">
      <c r="A9" s="21">
        <v>1.367188E-4</v>
      </c>
      <c r="B9" s="21">
        <f t="shared" si="0"/>
        <v>0.1984735</v>
      </c>
      <c r="D9">
        <f t="shared" si="1"/>
        <v>80.488270440251554</v>
      </c>
      <c r="G9" s="21">
        <v>-0.25595269999999998</v>
      </c>
      <c r="H9" s="21">
        <v>0.1984735</v>
      </c>
    </row>
    <row r="10" spans="1:8" x14ac:dyDescent="0.15">
      <c r="A10" s="21">
        <v>1.5625E-4</v>
      </c>
      <c r="B10" s="21">
        <f t="shared" si="0"/>
        <v>0.16657259999999999</v>
      </c>
      <c r="D10">
        <f t="shared" si="1"/>
        <v>67.809496855345913</v>
      </c>
      <c r="G10" s="21">
        <v>-0.2156342</v>
      </c>
      <c r="H10" s="21">
        <v>0.16657259999999999</v>
      </c>
    </row>
    <row r="11" spans="1:8" x14ac:dyDescent="0.15">
      <c r="A11" s="21">
        <v>1.757812E-4</v>
      </c>
      <c r="B11" s="21">
        <f t="shared" si="0"/>
        <v>0.12898319999999999</v>
      </c>
      <c r="D11">
        <f t="shared" si="1"/>
        <v>52.663144654088043</v>
      </c>
      <c r="G11" s="21">
        <v>-0.1674688</v>
      </c>
      <c r="H11" s="21">
        <v>0.12898319999999999</v>
      </c>
    </row>
    <row r="12" spans="1:8" x14ac:dyDescent="0.15">
      <c r="A12" s="21">
        <v>1.9531250000000001E-4</v>
      </c>
      <c r="B12" s="21">
        <f t="shared" si="0"/>
        <v>8.7275309999999995E-2</v>
      </c>
      <c r="D12">
        <f t="shared" si="1"/>
        <v>35.966352201257862</v>
      </c>
      <c r="G12" s="21">
        <v>-0.114373</v>
      </c>
      <c r="H12" s="21">
        <v>8.7275309999999995E-2</v>
      </c>
    </row>
    <row r="13" spans="1:8" x14ac:dyDescent="0.15">
      <c r="A13" s="21">
        <v>2.1484379999999999E-4</v>
      </c>
      <c r="B13" s="21">
        <f t="shared" si="0"/>
        <v>4.2353059999999998E-2</v>
      </c>
      <c r="D13">
        <f t="shared" si="1"/>
        <v>17.928254716981133</v>
      </c>
      <c r="G13" s="21">
        <v>-5.7011850000000003E-2</v>
      </c>
      <c r="H13" s="21">
        <v>4.2353059999999998E-2</v>
      </c>
    </row>
    <row r="14" spans="1:8" x14ac:dyDescent="0.15">
      <c r="A14" s="21">
        <v>2.3437499999999999E-4</v>
      </c>
      <c r="B14" s="21">
        <f t="shared" si="0"/>
        <v>-4.6184729999999997E-3</v>
      </c>
      <c r="D14">
        <f t="shared" si="1"/>
        <v>-0.86712327044025161</v>
      </c>
      <c r="G14" s="21">
        <v>2.7574520000000001E-3</v>
      </c>
      <c r="H14" s="21">
        <v>-4.6184729999999997E-3</v>
      </c>
    </row>
    <row r="15" spans="1:8" x14ac:dyDescent="0.15">
      <c r="A15" s="21">
        <v>2.5390630000000003E-4</v>
      </c>
      <c r="B15" s="21">
        <f t="shared" si="0"/>
        <v>-5.0838250000000001E-2</v>
      </c>
      <c r="D15">
        <f t="shared" si="1"/>
        <v>-19.278588050314465</v>
      </c>
      <c r="G15" s="21">
        <v>6.1305909999999998E-2</v>
      </c>
      <c r="H15" s="21">
        <v>-5.0838250000000001E-2</v>
      </c>
    </row>
    <row r="16" spans="1:8" x14ac:dyDescent="0.15">
      <c r="A16" s="21">
        <v>2.7343750000000003E-4</v>
      </c>
      <c r="B16" s="21">
        <f t="shared" si="0"/>
        <v>-9.5135200000000003E-2</v>
      </c>
      <c r="D16">
        <f t="shared" si="1"/>
        <v>-37.101226415094338</v>
      </c>
      <c r="G16" s="21">
        <v>0.1179819</v>
      </c>
      <c r="H16" s="21">
        <v>-9.5135200000000003E-2</v>
      </c>
    </row>
    <row r="17" spans="1:8" x14ac:dyDescent="0.15">
      <c r="A17" s="21">
        <v>2.9296870000000003E-4</v>
      </c>
      <c r="B17" s="21">
        <f t="shared" si="0"/>
        <v>-0.13624130000000001</v>
      </c>
      <c r="D17">
        <f t="shared" si="1"/>
        <v>-53.6291823899371</v>
      </c>
      <c r="G17" s="21">
        <v>0.17054079999999999</v>
      </c>
      <c r="H17" s="21">
        <v>-0.13624130000000001</v>
      </c>
    </row>
    <row r="18" spans="1:8" x14ac:dyDescent="0.15">
      <c r="A18" s="21">
        <v>3.1250000000000001E-4</v>
      </c>
      <c r="B18" s="21">
        <f t="shared" si="0"/>
        <v>-0.17218729999999999</v>
      </c>
      <c r="D18">
        <f t="shared" si="1"/>
        <v>-68.068522012578612</v>
      </c>
      <c r="G18" s="21">
        <v>0.21645790000000001</v>
      </c>
      <c r="H18" s="21">
        <v>-0.17218729999999999</v>
      </c>
    </row>
    <row r="19" spans="1:8" x14ac:dyDescent="0.15">
      <c r="A19" s="21">
        <v>3.3203129999999999E-4</v>
      </c>
      <c r="B19" s="21">
        <f t="shared" si="0"/>
        <v>-0.20301369999999999</v>
      </c>
      <c r="D19">
        <f t="shared" si="1"/>
        <v>-80.49040880503145</v>
      </c>
      <c r="G19" s="21">
        <v>0.25595950000000001</v>
      </c>
      <c r="H19" s="21">
        <v>-0.20301369999999999</v>
      </c>
    </row>
    <row r="20" spans="1:8" x14ac:dyDescent="0.15">
      <c r="A20" s="21">
        <v>3.5156249999999999E-4</v>
      </c>
      <c r="B20" s="21">
        <f t="shared" si="0"/>
        <v>-0.22715369999999999</v>
      </c>
      <c r="D20">
        <f t="shared" si="1"/>
        <v>-90.151383647798738</v>
      </c>
      <c r="G20" s="21">
        <v>0.28668139999999998</v>
      </c>
      <c r="H20" s="21">
        <v>-0.22715369999999999</v>
      </c>
    </row>
    <row r="21" spans="1:8" x14ac:dyDescent="0.15">
      <c r="A21" s="21">
        <v>3.7109380000000002E-4</v>
      </c>
      <c r="B21" s="21">
        <f t="shared" si="0"/>
        <v>-0.24303230000000001</v>
      </c>
      <c r="D21">
        <f t="shared" si="1"/>
        <v>-96.581792452830186</v>
      </c>
      <c r="G21" s="21">
        <v>0.30713010000000002</v>
      </c>
      <c r="H21" s="21">
        <v>-0.24303230000000001</v>
      </c>
    </row>
    <row r="22" spans="1:8" x14ac:dyDescent="0.15">
      <c r="A22" s="21">
        <v>3.9062500000000002E-4</v>
      </c>
      <c r="B22" s="21">
        <f t="shared" si="0"/>
        <v>-0.2514499</v>
      </c>
      <c r="D22">
        <f t="shared" si="1"/>
        <v>-100.0469496855346</v>
      </c>
      <c r="G22" s="21">
        <v>0.31814930000000002</v>
      </c>
      <c r="H22" s="21">
        <v>-0.2514499</v>
      </c>
    </row>
    <row r="23" spans="1:8" x14ac:dyDescent="0.15">
      <c r="A23" s="21">
        <v>4.1015620000000002E-4</v>
      </c>
      <c r="B23" s="21">
        <f t="shared" si="0"/>
        <v>-0.25115290000000001</v>
      </c>
      <c r="D23">
        <f t="shared" si="1"/>
        <v>-99.924119496855354</v>
      </c>
      <c r="G23" s="21">
        <v>0.31775870000000001</v>
      </c>
      <c r="H23" s="21">
        <v>-0.25115290000000001</v>
      </c>
    </row>
    <row r="24" spans="1:8" x14ac:dyDescent="0.15">
      <c r="A24" s="21">
        <v>4.296875E-4</v>
      </c>
      <c r="B24" s="21">
        <f t="shared" si="0"/>
        <v>-0.24207970000000001</v>
      </c>
      <c r="D24">
        <f t="shared" si="1"/>
        <v>-96.352672955974839</v>
      </c>
      <c r="G24" s="21">
        <v>0.30640149999999999</v>
      </c>
      <c r="H24" s="21">
        <v>-0.24207970000000001</v>
      </c>
    </row>
    <row r="25" spans="1:8" x14ac:dyDescent="0.15">
      <c r="A25" s="21">
        <v>4.4921879999999998E-4</v>
      </c>
      <c r="B25" s="21">
        <f t="shared" si="0"/>
        <v>-0.22577990000000001</v>
      </c>
      <c r="D25">
        <f t="shared" si="1"/>
        <v>-89.884402515723266</v>
      </c>
      <c r="G25" s="21">
        <v>0.28583239999999999</v>
      </c>
      <c r="H25" s="21">
        <v>-0.22577990000000001</v>
      </c>
    </row>
    <row r="26" spans="1:8" x14ac:dyDescent="0.15">
      <c r="A26" s="21">
        <v>4.6874999999999998E-4</v>
      </c>
      <c r="B26" s="21">
        <f t="shared" si="0"/>
        <v>-0.2013915</v>
      </c>
      <c r="D26">
        <f t="shared" si="1"/>
        <v>-80.084308176100635</v>
      </c>
      <c r="G26" s="21">
        <v>0.25466810000000001</v>
      </c>
      <c r="H26" s="21">
        <v>-0.2013915</v>
      </c>
    </row>
    <row r="27" spans="1:8" x14ac:dyDescent="0.15">
      <c r="A27" s="21">
        <v>4.8828119999999998E-4</v>
      </c>
      <c r="B27" s="21">
        <f t="shared" si="0"/>
        <v>-0.1698519</v>
      </c>
      <c r="D27">
        <f t="shared" si="1"/>
        <v>-67.471572327044015</v>
      </c>
      <c r="G27" s="21">
        <v>0.21455959999999999</v>
      </c>
      <c r="H27" s="21">
        <v>-0.1698519</v>
      </c>
    </row>
    <row r="28" spans="1:8" x14ac:dyDescent="0.15">
      <c r="A28" s="21">
        <v>5.0781250000000002E-4</v>
      </c>
      <c r="B28" s="21">
        <f t="shared" si="0"/>
        <v>-0.13273470000000001</v>
      </c>
      <c r="D28">
        <f t="shared" si="1"/>
        <v>-52.610628930817612</v>
      </c>
      <c r="G28" s="21">
        <v>0.1673018</v>
      </c>
      <c r="H28" s="21">
        <v>-0.13273470000000001</v>
      </c>
    </row>
    <row r="29" spans="1:8" x14ac:dyDescent="0.15">
      <c r="A29" s="21">
        <v>5.2734380000000005E-4</v>
      </c>
      <c r="B29" s="21">
        <f t="shared" si="0"/>
        <v>-9.066726E-2</v>
      </c>
      <c r="D29">
        <f t="shared" si="1"/>
        <v>-35.775628930817611</v>
      </c>
      <c r="G29" s="21">
        <v>0.11376650000000001</v>
      </c>
      <c r="H29" s="21">
        <v>-9.066726E-2</v>
      </c>
    </row>
    <row r="30" spans="1:8" x14ac:dyDescent="0.15">
      <c r="A30" s="21">
        <v>5.4687500000000005E-4</v>
      </c>
      <c r="B30" s="21">
        <f t="shared" si="0"/>
        <v>-4.6132289999999999E-2</v>
      </c>
      <c r="D30">
        <f t="shared" si="1"/>
        <v>-17.975012578616354</v>
      </c>
      <c r="G30" s="21">
        <v>5.7160540000000003E-2</v>
      </c>
      <c r="H30" s="21">
        <v>-4.6132289999999999E-2</v>
      </c>
    </row>
    <row r="31" spans="1:8" x14ac:dyDescent="0.15">
      <c r="A31" s="21">
        <v>5.6640620000000005E-4</v>
      </c>
      <c r="B31" s="21">
        <f t="shared" si="0"/>
        <v>3.000058E-4</v>
      </c>
      <c r="D31">
        <f t="shared" si="1"/>
        <v>0.73352515723270451</v>
      </c>
      <c r="G31" s="21">
        <v>-2.3326100000000002E-3</v>
      </c>
      <c r="H31" s="21">
        <v>3.000058E-4</v>
      </c>
    </row>
    <row r="32" spans="1:8" x14ac:dyDescent="0.15">
      <c r="A32" s="21">
        <v>5.8593749999999998E-4</v>
      </c>
      <c r="B32" s="21">
        <f t="shared" si="0"/>
        <v>4.7278729999999998E-2</v>
      </c>
      <c r="D32">
        <f t="shared" si="1"/>
        <v>19.551584905660377</v>
      </c>
      <c r="G32" s="21">
        <v>-6.217404E-2</v>
      </c>
      <c r="H32" s="21">
        <v>4.7278729999999998E-2</v>
      </c>
    </row>
    <row r="33" spans="1:8" x14ac:dyDescent="0.15">
      <c r="A33" s="21">
        <v>6.0546869999999998E-4</v>
      </c>
      <c r="B33" s="21">
        <f t="shared" si="0"/>
        <v>9.1352520000000006E-2</v>
      </c>
      <c r="D33">
        <f t="shared" si="1"/>
        <v>37.136981132075469</v>
      </c>
      <c r="G33" s="21">
        <v>-0.1180956</v>
      </c>
      <c r="H33" s="21">
        <v>9.1352520000000006E-2</v>
      </c>
    </row>
    <row r="34" spans="1:8" x14ac:dyDescent="0.15">
      <c r="A34" s="21">
        <v>6.2500000000000001E-4</v>
      </c>
      <c r="B34" s="21">
        <f t="shared" si="0"/>
        <v>0.13281889999999999</v>
      </c>
      <c r="D34">
        <f t="shared" si="1"/>
        <v>53.900786163522007</v>
      </c>
      <c r="G34" s="21">
        <v>-0.17140449999999999</v>
      </c>
      <c r="H34" s="21">
        <v>0.13281889999999999</v>
      </c>
    </row>
    <row r="35" spans="1:8" x14ac:dyDescent="0.15">
      <c r="A35" s="21">
        <v>6.4453130000000005E-4</v>
      </c>
      <c r="B35" s="21">
        <f t="shared" si="0"/>
        <v>0.16995479999999999</v>
      </c>
      <c r="D35">
        <f t="shared" si="1"/>
        <v>68.792547169811314</v>
      </c>
      <c r="G35" s="21">
        <v>-0.21876029999999999</v>
      </c>
      <c r="H35" s="21">
        <v>0.16995479999999999</v>
      </c>
    </row>
    <row r="36" spans="1:8" x14ac:dyDescent="0.15">
      <c r="A36" s="21">
        <v>6.6406250000000005E-4</v>
      </c>
      <c r="B36" s="21">
        <f t="shared" si="0"/>
        <v>0.2001868</v>
      </c>
      <c r="D36">
        <f t="shared" si="1"/>
        <v>80.838490566037734</v>
      </c>
      <c r="G36" s="21">
        <v>-0.25706639999999997</v>
      </c>
      <c r="H36" s="21">
        <v>0.2001868</v>
      </c>
    </row>
    <row r="37" spans="1:8" x14ac:dyDescent="0.15">
      <c r="A37" s="21">
        <v>6.8359379999999997E-4</v>
      </c>
      <c r="B37" s="21">
        <f t="shared" si="0"/>
        <v>0.22490470000000001</v>
      </c>
      <c r="D37">
        <f t="shared" si="1"/>
        <v>90.829874213836476</v>
      </c>
      <c r="G37" s="21">
        <v>-0.28883900000000001</v>
      </c>
      <c r="H37" s="21">
        <v>0.22490470000000001</v>
      </c>
    </row>
    <row r="38" spans="1:8" x14ac:dyDescent="0.15">
      <c r="A38" s="21">
        <v>7.0312499999999997E-4</v>
      </c>
      <c r="B38" s="21">
        <f t="shared" si="0"/>
        <v>0.2418952</v>
      </c>
      <c r="D38">
        <f t="shared" si="1"/>
        <v>97.618930817610064</v>
      </c>
      <c r="G38" s="21">
        <v>-0.31042819999999999</v>
      </c>
      <c r="H38" s="21">
        <v>0.2418952</v>
      </c>
    </row>
    <row r="39" spans="1:8" x14ac:dyDescent="0.15">
      <c r="A39" s="21">
        <v>7.2265619999999997E-4</v>
      </c>
      <c r="B39" s="21">
        <f t="shared" si="0"/>
        <v>0.24978020000000001</v>
      </c>
      <c r="D39">
        <f t="shared" si="1"/>
        <v>100.84996855345912</v>
      </c>
      <c r="G39" s="21">
        <v>-0.32070290000000001</v>
      </c>
      <c r="H39" s="21">
        <v>0.24978020000000001</v>
      </c>
    </row>
    <row r="40" spans="1:8" x14ac:dyDescent="0.15">
      <c r="A40" s="21">
        <v>7.4218750000000001E-4</v>
      </c>
      <c r="B40" s="21">
        <f t="shared" si="0"/>
        <v>0.25071939999999998</v>
      </c>
      <c r="D40">
        <f t="shared" si="1"/>
        <v>101.37946540880503</v>
      </c>
      <c r="G40" s="21">
        <v>-0.32238670000000003</v>
      </c>
      <c r="H40" s="21">
        <v>0.25071939999999998</v>
      </c>
    </row>
    <row r="41" spans="1:8" x14ac:dyDescent="0.15">
      <c r="A41" s="21">
        <v>7.6171880000000004E-4</v>
      </c>
      <c r="B41" s="21">
        <f t="shared" si="0"/>
        <v>0.24297659999999999</v>
      </c>
      <c r="D41">
        <f t="shared" si="1"/>
        <v>98.221257861635209</v>
      </c>
      <c r="G41" s="21">
        <v>-0.3123436</v>
      </c>
      <c r="H41" s="21">
        <v>0.24297659999999999</v>
      </c>
    </row>
    <row r="42" spans="1:8" x14ac:dyDescent="0.15">
      <c r="A42" s="21">
        <v>7.8125000000000004E-4</v>
      </c>
      <c r="B42" s="21">
        <f t="shared" si="0"/>
        <v>0.22624710000000001</v>
      </c>
      <c r="D42">
        <f t="shared" si="1"/>
        <v>91.5167610062893</v>
      </c>
      <c r="G42" s="21">
        <v>-0.29102329999999998</v>
      </c>
      <c r="H42" s="21">
        <v>0.22624710000000001</v>
      </c>
    </row>
    <row r="43" spans="1:8" x14ac:dyDescent="0.15">
      <c r="A43" s="21">
        <v>8.0078129999999997E-4</v>
      </c>
      <c r="B43" s="21">
        <f t="shared" si="0"/>
        <v>0.2024871</v>
      </c>
      <c r="D43">
        <f t="shared" si="1"/>
        <v>82.051446540880491</v>
      </c>
      <c r="G43" s="21">
        <v>-0.26092359999999998</v>
      </c>
      <c r="H43" s="21">
        <v>0.2024871</v>
      </c>
    </row>
    <row r="44" spans="1:8" x14ac:dyDescent="0.15">
      <c r="A44" s="21">
        <v>8.2031249999999997E-4</v>
      </c>
      <c r="B44" s="21">
        <f t="shared" si="0"/>
        <v>0.1711104</v>
      </c>
      <c r="D44">
        <f t="shared" si="1"/>
        <v>69.449371069182376</v>
      </c>
      <c r="G44" s="21">
        <v>-0.22084899999999999</v>
      </c>
      <c r="H44" s="21">
        <v>0.1711104</v>
      </c>
    </row>
    <row r="45" spans="1:8" x14ac:dyDescent="0.15">
      <c r="A45" s="21">
        <v>8.3984369999999997E-4</v>
      </c>
      <c r="B45" s="21">
        <f t="shared" si="0"/>
        <v>0.1339765</v>
      </c>
      <c r="D45">
        <f t="shared" si="1"/>
        <v>54.672358490566026</v>
      </c>
      <c r="G45" s="21">
        <v>-0.17385809999999999</v>
      </c>
      <c r="H45" s="21">
        <v>0.1339765</v>
      </c>
    </row>
    <row r="46" spans="1:8" x14ac:dyDescent="0.15">
      <c r="A46" s="21">
        <v>8.59375E-4</v>
      </c>
      <c r="B46" s="21">
        <f t="shared" si="0"/>
        <v>9.3261769999999994E-2</v>
      </c>
      <c r="D46">
        <f t="shared" si="1"/>
        <v>38.416415094339619</v>
      </c>
      <c r="G46" s="21">
        <v>-0.1221642</v>
      </c>
      <c r="H46" s="21">
        <v>9.3261769999999994E-2</v>
      </c>
    </row>
    <row r="47" spans="1:8" x14ac:dyDescent="0.15">
      <c r="A47" s="21">
        <v>8.7890630000000004E-4</v>
      </c>
      <c r="B47" s="21">
        <f t="shared" si="0"/>
        <v>4.8369519999999999E-2</v>
      </c>
      <c r="D47">
        <f t="shared" si="1"/>
        <v>20.318424528301886</v>
      </c>
      <c r="G47" s="21">
        <v>-6.4612589999999998E-2</v>
      </c>
      <c r="H47" s="21">
        <v>4.8369519999999999E-2</v>
      </c>
    </row>
    <row r="48" spans="1:8" x14ac:dyDescent="0.15">
      <c r="A48" s="21">
        <v>8.9843750000000004E-4</v>
      </c>
      <c r="B48" s="21">
        <f t="shared" si="0"/>
        <v>1.6884580000000001E-3</v>
      </c>
      <c r="D48">
        <f t="shared" si="1"/>
        <v>1.6395562893081761</v>
      </c>
      <c r="G48" s="21">
        <v>-5.2137889999999999E-3</v>
      </c>
      <c r="H48" s="21">
        <v>1.6884580000000001E-3</v>
      </c>
    </row>
    <row r="49" spans="1:8" x14ac:dyDescent="0.15">
      <c r="A49" s="21">
        <v>9.1796879999999997E-4</v>
      </c>
      <c r="B49" s="21">
        <f t="shared" si="0"/>
        <v>-4.4485660000000003E-2</v>
      </c>
      <c r="D49">
        <f t="shared" si="1"/>
        <v>-16.83695597484277</v>
      </c>
      <c r="G49" s="21">
        <v>5.3541520000000002E-2</v>
      </c>
      <c r="H49" s="21">
        <v>-4.4485660000000003E-2</v>
      </c>
    </row>
    <row r="50" spans="1:8" x14ac:dyDescent="0.15">
      <c r="A50" s="21">
        <v>9.3749999999999997E-4</v>
      </c>
      <c r="B50" s="21">
        <f t="shared" si="0"/>
        <v>-8.9606430000000001E-2</v>
      </c>
      <c r="D50">
        <f t="shared" si="1"/>
        <v>-34.953836477987416</v>
      </c>
      <c r="G50" s="21">
        <v>0.11115319999999999</v>
      </c>
      <c r="H50" s="21">
        <v>-8.9606430000000001E-2</v>
      </c>
    </row>
    <row r="51" spans="1:8" x14ac:dyDescent="0.15">
      <c r="A51" s="21">
        <v>9.5703119999999997E-4</v>
      </c>
      <c r="B51" s="21">
        <f t="shared" si="0"/>
        <v>-0.13110179999999999</v>
      </c>
      <c r="D51">
        <f t="shared" si="1"/>
        <v>-51.590377358490564</v>
      </c>
      <c r="G51" s="21">
        <v>0.16405739999999999</v>
      </c>
      <c r="H51" s="21">
        <v>-0.13110179999999999</v>
      </c>
    </row>
    <row r="52" spans="1:8" x14ac:dyDescent="0.15">
      <c r="A52" s="21">
        <v>9.765625E-4</v>
      </c>
      <c r="B52" s="21">
        <f t="shared" si="0"/>
        <v>-0.16774800000000001</v>
      </c>
      <c r="D52">
        <f t="shared" si="1"/>
        <v>-66.348333333333329</v>
      </c>
      <c r="G52" s="21">
        <v>0.2109877</v>
      </c>
      <c r="H52" s="21">
        <v>-0.16774800000000001</v>
      </c>
    </row>
    <row r="53" spans="1:8" x14ac:dyDescent="0.15">
      <c r="A53" s="21">
        <v>9.9609380000000003E-4</v>
      </c>
      <c r="B53" s="21">
        <f t="shared" si="0"/>
        <v>-0.19910169999999999</v>
      </c>
      <c r="D53">
        <f t="shared" si="1"/>
        <v>-78.940534591194961</v>
      </c>
      <c r="G53" s="21">
        <v>0.2510309</v>
      </c>
      <c r="H53" s="21">
        <v>-0.19910169999999999</v>
      </c>
    </row>
    <row r="54" spans="1:8" x14ac:dyDescent="0.15">
      <c r="A54" s="21">
        <v>1.015625E-3</v>
      </c>
      <c r="B54" s="21">
        <f t="shared" si="0"/>
        <v>-0.2241262</v>
      </c>
      <c r="D54">
        <f t="shared" si="1"/>
        <v>-89.008553459119483</v>
      </c>
      <c r="G54" s="21">
        <v>0.2830472</v>
      </c>
      <c r="H54" s="21">
        <v>-0.2241262</v>
      </c>
    </row>
    <row r="55" spans="1:8" x14ac:dyDescent="0.15">
      <c r="A55" s="21">
        <v>1.035156E-3</v>
      </c>
      <c r="B55" s="21">
        <f t="shared" si="0"/>
        <v>-0.2415746</v>
      </c>
      <c r="D55">
        <f t="shared" si="1"/>
        <v>-96.006037735849048</v>
      </c>
      <c r="G55" s="21">
        <v>0.30529919999999999</v>
      </c>
      <c r="H55" s="21">
        <v>-0.2415746</v>
      </c>
    </row>
    <row r="56" spans="1:8" x14ac:dyDescent="0.15">
      <c r="A56" s="21">
        <v>1.054688E-3</v>
      </c>
      <c r="B56" s="21">
        <f t="shared" si="0"/>
        <v>-0.25024400000000002</v>
      </c>
      <c r="D56">
        <f t="shared" si="1"/>
        <v>-99.498207547169812</v>
      </c>
      <c r="G56" s="21">
        <v>0.31640430000000003</v>
      </c>
      <c r="H56" s="21">
        <v>-0.25024400000000002</v>
      </c>
    </row>
    <row r="57" spans="1:8" x14ac:dyDescent="0.15">
      <c r="A57" s="21">
        <v>1.074219E-3</v>
      </c>
      <c r="B57" s="21">
        <f t="shared" si="0"/>
        <v>-0.25134390000000001</v>
      </c>
      <c r="D57">
        <f t="shared" si="1"/>
        <v>-100.13723270440251</v>
      </c>
      <c r="G57" s="21">
        <v>0.31843640000000001</v>
      </c>
      <c r="H57" s="21">
        <v>-0.25134390000000001</v>
      </c>
    </row>
    <row r="58" spans="1:8" x14ac:dyDescent="0.15">
      <c r="A58" s="21">
        <v>1.0937500000000001E-3</v>
      </c>
      <c r="B58" s="21">
        <f t="shared" si="0"/>
        <v>-0.24418419999999999</v>
      </c>
      <c r="D58">
        <f t="shared" si="1"/>
        <v>-97.251320754716986</v>
      </c>
      <c r="G58" s="21">
        <v>0.30925920000000001</v>
      </c>
      <c r="H58" s="21">
        <v>-0.24418419999999999</v>
      </c>
    </row>
    <row r="59" spans="1:8" x14ac:dyDescent="0.15">
      <c r="A59" s="21">
        <v>1.113281E-3</v>
      </c>
      <c r="B59" s="21">
        <f t="shared" si="0"/>
        <v>-0.22773930000000001</v>
      </c>
      <c r="D59">
        <f t="shared" si="1"/>
        <v>-90.578584905660364</v>
      </c>
      <c r="G59" s="21">
        <v>0.28803990000000002</v>
      </c>
      <c r="H59" s="21">
        <v>-0.22773930000000001</v>
      </c>
    </row>
    <row r="60" spans="1:8" x14ac:dyDescent="0.15">
      <c r="A60" s="21">
        <v>1.132812E-3</v>
      </c>
      <c r="B60" s="21">
        <f t="shared" si="0"/>
        <v>-0.2043721</v>
      </c>
      <c r="D60">
        <f t="shared" si="1"/>
        <v>-81.357106918238983</v>
      </c>
      <c r="G60" s="21">
        <v>0.25871559999999999</v>
      </c>
      <c r="H60" s="21">
        <v>-0.2043721</v>
      </c>
    </row>
    <row r="61" spans="1:8" x14ac:dyDescent="0.15">
      <c r="A61" s="21">
        <v>1.152344E-3</v>
      </c>
      <c r="B61" s="21">
        <f t="shared" si="0"/>
        <v>-0.174174</v>
      </c>
      <c r="D61">
        <f t="shared" si="1"/>
        <v>-69.223113207547172</v>
      </c>
      <c r="G61" s="21">
        <v>0.22012950000000001</v>
      </c>
      <c r="H61" s="21">
        <v>-0.174174</v>
      </c>
    </row>
    <row r="62" spans="1:8" x14ac:dyDescent="0.15">
      <c r="A62" s="21">
        <v>1.171875E-3</v>
      </c>
      <c r="B62" s="21">
        <f t="shared" si="0"/>
        <v>-0.13732939999999999</v>
      </c>
      <c r="D62">
        <f t="shared" si="1"/>
        <v>-54.399371069182394</v>
      </c>
      <c r="G62" s="21">
        <v>0.17299</v>
      </c>
      <c r="H62" s="21">
        <v>-0.13732939999999999</v>
      </c>
    </row>
    <row r="63" spans="1:8" x14ac:dyDescent="0.15">
      <c r="A63" s="21">
        <v>1.1914060000000001E-3</v>
      </c>
      <c r="B63" s="21">
        <f t="shared" si="0"/>
        <v>-9.6386639999999996E-2</v>
      </c>
      <c r="D63">
        <f t="shared" si="1"/>
        <v>-38.079654088050312</v>
      </c>
      <c r="G63" s="21">
        <v>0.1210933</v>
      </c>
      <c r="H63" s="21">
        <v>-9.6386639999999996E-2</v>
      </c>
    </row>
    <row r="64" spans="1:8" x14ac:dyDescent="0.15">
      <c r="A64" s="21">
        <v>1.210937E-3</v>
      </c>
      <c r="B64" s="21">
        <f t="shared" si="0"/>
        <v>-5.1909480000000001E-2</v>
      </c>
      <c r="D64">
        <f t="shared" si="1"/>
        <v>-20.257396226415093</v>
      </c>
      <c r="G64" s="21">
        <v>6.4418520000000007E-2</v>
      </c>
      <c r="H64" s="21">
        <v>-5.1909480000000001E-2</v>
      </c>
    </row>
    <row r="65" spans="1:8" x14ac:dyDescent="0.15">
      <c r="A65" s="21">
        <v>1.2304690000000001E-3</v>
      </c>
      <c r="B65" s="21">
        <f t="shared" si="0"/>
        <v>-5.06179E-3</v>
      </c>
      <c r="D65">
        <f t="shared" si="1"/>
        <v>-1.5183657232704402</v>
      </c>
      <c r="G65" s="21">
        <v>4.8284030000000002E-3</v>
      </c>
      <c r="H65" s="21">
        <v>-5.06179E-3</v>
      </c>
    </row>
    <row r="66" spans="1:8" x14ac:dyDescent="0.15">
      <c r="A66" s="21">
        <v>1.25E-3</v>
      </c>
      <c r="B66" s="21">
        <f t="shared" si="0"/>
        <v>4.1598169999999997E-2</v>
      </c>
      <c r="D66">
        <f t="shared" si="1"/>
        <v>17.201886792452829</v>
      </c>
      <c r="G66" s="21">
        <v>-5.4702000000000001E-2</v>
      </c>
      <c r="H66" s="21">
        <v>4.1598169999999997E-2</v>
      </c>
    </row>
    <row r="67" spans="1:8" x14ac:dyDescent="0.15">
      <c r="A67" s="21">
        <v>1.269531E-3</v>
      </c>
      <c r="B67" s="21">
        <f t="shared" ref="B67:B130" si="2">H67</f>
        <v>8.6624400000000004E-2</v>
      </c>
      <c r="D67">
        <f t="shared" ref="D67:D130" si="3">G67*-1000/3.18</f>
        <v>35.292232704402515</v>
      </c>
      <c r="G67" s="21">
        <v>-0.1122293</v>
      </c>
      <c r="H67" s="21">
        <v>8.6624400000000004E-2</v>
      </c>
    </row>
    <row r="68" spans="1:8" x14ac:dyDescent="0.15">
      <c r="A68" s="21">
        <v>1.289063E-3</v>
      </c>
      <c r="B68" s="21">
        <f t="shared" si="2"/>
        <v>0.12804280000000001</v>
      </c>
      <c r="D68">
        <f t="shared" si="3"/>
        <v>51.781446540880495</v>
      </c>
      <c r="G68" s="21">
        <v>-0.16466500000000001</v>
      </c>
      <c r="H68" s="21">
        <v>0.12804280000000001</v>
      </c>
    </row>
    <row r="69" spans="1:8" x14ac:dyDescent="0.15">
      <c r="A69" s="21">
        <v>1.3085939999999999E-3</v>
      </c>
      <c r="B69" s="21">
        <f t="shared" si="2"/>
        <v>0.16520789999999999</v>
      </c>
      <c r="D69">
        <f t="shared" si="3"/>
        <v>66.752012578616345</v>
      </c>
      <c r="G69" s="21">
        <v>-0.2122714</v>
      </c>
      <c r="H69" s="21">
        <v>0.16520789999999999</v>
      </c>
    </row>
    <row r="70" spans="1:8" x14ac:dyDescent="0.15">
      <c r="A70" s="21">
        <v>1.3281250000000001E-3</v>
      </c>
      <c r="B70" s="21">
        <f t="shared" si="2"/>
        <v>0.197626</v>
      </c>
      <c r="D70">
        <f t="shared" si="3"/>
        <v>79.869433962264154</v>
      </c>
      <c r="G70" s="21">
        <v>-0.25398480000000001</v>
      </c>
      <c r="H70" s="21">
        <v>0.197626</v>
      </c>
    </row>
    <row r="71" spans="1:8" x14ac:dyDescent="0.15">
      <c r="A71" s="21">
        <v>1.347656E-3</v>
      </c>
      <c r="B71" s="21">
        <f t="shared" si="2"/>
        <v>0.22269410000000001</v>
      </c>
      <c r="D71">
        <f t="shared" si="3"/>
        <v>89.853238993710704</v>
      </c>
      <c r="G71" s="21">
        <v>-0.28573330000000002</v>
      </c>
      <c r="H71" s="21">
        <v>0.22269410000000001</v>
      </c>
    </row>
    <row r="72" spans="1:8" x14ac:dyDescent="0.15">
      <c r="A72" s="21">
        <v>1.3671880000000001E-3</v>
      </c>
      <c r="B72" s="21">
        <f t="shared" si="2"/>
        <v>0.24038780000000001</v>
      </c>
      <c r="D72">
        <f t="shared" si="3"/>
        <v>97.018427672955966</v>
      </c>
      <c r="G72" s="21">
        <v>-0.30851859999999998</v>
      </c>
      <c r="H72" s="21">
        <v>0.24038780000000001</v>
      </c>
    </row>
    <row r="73" spans="1:8" x14ac:dyDescent="0.15">
      <c r="A73" s="21">
        <v>1.386719E-3</v>
      </c>
      <c r="B73" s="21">
        <f t="shared" si="2"/>
        <v>0.25051440000000003</v>
      </c>
      <c r="D73">
        <f t="shared" si="3"/>
        <v>101.16430817610062</v>
      </c>
      <c r="G73" s="21">
        <v>-0.3217025</v>
      </c>
      <c r="H73" s="21">
        <v>0.25051440000000003</v>
      </c>
    </row>
    <row r="74" spans="1:8" x14ac:dyDescent="0.15">
      <c r="A74" s="21">
        <v>1.4062499999999999E-3</v>
      </c>
      <c r="B74" s="21">
        <f t="shared" si="2"/>
        <v>0.25164180000000003</v>
      </c>
      <c r="D74">
        <f t="shared" si="3"/>
        <v>101.60443396226415</v>
      </c>
      <c r="G74" s="21">
        <v>-0.3231021</v>
      </c>
      <c r="H74" s="21">
        <v>0.25164180000000003</v>
      </c>
    </row>
    <row r="75" spans="1:8" x14ac:dyDescent="0.15">
      <c r="A75" s="21">
        <v>1.4257810000000001E-3</v>
      </c>
      <c r="B75" s="21">
        <f t="shared" si="2"/>
        <v>0.24470040000000001</v>
      </c>
      <c r="D75">
        <f t="shared" si="3"/>
        <v>98.857358490566028</v>
      </c>
      <c r="G75" s="21">
        <v>-0.31436639999999999</v>
      </c>
      <c r="H75" s="21">
        <v>0.24470040000000001</v>
      </c>
    </row>
    <row r="76" spans="1:8" x14ac:dyDescent="0.15">
      <c r="A76" s="21">
        <v>1.445312E-3</v>
      </c>
      <c r="B76" s="21">
        <f t="shared" si="2"/>
        <v>0.22941990000000001</v>
      </c>
      <c r="D76">
        <f t="shared" si="3"/>
        <v>92.73625786163521</v>
      </c>
      <c r="G76" s="21">
        <v>-0.29490129999999998</v>
      </c>
      <c r="H76" s="21">
        <v>0.22941990000000001</v>
      </c>
    </row>
    <row r="77" spans="1:8" x14ac:dyDescent="0.15">
      <c r="A77" s="21">
        <v>1.4648440000000001E-3</v>
      </c>
      <c r="B77" s="21">
        <f t="shared" si="2"/>
        <v>0.2060689</v>
      </c>
      <c r="D77">
        <f t="shared" si="3"/>
        <v>83.44603773584906</v>
      </c>
      <c r="G77" s="21">
        <v>-0.26535839999999999</v>
      </c>
      <c r="H77" s="21">
        <v>0.2060689</v>
      </c>
    </row>
    <row r="78" spans="1:8" x14ac:dyDescent="0.15">
      <c r="A78" s="21">
        <v>1.484375E-3</v>
      </c>
      <c r="B78" s="21">
        <f t="shared" si="2"/>
        <v>0.17640790000000001</v>
      </c>
      <c r="D78">
        <f t="shared" si="3"/>
        <v>71.623616352201253</v>
      </c>
      <c r="G78" s="21">
        <v>-0.2277631</v>
      </c>
      <c r="H78" s="21">
        <v>0.17640790000000001</v>
      </c>
    </row>
    <row r="79" spans="1:8" x14ac:dyDescent="0.15">
      <c r="A79" s="21">
        <v>1.5039059999999999E-3</v>
      </c>
      <c r="B79" s="21">
        <f t="shared" si="2"/>
        <v>0.14013110000000001</v>
      </c>
      <c r="D79">
        <f t="shared" si="3"/>
        <v>57.01292452830188</v>
      </c>
      <c r="G79" s="21">
        <v>-0.18130109999999999</v>
      </c>
      <c r="H79" s="21">
        <v>0.14013110000000001</v>
      </c>
    </row>
    <row r="80" spans="1:8" x14ac:dyDescent="0.15">
      <c r="A80" s="21">
        <v>1.523438E-3</v>
      </c>
      <c r="B80" s="21">
        <f t="shared" si="2"/>
        <v>9.87981E-2</v>
      </c>
      <c r="D80">
        <f t="shared" si="3"/>
        <v>40.522672955974841</v>
      </c>
      <c r="G80" s="21">
        <v>-0.12886210000000001</v>
      </c>
      <c r="H80" s="21">
        <v>9.87981E-2</v>
      </c>
    </row>
    <row r="81" spans="1:8" x14ac:dyDescent="0.15">
      <c r="A81" s="21">
        <v>1.5429689999999999E-3</v>
      </c>
      <c r="B81" s="21">
        <f t="shared" si="2"/>
        <v>5.4744929999999997E-2</v>
      </c>
      <c r="D81">
        <f t="shared" si="3"/>
        <v>22.949455974842767</v>
      </c>
      <c r="G81" s="21">
        <v>-7.2979269999999999E-2</v>
      </c>
      <c r="H81" s="21">
        <v>5.4744929999999997E-2</v>
      </c>
    </row>
    <row r="82" spans="1:8" x14ac:dyDescent="0.15">
      <c r="A82" s="21">
        <v>1.5625000000000001E-3</v>
      </c>
      <c r="B82" s="21">
        <f t="shared" si="2"/>
        <v>7.7990990000000003E-3</v>
      </c>
      <c r="D82">
        <f t="shared" si="3"/>
        <v>4.0436855345911944</v>
      </c>
      <c r="G82" s="21">
        <v>-1.2858919999999999E-2</v>
      </c>
      <c r="H82" s="21">
        <v>7.7990990000000003E-3</v>
      </c>
    </row>
    <row r="83" spans="1:8" x14ac:dyDescent="0.15">
      <c r="A83" s="21">
        <v>1.582031E-3</v>
      </c>
      <c r="B83" s="21">
        <f t="shared" si="2"/>
        <v>-3.9061539999999999E-2</v>
      </c>
      <c r="D83">
        <f t="shared" si="3"/>
        <v>-14.652528301886791</v>
      </c>
      <c r="G83" s="21">
        <v>4.6595039999999997E-2</v>
      </c>
      <c r="H83" s="21">
        <v>-3.9061539999999999E-2</v>
      </c>
    </row>
    <row r="84" spans="1:8" x14ac:dyDescent="0.15">
      <c r="A84" s="21">
        <v>1.6015630000000001E-3</v>
      </c>
      <c r="B84" s="21">
        <f t="shared" si="2"/>
        <v>-8.3127080000000006E-2</v>
      </c>
      <c r="D84">
        <f t="shared" si="3"/>
        <v>-32.290125786163522</v>
      </c>
      <c r="G84" s="21">
        <v>0.1026826</v>
      </c>
      <c r="H84" s="21">
        <v>-8.3127080000000006E-2</v>
      </c>
    </row>
    <row r="85" spans="1:8" x14ac:dyDescent="0.15">
      <c r="A85" s="21">
        <v>1.621094E-3</v>
      </c>
      <c r="B85" s="21">
        <f t="shared" si="2"/>
        <v>-0.1254113</v>
      </c>
      <c r="D85">
        <f t="shared" si="3"/>
        <v>-49.379465408805032</v>
      </c>
      <c r="G85" s="21">
        <v>0.15702669999999999</v>
      </c>
      <c r="H85" s="21">
        <v>-0.1254113</v>
      </c>
    </row>
    <row r="86" spans="1:8" x14ac:dyDescent="0.15">
      <c r="A86" s="21">
        <v>1.6406249999999999E-3</v>
      </c>
      <c r="B86" s="21">
        <f t="shared" si="2"/>
        <v>-0.16324279999999999</v>
      </c>
      <c r="D86">
        <f t="shared" si="3"/>
        <v>-64.502704402515718</v>
      </c>
      <c r="G86" s="21">
        <v>0.20511860000000001</v>
      </c>
      <c r="H86" s="21">
        <v>-0.16324279999999999</v>
      </c>
    </row>
    <row r="87" spans="1:8" x14ac:dyDescent="0.15">
      <c r="A87" s="21">
        <v>1.6601560000000001E-3</v>
      </c>
      <c r="B87" s="21">
        <f t="shared" si="2"/>
        <v>-0.1950539</v>
      </c>
      <c r="D87">
        <f t="shared" si="3"/>
        <v>-77.264622641509419</v>
      </c>
      <c r="G87" s="21">
        <v>0.24570149999999999</v>
      </c>
      <c r="H87" s="21">
        <v>-0.1950539</v>
      </c>
    </row>
    <row r="88" spans="1:8" x14ac:dyDescent="0.15">
      <c r="A88" s="21">
        <v>1.679687E-3</v>
      </c>
      <c r="B88" s="21">
        <f t="shared" si="2"/>
        <v>-0.22178690000000001</v>
      </c>
      <c r="D88">
        <f t="shared" si="3"/>
        <v>-88.051289308176095</v>
      </c>
      <c r="G88" s="21">
        <v>0.2800031</v>
      </c>
      <c r="H88" s="21">
        <v>-0.22178690000000001</v>
      </c>
    </row>
    <row r="89" spans="1:8" x14ac:dyDescent="0.15">
      <c r="A89" s="21">
        <v>1.6992190000000001E-3</v>
      </c>
      <c r="B89" s="21">
        <f t="shared" si="2"/>
        <v>-0.2402059</v>
      </c>
      <c r="D89">
        <f t="shared" si="3"/>
        <v>-95.450345911949682</v>
      </c>
      <c r="G89" s="21">
        <v>0.30353210000000003</v>
      </c>
      <c r="H89" s="21">
        <v>-0.2402059</v>
      </c>
    </row>
    <row r="90" spans="1:8" x14ac:dyDescent="0.15">
      <c r="A90" s="21">
        <v>1.71875E-3</v>
      </c>
      <c r="B90" s="21">
        <f t="shared" si="2"/>
        <v>-0.2499256</v>
      </c>
      <c r="D90">
        <f t="shared" si="3"/>
        <v>-99.42811320754717</v>
      </c>
      <c r="G90" s="21">
        <v>0.3161814</v>
      </c>
      <c r="H90" s="21">
        <v>-0.2499256</v>
      </c>
    </row>
    <row r="91" spans="1:8" x14ac:dyDescent="0.15">
      <c r="A91" s="21">
        <v>1.7382809999999999E-3</v>
      </c>
      <c r="B91" s="21">
        <f t="shared" si="2"/>
        <v>-0.25222670000000003</v>
      </c>
      <c r="D91">
        <f t="shared" si="3"/>
        <v>-100.33751572327044</v>
      </c>
      <c r="G91" s="21">
        <v>0.3190733</v>
      </c>
      <c r="H91" s="21">
        <v>-0.25222670000000003</v>
      </c>
    </row>
    <row r="92" spans="1:8" x14ac:dyDescent="0.15">
      <c r="A92" s="21">
        <v>1.757813E-3</v>
      </c>
      <c r="B92" s="21">
        <f t="shared" si="2"/>
        <v>-0.24549080000000001</v>
      </c>
      <c r="D92">
        <f t="shared" si="3"/>
        <v>-97.657232704402517</v>
      </c>
      <c r="G92" s="21">
        <v>0.31054999999999999</v>
      </c>
      <c r="H92" s="21">
        <v>-0.24549080000000001</v>
      </c>
    </row>
    <row r="93" spans="1:8" x14ac:dyDescent="0.15">
      <c r="A93" s="21">
        <v>1.7773439999999999E-3</v>
      </c>
      <c r="B93" s="21">
        <f t="shared" si="2"/>
        <v>-0.23099790000000001</v>
      </c>
      <c r="D93">
        <f t="shared" si="3"/>
        <v>-91.944842767295583</v>
      </c>
      <c r="G93" s="21">
        <v>0.29238459999999999</v>
      </c>
      <c r="H93" s="21">
        <v>-0.23099790000000001</v>
      </c>
    </row>
    <row r="94" spans="1:8" x14ac:dyDescent="0.15">
      <c r="A94" s="21">
        <v>1.7968750000000001E-3</v>
      </c>
      <c r="B94" s="21">
        <f t="shared" si="2"/>
        <v>-0.20905380000000001</v>
      </c>
      <c r="D94">
        <f t="shared" si="3"/>
        <v>-83.116981132075466</v>
      </c>
      <c r="G94" s="21">
        <v>0.26431199999999999</v>
      </c>
      <c r="H94" s="21">
        <v>-0.20905380000000001</v>
      </c>
    </row>
    <row r="95" spans="1:8" x14ac:dyDescent="0.15">
      <c r="A95" s="21">
        <v>1.816406E-3</v>
      </c>
      <c r="B95" s="21">
        <f t="shared" si="2"/>
        <v>-0.17914669999999999</v>
      </c>
      <c r="D95">
        <f t="shared" si="3"/>
        <v>-71.162830188679237</v>
      </c>
      <c r="G95" s="21">
        <v>0.22629779999999999</v>
      </c>
      <c r="H95" s="21">
        <v>-0.17914669999999999</v>
      </c>
    </row>
    <row r="96" spans="1:8" x14ac:dyDescent="0.15">
      <c r="A96" s="21">
        <v>1.8359380000000001E-3</v>
      </c>
      <c r="B96" s="21">
        <f t="shared" si="2"/>
        <v>-0.14372799999999999</v>
      </c>
      <c r="D96">
        <f t="shared" si="3"/>
        <v>-57.044088050314464</v>
      </c>
      <c r="G96" s="21">
        <v>0.18140020000000001</v>
      </c>
      <c r="H96" s="21">
        <v>-0.14372799999999999</v>
      </c>
    </row>
    <row r="97" spans="1:8" x14ac:dyDescent="0.15">
      <c r="A97" s="21">
        <v>1.855469E-3</v>
      </c>
      <c r="B97" s="21">
        <f t="shared" si="2"/>
        <v>-0.10288990000000001</v>
      </c>
      <c r="D97">
        <f t="shared" si="3"/>
        <v>-40.661037735849057</v>
      </c>
      <c r="G97" s="21">
        <v>0.1293021</v>
      </c>
      <c r="H97" s="21">
        <v>-0.10288990000000001</v>
      </c>
    </row>
    <row r="98" spans="1:8" x14ac:dyDescent="0.15">
      <c r="A98" s="21">
        <v>1.8749999999999999E-3</v>
      </c>
      <c r="B98" s="21">
        <f t="shared" si="2"/>
        <v>-5.8043499999999998E-2</v>
      </c>
      <c r="D98">
        <f t="shared" si="3"/>
        <v>-22.724726415094338</v>
      </c>
      <c r="G98" s="21">
        <v>7.2264629999999996E-2</v>
      </c>
      <c r="H98" s="21">
        <v>-5.8043499999999998E-2</v>
      </c>
    </row>
    <row r="99" spans="1:8" x14ac:dyDescent="0.15">
      <c r="A99" s="21">
        <v>1.8945310000000001E-3</v>
      </c>
      <c r="B99" s="21">
        <f t="shared" si="2"/>
        <v>-1.241628E-2</v>
      </c>
      <c r="D99">
        <f t="shared" si="3"/>
        <v>-4.4803773584905651</v>
      </c>
      <c r="G99" s="21">
        <v>1.4247599999999999E-2</v>
      </c>
      <c r="H99" s="21">
        <v>-1.241628E-2</v>
      </c>
    </row>
    <row r="100" spans="1:8" x14ac:dyDescent="0.15">
      <c r="A100" s="21">
        <v>1.914062E-3</v>
      </c>
      <c r="B100" s="21">
        <f t="shared" si="2"/>
        <v>3.415464E-2</v>
      </c>
      <c r="D100">
        <f t="shared" si="3"/>
        <v>14.238937106918238</v>
      </c>
      <c r="G100" s="21">
        <v>-4.5279819999999998E-2</v>
      </c>
      <c r="H100" s="21">
        <v>3.415464E-2</v>
      </c>
    </row>
    <row r="101" spans="1:8" x14ac:dyDescent="0.15">
      <c r="A101" s="21">
        <v>1.9335940000000001E-3</v>
      </c>
      <c r="B101" s="21">
        <f t="shared" si="2"/>
        <v>7.9827819999999994E-2</v>
      </c>
      <c r="D101">
        <f t="shared" si="3"/>
        <v>32.576540880503146</v>
      </c>
      <c r="G101" s="21">
        <v>-0.1035934</v>
      </c>
      <c r="H101" s="21">
        <v>7.9827819999999994E-2</v>
      </c>
    </row>
    <row r="102" spans="1:8" x14ac:dyDescent="0.15">
      <c r="A102" s="21">
        <v>1.953125E-3</v>
      </c>
      <c r="B102" s="21">
        <f t="shared" si="2"/>
        <v>0.1219471</v>
      </c>
      <c r="D102">
        <f t="shared" si="3"/>
        <v>49.423050314465407</v>
      </c>
      <c r="G102" s="21">
        <v>-0.15716530000000001</v>
      </c>
      <c r="H102" s="21">
        <v>0.1219471</v>
      </c>
    </row>
    <row r="103" spans="1:8" x14ac:dyDescent="0.15">
      <c r="A103" s="21">
        <v>1.9726560000000001E-3</v>
      </c>
      <c r="B103" s="21">
        <f t="shared" si="2"/>
        <v>0.1600007</v>
      </c>
      <c r="D103">
        <f t="shared" si="3"/>
        <v>64.718364779874207</v>
      </c>
      <c r="G103" s="21">
        <v>-0.2058044</v>
      </c>
      <c r="H103" s="21">
        <v>0.1600007</v>
      </c>
    </row>
    <row r="104" spans="1:8" x14ac:dyDescent="0.15">
      <c r="A104" s="21">
        <v>1.9921880000000002E-3</v>
      </c>
      <c r="B104" s="21">
        <f t="shared" si="2"/>
        <v>0.1922546</v>
      </c>
      <c r="D104">
        <f t="shared" si="3"/>
        <v>77.752893081761002</v>
      </c>
      <c r="G104" s="21">
        <v>-0.24725420000000001</v>
      </c>
      <c r="H104" s="21">
        <v>0.1922546</v>
      </c>
    </row>
    <row r="105" spans="1:8" x14ac:dyDescent="0.15">
      <c r="A105" s="21">
        <v>2.0117189999999999E-3</v>
      </c>
      <c r="B105" s="21">
        <f t="shared" si="2"/>
        <v>0.2182886</v>
      </c>
      <c r="D105">
        <f t="shared" si="3"/>
        <v>88.22273584905659</v>
      </c>
      <c r="G105" s="21">
        <v>-0.28054829999999997</v>
      </c>
      <c r="H105" s="21">
        <v>0.2182886</v>
      </c>
    </row>
    <row r="106" spans="1:8" x14ac:dyDescent="0.15">
      <c r="A106" s="21">
        <v>2.0312500000000001E-3</v>
      </c>
      <c r="B106" s="21">
        <f t="shared" si="2"/>
        <v>0.23769480000000001</v>
      </c>
      <c r="D106">
        <f t="shared" si="3"/>
        <v>95.994182389937109</v>
      </c>
      <c r="G106" s="21">
        <v>-0.30526150000000002</v>
      </c>
      <c r="H106" s="21">
        <v>0.23769480000000001</v>
      </c>
    </row>
    <row r="107" spans="1:8" x14ac:dyDescent="0.15">
      <c r="A107" s="21">
        <v>2.0507809999999998E-3</v>
      </c>
      <c r="B107" s="21">
        <f t="shared" si="2"/>
        <v>0.2484141</v>
      </c>
      <c r="D107">
        <f t="shared" si="3"/>
        <v>100.2661320754717</v>
      </c>
      <c r="G107" s="21">
        <v>-0.31884630000000003</v>
      </c>
      <c r="H107" s="21">
        <v>0.2484141</v>
      </c>
    </row>
    <row r="108" spans="1:8" x14ac:dyDescent="0.15">
      <c r="A108" s="21">
        <v>2.0703129999999998E-3</v>
      </c>
      <c r="B108" s="21">
        <f t="shared" si="2"/>
        <v>0.25096360000000001</v>
      </c>
      <c r="D108">
        <f t="shared" si="3"/>
        <v>101.34257861635218</v>
      </c>
      <c r="G108" s="21">
        <v>-0.32226939999999998</v>
      </c>
      <c r="H108" s="21">
        <v>0.25096360000000001</v>
      </c>
    </row>
    <row r="109" spans="1:8" x14ac:dyDescent="0.15">
      <c r="A109" s="21">
        <v>2.089844E-3</v>
      </c>
      <c r="B109" s="21">
        <f t="shared" si="2"/>
        <v>0.245285</v>
      </c>
      <c r="D109">
        <f t="shared" si="3"/>
        <v>99.136886792452842</v>
      </c>
      <c r="G109" s="21">
        <v>-0.31525530000000002</v>
      </c>
      <c r="H109" s="21">
        <v>0.245285</v>
      </c>
    </row>
    <row r="110" spans="1:8" x14ac:dyDescent="0.15">
      <c r="A110" s="21">
        <v>2.1093750000000001E-3</v>
      </c>
      <c r="B110" s="21">
        <f t="shared" si="2"/>
        <v>0.2303663</v>
      </c>
      <c r="D110">
        <f t="shared" si="3"/>
        <v>93.115345911949689</v>
      </c>
      <c r="G110" s="21">
        <v>-0.2961068</v>
      </c>
      <c r="H110" s="21">
        <v>0.2303663</v>
      </c>
    </row>
    <row r="111" spans="1:8" x14ac:dyDescent="0.15">
      <c r="A111" s="21">
        <v>2.1289059999999999E-3</v>
      </c>
      <c r="B111" s="21">
        <f t="shared" si="2"/>
        <v>0.20838290000000001</v>
      </c>
      <c r="D111">
        <f t="shared" si="3"/>
        <v>84.371918238993715</v>
      </c>
      <c r="G111" s="21">
        <v>-0.26830270000000001</v>
      </c>
      <c r="H111" s="21">
        <v>0.20838290000000001</v>
      </c>
    </row>
    <row r="112" spans="1:8" x14ac:dyDescent="0.15">
      <c r="A112" s="21">
        <v>2.1484379999999999E-3</v>
      </c>
      <c r="B112" s="21">
        <f t="shared" si="2"/>
        <v>0.17978279999999999</v>
      </c>
      <c r="D112">
        <f t="shared" si="3"/>
        <v>72.954402515723274</v>
      </c>
      <c r="G112" s="21">
        <v>-0.23199500000000001</v>
      </c>
      <c r="H112" s="21">
        <v>0.17978279999999999</v>
      </c>
    </row>
    <row r="113" spans="1:8" x14ac:dyDescent="0.15">
      <c r="A113" s="21">
        <v>2.1679690000000001E-3</v>
      </c>
      <c r="B113" s="21">
        <f t="shared" si="2"/>
        <v>0.14405090000000001</v>
      </c>
      <c r="D113">
        <f t="shared" si="3"/>
        <v>58.581194968553454</v>
      </c>
      <c r="G113" s="21">
        <v>-0.18628819999999999</v>
      </c>
      <c r="H113" s="21">
        <v>0.14405090000000001</v>
      </c>
    </row>
    <row r="114" spans="1:8" x14ac:dyDescent="0.15">
      <c r="A114" s="21">
        <v>2.1875000000000002E-3</v>
      </c>
      <c r="B114" s="21">
        <f t="shared" si="2"/>
        <v>0.1035885</v>
      </c>
      <c r="D114">
        <f t="shared" si="3"/>
        <v>42.444119496855343</v>
      </c>
      <c r="G114" s="21">
        <v>-0.13497229999999999</v>
      </c>
      <c r="H114" s="21">
        <v>0.1035885</v>
      </c>
    </row>
    <row r="115" spans="1:8" x14ac:dyDescent="0.15">
      <c r="A115" s="21">
        <v>2.2070309999999999E-3</v>
      </c>
      <c r="B115" s="21">
        <f t="shared" si="2"/>
        <v>5.9581639999999998E-2</v>
      </c>
      <c r="D115">
        <f t="shared" si="3"/>
        <v>24.855421383647798</v>
      </c>
      <c r="G115" s="21">
        <v>-7.9040239999999998E-2</v>
      </c>
      <c r="H115" s="21">
        <v>5.9581639999999998E-2</v>
      </c>
    </row>
    <row r="116" spans="1:8" x14ac:dyDescent="0.15">
      <c r="A116" s="21">
        <v>2.226563E-3</v>
      </c>
      <c r="B116" s="21">
        <f t="shared" si="2"/>
        <v>1.3153639999999999E-2</v>
      </c>
      <c r="D116">
        <f t="shared" si="3"/>
        <v>6.2482578616352198</v>
      </c>
      <c r="G116" s="21">
        <v>-1.9869459999999999E-2</v>
      </c>
      <c r="H116" s="21">
        <v>1.3153639999999999E-2</v>
      </c>
    </row>
    <row r="117" spans="1:8" x14ac:dyDescent="0.15">
      <c r="A117" s="21">
        <v>2.2460940000000001E-3</v>
      </c>
      <c r="B117" s="21">
        <f t="shared" si="2"/>
        <v>-3.3363139999999999E-2</v>
      </c>
      <c r="D117">
        <f t="shared" si="3"/>
        <v>-12.395477987421383</v>
      </c>
      <c r="G117" s="21">
        <v>3.941762E-2</v>
      </c>
      <c r="H117" s="21">
        <v>-3.3363139999999999E-2</v>
      </c>
    </row>
    <row r="118" spans="1:8" x14ac:dyDescent="0.15">
      <c r="A118" s="21">
        <v>2.2656249999999998E-3</v>
      </c>
      <c r="B118" s="21">
        <f t="shared" si="2"/>
        <v>-7.8517500000000004E-2</v>
      </c>
      <c r="D118">
        <f t="shared" si="3"/>
        <v>-30.516644654088047</v>
      </c>
      <c r="G118" s="21">
        <v>9.7042929999999999E-2</v>
      </c>
      <c r="H118" s="21">
        <v>-7.8517500000000004E-2</v>
      </c>
    </row>
    <row r="119" spans="1:8" x14ac:dyDescent="0.15">
      <c r="A119" s="21">
        <v>2.285156E-3</v>
      </c>
      <c r="B119" s="21">
        <f t="shared" si="2"/>
        <v>-0.1208861</v>
      </c>
      <c r="D119">
        <f t="shared" si="3"/>
        <v>-47.43</v>
      </c>
      <c r="G119" s="21">
        <v>0.1508274</v>
      </c>
      <c r="H119" s="21">
        <v>-0.1208861</v>
      </c>
    </row>
    <row r="120" spans="1:8" x14ac:dyDescent="0.15">
      <c r="A120" s="21">
        <v>2.3046870000000001E-3</v>
      </c>
      <c r="B120" s="21">
        <f t="shared" si="2"/>
        <v>-0.15942680000000001</v>
      </c>
      <c r="D120">
        <f t="shared" si="3"/>
        <v>-62.889056603773582</v>
      </c>
      <c r="G120" s="21">
        <v>0.1999872</v>
      </c>
      <c r="H120" s="21">
        <v>-0.15942680000000001</v>
      </c>
    </row>
    <row r="121" spans="1:8" x14ac:dyDescent="0.15">
      <c r="A121" s="21">
        <v>2.3242190000000002E-3</v>
      </c>
      <c r="B121" s="21">
        <f t="shared" si="2"/>
        <v>-0.19270989999999999</v>
      </c>
      <c r="D121">
        <f t="shared" si="3"/>
        <v>-76.325345911949682</v>
      </c>
      <c r="G121" s="21">
        <v>0.2427146</v>
      </c>
      <c r="H121" s="21">
        <v>-0.19270989999999999</v>
      </c>
    </row>
    <row r="122" spans="1:8" x14ac:dyDescent="0.15">
      <c r="A122" s="21">
        <v>2.3437499999999999E-3</v>
      </c>
      <c r="B122" s="21">
        <f t="shared" si="2"/>
        <v>-0.2190462</v>
      </c>
      <c r="D122">
        <f t="shared" si="3"/>
        <v>-86.875471698113202</v>
      </c>
      <c r="G122" s="21">
        <v>0.27626400000000001</v>
      </c>
      <c r="H122" s="21">
        <v>-0.2190462</v>
      </c>
    </row>
    <row r="123" spans="1:8" x14ac:dyDescent="0.15">
      <c r="A123" s="21">
        <v>2.3632810000000001E-3</v>
      </c>
      <c r="B123" s="21">
        <f t="shared" si="2"/>
        <v>-0.23829420000000001</v>
      </c>
      <c r="D123">
        <f t="shared" si="3"/>
        <v>-94.64003144654086</v>
      </c>
      <c r="G123" s="21">
        <v>0.30095529999999998</v>
      </c>
      <c r="H123" s="21">
        <v>-0.23829420000000001</v>
      </c>
    </row>
    <row r="124" spans="1:8" x14ac:dyDescent="0.15">
      <c r="A124" s="21">
        <v>2.3828120000000002E-3</v>
      </c>
      <c r="B124" s="21">
        <f t="shared" si="2"/>
        <v>-0.249943</v>
      </c>
      <c r="D124">
        <f t="shared" si="3"/>
        <v>-99.372987421383641</v>
      </c>
      <c r="G124" s="21">
        <v>0.31600610000000001</v>
      </c>
      <c r="H124" s="21">
        <v>-0.249943</v>
      </c>
    </row>
    <row r="125" spans="1:8" x14ac:dyDescent="0.15">
      <c r="A125" s="21">
        <v>2.4023439999999998E-3</v>
      </c>
      <c r="B125" s="21">
        <f t="shared" si="2"/>
        <v>-0.25291330000000001</v>
      </c>
      <c r="D125">
        <f t="shared" si="3"/>
        <v>-100.5405031446541</v>
      </c>
      <c r="G125" s="21">
        <v>0.31971880000000003</v>
      </c>
      <c r="H125" s="21">
        <v>-0.25291330000000001</v>
      </c>
    </row>
    <row r="126" spans="1:8" x14ac:dyDescent="0.15">
      <c r="A126" s="21">
        <v>2.421875E-3</v>
      </c>
      <c r="B126" s="21">
        <f t="shared" si="2"/>
        <v>-0.24746940000000001</v>
      </c>
      <c r="D126">
        <f t="shared" si="3"/>
        <v>-98.442201257861626</v>
      </c>
      <c r="G126" s="21">
        <v>0.3130462</v>
      </c>
      <c r="H126" s="21">
        <v>-0.24746940000000001</v>
      </c>
    </row>
    <row r="127" spans="1:8" x14ac:dyDescent="0.15">
      <c r="A127" s="21">
        <v>2.4414060000000001E-3</v>
      </c>
      <c r="B127" s="21">
        <f t="shared" si="2"/>
        <v>-0.23389779999999999</v>
      </c>
      <c r="D127">
        <f t="shared" si="3"/>
        <v>-93.07682389937105</v>
      </c>
      <c r="G127" s="21">
        <v>0.29598429999999998</v>
      </c>
      <c r="H127" s="21">
        <v>-0.23389779999999999</v>
      </c>
    </row>
    <row r="128" spans="1:8" x14ac:dyDescent="0.15">
      <c r="A128" s="21">
        <v>2.4609380000000002E-3</v>
      </c>
      <c r="B128" s="21">
        <f t="shared" si="2"/>
        <v>-0.2124346</v>
      </c>
      <c r="D128">
        <f t="shared" si="3"/>
        <v>-84.498459119496843</v>
      </c>
      <c r="G128" s="21">
        <v>0.26870509999999997</v>
      </c>
      <c r="H128" s="21">
        <v>-0.2124346</v>
      </c>
    </row>
    <row r="129" spans="1:8" x14ac:dyDescent="0.15">
      <c r="A129" s="21">
        <v>2.4804689999999999E-3</v>
      </c>
      <c r="B129" s="21">
        <f t="shared" si="2"/>
        <v>-0.18390029999999999</v>
      </c>
      <c r="D129">
        <f t="shared" si="3"/>
        <v>-73.07088050314465</v>
      </c>
      <c r="G129" s="21">
        <v>0.2323654</v>
      </c>
      <c r="H129" s="21">
        <v>-0.18390029999999999</v>
      </c>
    </row>
    <row r="130" spans="1:8" x14ac:dyDescent="0.15">
      <c r="A130" s="21">
        <v>2.5000000000000001E-3</v>
      </c>
      <c r="B130" s="21">
        <f t="shared" si="2"/>
        <v>-0.14879519999999999</v>
      </c>
      <c r="D130">
        <f t="shared" si="3"/>
        <v>-58.943050314465403</v>
      </c>
      <c r="G130" s="21">
        <v>0.18743889999999999</v>
      </c>
      <c r="H130" s="21">
        <v>-0.14879519999999999</v>
      </c>
    </row>
    <row r="131" spans="1:8" x14ac:dyDescent="0.15">
      <c r="A131" s="21">
        <v>2.5195310000000002E-3</v>
      </c>
      <c r="B131" s="21">
        <f t="shared" ref="B131:B194" si="4">H131</f>
        <v>-0.1086321</v>
      </c>
      <c r="D131">
        <f t="shared" ref="D131:D194" si="5">G131*-1000/3.18</f>
        <v>-42.964779874213832</v>
      </c>
      <c r="G131" s="21">
        <v>0.136628</v>
      </c>
      <c r="H131" s="21">
        <v>-0.1086321</v>
      </c>
    </row>
    <row r="132" spans="1:8" x14ac:dyDescent="0.15">
      <c r="A132" s="21">
        <v>2.5390629999999998E-3</v>
      </c>
      <c r="B132" s="21">
        <f t="shared" si="4"/>
        <v>-6.481634E-2</v>
      </c>
      <c r="D132">
        <f t="shared" si="5"/>
        <v>-25.433562893081756</v>
      </c>
      <c r="G132" s="21">
        <v>8.0878729999999996E-2</v>
      </c>
      <c r="H132" s="21">
        <v>-6.481634E-2</v>
      </c>
    </row>
    <row r="133" spans="1:8" x14ac:dyDescent="0.15">
      <c r="A133" s="21">
        <v>2.558594E-3</v>
      </c>
      <c r="B133" s="21">
        <f t="shared" si="4"/>
        <v>-1.8309349999999999E-2</v>
      </c>
      <c r="D133">
        <f t="shared" si="5"/>
        <v>-6.6836918238993706</v>
      </c>
      <c r="G133" s="21">
        <v>2.1254140000000001E-2</v>
      </c>
      <c r="H133" s="21">
        <v>-1.8309349999999999E-2</v>
      </c>
    </row>
    <row r="134" spans="1:8" x14ac:dyDescent="0.15">
      <c r="A134" s="21">
        <v>2.5781250000000001E-3</v>
      </c>
      <c r="B134" s="21">
        <f t="shared" si="4"/>
        <v>2.8211480000000001E-2</v>
      </c>
      <c r="D134">
        <f t="shared" si="5"/>
        <v>11.868484276729561</v>
      </c>
      <c r="G134" s="21">
        <v>-3.7741780000000003E-2</v>
      </c>
      <c r="H134" s="21">
        <v>2.8211480000000001E-2</v>
      </c>
    </row>
    <row r="135" spans="1:8" x14ac:dyDescent="0.15">
      <c r="A135" s="21">
        <v>2.5976559999999998E-3</v>
      </c>
      <c r="B135" s="21">
        <f t="shared" si="4"/>
        <v>7.3269710000000002E-2</v>
      </c>
      <c r="D135">
        <f t="shared" si="5"/>
        <v>29.943823899371068</v>
      </c>
      <c r="G135" s="21">
        <v>-9.5221360000000005E-2</v>
      </c>
      <c r="H135" s="21">
        <v>7.3269710000000002E-2</v>
      </c>
    </row>
    <row r="136" spans="1:8" x14ac:dyDescent="0.15">
      <c r="A136" s="21">
        <v>2.6171879999999999E-3</v>
      </c>
      <c r="B136" s="21">
        <f t="shared" si="4"/>
        <v>0.1163833</v>
      </c>
      <c r="D136">
        <f t="shared" si="5"/>
        <v>47.276226415094342</v>
      </c>
      <c r="G136" s="21">
        <v>-0.15033840000000001</v>
      </c>
      <c r="H136" s="21">
        <v>0.1163833</v>
      </c>
    </row>
    <row r="137" spans="1:8" x14ac:dyDescent="0.15">
      <c r="A137" s="21">
        <v>2.636719E-3</v>
      </c>
      <c r="B137" s="21">
        <f t="shared" si="4"/>
        <v>0.15520329999999999</v>
      </c>
      <c r="D137">
        <f t="shared" si="5"/>
        <v>62.782610062893085</v>
      </c>
      <c r="G137" s="21">
        <v>-0.19964870000000001</v>
      </c>
      <c r="H137" s="21">
        <v>0.15520329999999999</v>
      </c>
    </row>
    <row r="138" spans="1:8" x14ac:dyDescent="0.15">
      <c r="A138" s="21">
        <v>2.6562500000000002E-3</v>
      </c>
      <c r="B138" s="21">
        <f t="shared" si="4"/>
        <v>0.1883773</v>
      </c>
      <c r="D138">
        <f t="shared" si="5"/>
        <v>76.180314465408799</v>
      </c>
      <c r="G138" s="21">
        <v>-0.24225340000000001</v>
      </c>
      <c r="H138" s="21">
        <v>0.1883773</v>
      </c>
    </row>
    <row r="139" spans="1:8" x14ac:dyDescent="0.15">
      <c r="A139" s="21">
        <v>2.6757809999999999E-3</v>
      </c>
      <c r="B139" s="21">
        <f t="shared" si="4"/>
        <v>0.21573629999999999</v>
      </c>
      <c r="D139">
        <f t="shared" si="5"/>
        <v>87.206037735849051</v>
      </c>
      <c r="G139" s="21">
        <v>-0.27731519999999998</v>
      </c>
      <c r="H139" s="21">
        <v>0.21573629999999999</v>
      </c>
    </row>
    <row r="140" spans="1:8" x14ac:dyDescent="0.15">
      <c r="A140" s="21">
        <v>2.695313E-3</v>
      </c>
      <c r="B140" s="21">
        <f t="shared" si="4"/>
        <v>0.2356606</v>
      </c>
      <c r="D140">
        <f t="shared" si="5"/>
        <v>95.17078616352201</v>
      </c>
      <c r="G140" s="21">
        <v>-0.3026431</v>
      </c>
      <c r="H140" s="21">
        <v>0.2356606</v>
      </c>
    </row>
    <row r="141" spans="1:8" x14ac:dyDescent="0.15">
      <c r="A141" s="21">
        <v>2.7148440000000001E-3</v>
      </c>
      <c r="B141" s="21">
        <f t="shared" si="4"/>
        <v>0.24733859999999999</v>
      </c>
      <c r="D141">
        <f t="shared" si="5"/>
        <v>99.927955974842774</v>
      </c>
      <c r="G141" s="21">
        <v>-0.31777090000000002</v>
      </c>
      <c r="H141" s="21">
        <v>0.24733859999999999</v>
      </c>
    </row>
    <row r="142" spans="1:8" x14ac:dyDescent="0.15">
      <c r="A142" s="21">
        <v>2.7343749999999998E-3</v>
      </c>
      <c r="B142" s="21">
        <f t="shared" si="4"/>
        <v>0.25081680000000001</v>
      </c>
      <c r="D142">
        <f t="shared" si="5"/>
        <v>101.34754716981131</v>
      </c>
      <c r="G142" s="21">
        <v>-0.32228519999999999</v>
      </c>
      <c r="H142" s="21">
        <v>0.25081680000000001</v>
      </c>
    </row>
    <row r="143" spans="1:8" x14ac:dyDescent="0.15">
      <c r="A143" s="21">
        <v>2.753906E-3</v>
      </c>
      <c r="B143" s="21">
        <f t="shared" si="4"/>
        <v>0.24590960000000001</v>
      </c>
      <c r="D143">
        <f t="shared" si="5"/>
        <v>99.401572327044036</v>
      </c>
      <c r="G143" s="21">
        <v>-0.31609700000000002</v>
      </c>
      <c r="H143" s="21">
        <v>0.24590960000000001</v>
      </c>
    </row>
    <row r="144" spans="1:8" x14ac:dyDescent="0.15">
      <c r="A144" s="21">
        <v>2.7734370000000001E-3</v>
      </c>
      <c r="B144" s="21">
        <f t="shared" si="4"/>
        <v>0.23316290000000001</v>
      </c>
      <c r="D144">
        <f t="shared" si="5"/>
        <v>94.370062893081752</v>
      </c>
      <c r="G144" s="21">
        <v>-0.3000968</v>
      </c>
      <c r="H144" s="21">
        <v>0.23316290000000001</v>
      </c>
    </row>
    <row r="145" spans="1:8" x14ac:dyDescent="0.15">
      <c r="A145" s="21">
        <v>2.7929690000000002E-3</v>
      </c>
      <c r="B145" s="21">
        <f t="shared" si="4"/>
        <v>0.21210999999999999</v>
      </c>
      <c r="D145">
        <f t="shared" si="5"/>
        <v>85.891635220125764</v>
      </c>
      <c r="G145" s="21">
        <v>-0.27313539999999997</v>
      </c>
      <c r="H145" s="21">
        <v>0.21210999999999999</v>
      </c>
    </row>
    <row r="146" spans="1:8" x14ac:dyDescent="0.15">
      <c r="A146" s="21">
        <v>2.8124999999999999E-3</v>
      </c>
      <c r="B146" s="21">
        <f t="shared" si="4"/>
        <v>0.1836441</v>
      </c>
      <c r="D146">
        <f t="shared" si="5"/>
        <v>74.508050314465407</v>
      </c>
      <c r="G146" s="21">
        <v>-0.2369356</v>
      </c>
      <c r="H146" s="21">
        <v>0.1836441</v>
      </c>
    </row>
    <row r="147" spans="1:8" x14ac:dyDescent="0.15">
      <c r="A147" s="21">
        <v>2.832031E-3</v>
      </c>
      <c r="B147" s="21">
        <f t="shared" si="4"/>
        <v>0.14936260000000001</v>
      </c>
      <c r="D147">
        <f t="shared" si="5"/>
        <v>60.856226415094334</v>
      </c>
      <c r="G147" s="21">
        <v>-0.19352279999999999</v>
      </c>
      <c r="H147" s="21">
        <v>0.14936260000000001</v>
      </c>
    </row>
    <row r="148" spans="1:8" x14ac:dyDescent="0.15">
      <c r="A148" s="21">
        <v>2.8515620000000002E-3</v>
      </c>
      <c r="B148" s="21">
        <f t="shared" si="4"/>
        <v>0.10895390000000001</v>
      </c>
      <c r="D148">
        <f t="shared" si="5"/>
        <v>44.610503144654089</v>
      </c>
      <c r="G148" s="21">
        <v>-0.1418614</v>
      </c>
      <c r="H148" s="21">
        <v>0.10895390000000001</v>
      </c>
    </row>
    <row r="149" spans="1:8" x14ac:dyDescent="0.15">
      <c r="A149" s="21">
        <v>2.8710939999999998E-3</v>
      </c>
      <c r="B149" s="21">
        <f t="shared" si="4"/>
        <v>6.5019800000000003E-2</v>
      </c>
      <c r="D149">
        <f t="shared" si="5"/>
        <v>27.060528301886791</v>
      </c>
      <c r="G149" s="21">
        <v>-8.6052480000000001E-2</v>
      </c>
      <c r="H149" s="21">
        <v>6.5019800000000003E-2</v>
      </c>
    </row>
    <row r="150" spans="1:8" x14ac:dyDescent="0.15">
      <c r="A150" s="21">
        <v>2.890625E-3</v>
      </c>
      <c r="B150" s="21">
        <f t="shared" si="4"/>
        <v>1.968263E-2</v>
      </c>
      <c r="D150">
        <f t="shared" si="5"/>
        <v>8.9467138364779863</v>
      </c>
      <c r="G150" s="21">
        <v>-2.8450550000000002E-2</v>
      </c>
      <c r="H150" s="21">
        <v>1.968263E-2</v>
      </c>
    </row>
    <row r="151" spans="1:8" x14ac:dyDescent="0.15">
      <c r="A151" s="21">
        <v>2.9101560000000001E-3</v>
      </c>
      <c r="B151" s="21">
        <f t="shared" si="4"/>
        <v>-2.7181730000000001E-2</v>
      </c>
      <c r="D151">
        <f t="shared" si="5"/>
        <v>-9.8991069182389939</v>
      </c>
      <c r="G151" s="21">
        <v>3.1479159999999999E-2</v>
      </c>
      <c r="H151" s="21">
        <v>-2.7181730000000001E-2</v>
      </c>
    </row>
    <row r="152" spans="1:8" x14ac:dyDescent="0.15">
      <c r="A152" s="21">
        <v>2.9296880000000002E-3</v>
      </c>
      <c r="B152" s="21">
        <f t="shared" si="4"/>
        <v>-7.2742479999999998E-2</v>
      </c>
      <c r="D152">
        <f t="shared" si="5"/>
        <v>-28.123783018867922</v>
      </c>
      <c r="G152" s="21">
        <v>8.943363E-2</v>
      </c>
      <c r="H152" s="21">
        <v>-7.2742479999999998E-2</v>
      </c>
    </row>
    <row r="153" spans="1:8" x14ac:dyDescent="0.15">
      <c r="A153" s="21">
        <v>2.9492189999999999E-3</v>
      </c>
      <c r="B153" s="21">
        <f t="shared" si="4"/>
        <v>-0.1154453</v>
      </c>
      <c r="D153">
        <f t="shared" si="5"/>
        <v>-45.227044025157234</v>
      </c>
      <c r="G153" s="21">
        <v>0.14382200000000001</v>
      </c>
      <c r="H153" s="21">
        <v>-0.1154453</v>
      </c>
    </row>
    <row r="154" spans="1:8" x14ac:dyDescent="0.15">
      <c r="A154" s="21">
        <v>2.96875E-3</v>
      </c>
      <c r="B154" s="21">
        <f t="shared" si="4"/>
        <v>-0.15475710000000001</v>
      </c>
      <c r="D154">
        <f t="shared" si="5"/>
        <v>-61.001603773584897</v>
      </c>
      <c r="G154" s="21">
        <v>0.19398509999999999</v>
      </c>
      <c r="H154" s="21">
        <v>-0.15475710000000001</v>
      </c>
    </row>
    <row r="155" spans="1:8" x14ac:dyDescent="0.15">
      <c r="A155" s="21">
        <v>2.9882810000000002E-3</v>
      </c>
      <c r="B155" s="21">
        <f t="shared" si="4"/>
        <v>-0.18840509999999999</v>
      </c>
      <c r="D155">
        <f t="shared" si="5"/>
        <v>-74.532735849056607</v>
      </c>
      <c r="G155" s="21">
        <v>0.23701410000000001</v>
      </c>
      <c r="H155" s="21">
        <v>-0.18840509999999999</v>
      </c>
    </row>
    <row r="156" spans="1:8" x14ac:dyDescent="0.15">
      <c r="A156" s="21">
        <v>3.0078129999999998E-3</v>
      </c>
      <c r="B156" s="21">
        <f t="shared" si="4"/>
        <v>-0.21624160000000001</v>
      </c>
      <c r="D156">
        <f t="shared" si="5"/>
        <v>-85.777672955974822</v>
      </c>
      <c r="G156" s="21">
        <v>0.27277299999999999</v>
      </c>
      <c r="H156" s="21">
        <v>-0.21624160000000001</v>
      </c>
    </row>
    <row r="157" spans="1:8" x14ac:dyDescent="0.15">
      <c r="A157" s="21">
        <v>3.027344E-3</v>
      </c>
      <c r="B157" s="21">
        <f t="shared" si="4"/>
        <v>-0.23705560000000001</v>
      </c>
      <c r="D157">
        <f t="shared" si="5"/>
        <v>-94.059119496855345</v>
      </c>
      <c r="G157" s="21">
        <v>0.29910799999999998</v>
      </c>
      <c r="H157" s="21">
        <v>-0.23705560000000001</v>
      </c>
    </row>
    <row r="158" spans="1:8" x14ac:dyDescent="0.15">
      <c r="A158" s="21">
        <v>3.0468750000000001E-3</v>
      </c>
      <c r="B158" s="21">
        <f t="shared" si="4"/>
        <v>-0.24882699999999999</v>
      </c>
      <c r="D158">
        <f t="shared" si="5"/>
        <v>-98.801823899371058</v>
      </c>
      <c r="G158" s="21">
        <v>0.31418980000000002</v>
      </c>
      <c r="H158" s="21">
        <v>-0.24882699999999999</v>
      </c>
    </row>
    <row r="159" spans="1:8" x14ac:dyDescent="0.15">
      <c r="A159" s="21">
        <v>3.0664059999999998E-3</v>
      </c>
      <c r="B159" s="21">
        <f t="shared" si="4"/>
        <v>-0.25287850000000001</v>
      </c>
      <c r="D159">
        <f t="shared" si="5"/>
        <v>-100.62786163522011</v>
      </c>
      <c r="G159" s="21">
        <v>0.31999660000000002</v>
      </c>
      <c r="H159" s="21">
        <v>-0.25287850000000001</v>
      </c>
    </row>
    <row r="160" spans="1:8" x14ac:dyDescent="0.15">
      <c r="A160" s="21">
        <v>3.0859379999999999E-3</v>
      </c>
      <c r="B160" s="21">
        <f t="shared" si="4"/>
        <v>-0.2487907</v>
      </c>
      <c r="D160">
        <f t="shared" si="5"/>
        <v>-99.01276729559747</v>
      </c>
      <c r="G160" s="21">
        <v>0.31486059999999999</v>
      </c>
      <c r="H160" s="21">
        <v>-0.2487907</v>
      </c>
    </row>
    <row r="161" spans="1:8" x14ac:dyDescent="0.15">
      <c r="A161" s="21">
        <v>3.105469E-3</v>
      </c>
      <c r="B161" s="21">
        <f t="shared" si="4"/>
        <v>-0.23599310000000001</v>
      </c>
      <c r="D161">
        <f t="shared" si="5"/>
        <v>-93.835408805031449</v>
      </c>
      <c r="G161" s="21">
        <v>0.29839660000000001</v>
      </c>
      <c r="H161" s="21">
        <v>-0.23599310000000001</v>
      </c>
    </row>
    <row r="162" spans="1:8" x14ac:dyDescent="0.15">
      <c r="A162" s="21">
        <v>3.1250000000000002E-3</v>
      </c>
      <c r="B162" s="21">
        <f t="shared" si="4"/>
        <v>-0.21624160000000001</v>
      </c>
      <c r="D162">
        <f t="shared" si="5"/>
        <v>-86.001069182389926</v>
      </c>
      <c r="G162" s="21">
        <v>0.27348339999999999</v>
      </c>
      <c r="H162" s="21">
        <v>-0.21624160000000001</v>
      </c>
    </row>
    <row r="163" spans="1:8" x14ac:dyDescent="0.15">
      <c r="A163" s="21">
        <v>3.1445309999999999E-3</v>
      </c>
      <c r="B163" s="21">
        <f t="shared" si="4"/>
        <v>-0.1887173</v>
      </c>
      <c r="D163">
        <f t="shared" si="5"/>
        <v>-74.981666666666669</v>
      </c>
      <c r="G163" s="21">
        <v>0.23844170000000001</v>
      </c>
      <c r="H163" s="21">
        <v>-0.1887173</v>
      </c>
    </row>
    <row r="164" spans="1:8" x14ac:dyDescent="0.15">
      <c r="A164" s="21">
        <v>3.1640629999999999E-3</v>
      </c>
      <c r="B164" s="21">
        <f t="shared" si="4"/>
        <v>-0.153668</v>
      </c>
      <c r="D164">
        <f t="shared" si="5"/>
        <v>-60.975849056603771</v>
      </c>
      <c r="G164" s="21">
        <v>0.1939032</v>
      </c>
      <c r="H164" s="21">
        <v>-0.153668</v>
      </c>
    </row>
    <row r="165" spans="1:8" x14ac:dyDescent="0.15">
      <c r="A165" s="21">
        <v>3.1835940000000001E-3</v>
      </c>
      <c r="B165" s="21">
        <f t="shared" si="4"/>
        <v>-0.11375639999999999</v>
      </c>
      <c r="D165">
        <f t="shared" si="5"/>
        <v>-45.094308176100625</v>
      </c>
      <c r="G165" s="21">
        <v>0.1433999</v>
      </c>
      <c r="H165" s="21">
        <v>-0.11375639999999999</v>
      </c>
    </row>
    <row r="166" spans="1:8" x14ac:dyDescent="0.15">
      <c r="A166" s="21">
        <v>3.2031249999999998E-3</v>
      </c>
      <c r="B166" s="21">
        <f t="shared" si="4"/>
        <v>-7.0352390000000001E-2</v>
      </c>
      <c r="D166">
        <f t="shared" si="5"/>
        <v>-27.635232704402515</v>
      </c>
      <c r="G166" s="21">
        <v>8.7880040000000006E-2</v>
      </c>
      <c r="H166" s="21">
        <v>-7.0352390000000001E-2</v>
      </c>
    </row>
    <row r="167" spans="1:8" x14ac:dyDescent="0.15">
      <c r="A167" s="21">
        <v>3.222656E-3</v>
      </c>
      <c r="B167" s="21">
        <f t="shared" si="4"/>
        <v>-2.4949450000000001E-2</v>
      </c>
      <c r="D167">
        <f t="shared" si="5"/>
        <v>-9.4348836477987419</v>
      </c>
      <c r="G167" s="21">
        <v>3.0002930000000001E-2</v>
      </c>
      <c r="H167" s="21">
        <v>-2.4949450000000001E-2</v>
      </c>
    </row>
    <row r="168" spans="1:8" x14ac:dyDescent="0.15">
      <c r="A168" s="21">
        <v>3.242188E-3</v>
      </c>
      <c r="B168" s="21">
        <f t="shared" si="4"/>
        <v>2.1485919999999999E-2</v>
      </c>
      <c r="D168">
        <f t="shared" si="5"/>
        <v>9.122421383647799</v>
      </c>
      <c r="G168" s="21">
        <v>-2.9009299999999998E-2</v>
      </c>
      <c r="H168" s="21">
        <v>2.1485919999999999E-2</v>
      </c>
    </row>
    <row r="169" spans="1:8" x14ac:dyDescent="0.15">
      <c r="A169" s="21">
        <v>3.2617190000000002E-3</v>
      </c>
      <c r="B169" s="21">
        <f t="shared" si="4"/>
        <v>6.767513E-2</v>
      </c>
      <c r="D169">
        <f t="shared" si="5"/>
        <v>27.687691823899371</v>
      </c>
      <c r="G169" s="21">
        <v>-8.8046860000000005E-2</v>
      </c>
      <c r="H169" s="21">
        <v>6.767513E-2</v>
      </c>
    </row>
    <row r="170" spans="1:8" x14ac:dyDescent="0.15">
      <c r="A170" s="21">
        <v>3.2812499999999999E-3</v>
      </c>
      <c r="B170" s="21">
        <f t="shared" si="4"/>
        <v>0.110833</v>
      </c>
      <c r="D170">
        <f t="shared" si="5"/>
        <v>44.984905660377365</v>
      </c>
      <c r="G170" s="21">
        <v>-0.14305200000000001</v>
      </c>
      <c r="H170" s="21">
        <v>0.110833</v>
      </c>
    </row>
    <row r="171" spans="1:8" x14ac:dyDescent="0.15">
      <c r="A171" s="21">
        <v>3.300781E-3</v>
      </c>
      <c r="B171" s="21">
        <f t="shared" si="4"/>
        <v>0.15009629999999999</v>
      </c>
      <c r="D171">
        <f t="shared" si="5"/>
        <v>60.800754716981125</v>
      </c>
      <c r="G171" s="21">
        <v>-0.1933464</v>
      </c>
      <c r="H171" s="21">
        <v>0.15009629999999999</v>
      </c>
    </row>
    <row r="172" spans="1:8" x14ac:dyDescent="0.15">
      <c r="A172" s="21">
        <v>3.3203120000000002E-3</v>
      </c>
      <c r="B172" s="21">
        <f t="shared" si="4"/>
        <v>0.18456510000000001</v>
      </c>
      <c r="D172">
        <f t="shared" si="5"/>
        <v>74.683270440251576</v>
      </c>
      <c r="G172" s="21">
        <v>-0.2374928</v>
      </c>
      <c r="H172" s="21">
        <v>0.18456510000000001</v>
      </c>
    </row>
    <row r="173" spans="1:8" x14ac:dyDescent="0.15">
      <c r="A173" s="21">
        <v>3.3398439999999998E-3</v>
      </c>
      <c r="B173" s="21">
        <f t="shared" si="4"/>
        <v>0.21223220000000001</v>
      </c>
      <c r="D173">
        <f t="shared" si="5"/>
        <v>85.757044025157228</v>
      </c>
      <c r="G173" s="21">
        <v>-0.27270739999999999</v>
      </c>
      <c r="H173" s="21">
        <v>0.21223220000000001</v>
      </c>
    </row>
    <row r="174" spans="1:8" x14ac:dyDescent="0.15">
      <c r="A174" s="21">
        <v>3.3593749999999999E-3</v>
      </c>
      <c r="B174" s="21">
        <f t="shared" si="4"/>
        <v>0.23322609999999999</v>
      </c>
      <c r="D174">
        <f t="shared" si="5"/>
        <v>94.23556603773585</v>
      </c>
      <c r="G174" s="21">
        <v>-0.29966910000000002</v>
      </c>
      <c r="H174" s="21">
        <v>0.23322609999999999</v>
      </c>
    </row>
    <row r="175" spans="1:8" x14ac:dyDescent="0.15">
      <c r="A175" s="21">
        <v>3.3789060000000001E-3</v>
      </c>
      <c r="B175" s="21">
        <f t="shared" si="4"/>
        <v>0.24631459999999999</v>
      </c>
      <c r="D175">
        <f t="shared" si="5"/>
        <v>99.482201257861632</v>
      </c>
      <c r="G175" s="21">
        <v>-0.31635340000000001</v>
      </c>
      <c r="H175" s="21">
        <v>0.24631459999999999</v>
      </c>
    </row>
    <row r="176" spans="1:8" x14ac:dyDescent="0.15">
      <c r="A176" s="21">
        <v>3.3984369999999998E-3</v>
      </c>
      <c r="B176" s="21">
        <f t="shared" si="4"/>
        <v>0.25039270000000002</v>
      </c>
      <c r="D176">
        <f t="shared" si="5"/>
        <v>101.15364779874214</v>
      </c>
      <c r="G176" s="21">
        <v>-0.32166860000000003</v>
      </c>
      <c r="H176" s="21">
        <v>0.25039270000000002</v>
      </c>
    </row>
    <row r="177" spans="1:8" x14ac:dyDescent="0.15">
      <c r="A177" s="21">
        <v>3.4179689999999999E-3</v>
      </c>
      <c r="B177" s="21">
        <f t="shared" si="4"/>
        <v>0.2471739</v>
      </c>
      <c r="D177">
        <f t="shared" si="5"/>
        <v>99.957075471698118</v>
      </c>
      <c r="G177" s="21">
        <v>-0.31786350000000002</v>
      </c>
      <c r="H177" s="21">
        <v>0.2471739</v>
      </c>
    </row>
    <row r="178" spans="1:8" x14ac:dyDescent="0.15">
      <c r="A178" s="21">
        <v>3.4375E-3</v>
      </c>
      <c r="B178" s="21">
        <f t="shared" si="4"/>
        <v>0.2356732</v>
      </c>
      <c r="D178">
        <f t="shared" si="5"/>
        <v>95.326320754716974</v>
      </c>
      <c r="G178" s="21">
        <v>-0.30313770000000001</v>
      </c>
      <c r="H178" s="21">
        <v>0.2356732</v>
      </c>
    </row>
    <row r="179" spans="1:8" x14ac:dyDescent="0.15">
      <c r="A179" s="21">
        <v>3.4570310000000002E-3</v>
      </c>
      <c r="B179" s="21">
        <f t="shared" si="4"/>
        <v>0.21553059999999999</v>
      </c>
      <c r="D179">
        <f t="shared" si="5"/>
        <v>87.220911949685529</v>
      </c>
      <c r="G179" s="21">
        <v>-0.27736250000000001</v>
      </c>
      <c r="H179" s="21">
        <v>0.21553059999999999</v>
      </c>
    </row>
    <row r="180" spans="1:8" x14ac:dyDescent="0.15">
      <c r="A180" s="21">
        <v>3.4765629999999998E-3</v>
      </c>
      <c r="B180" s="21">
        <f t="shared" si="4"/>
        <v>0.1882519</v>
      </c>
      <c r="D180">
        <f t="shared" si="5"/>
        <v>76.283333333333331</v>
      </c>
      <c r="G180" s="21">
        <v>-0.24258099999999999</v>
      </c>
      <c r="H180" s="21">
        <v>0.1882519</v>
      </c>
    </row>
    <row r="181" spans="1:8" x14ac:dyDescent="0.15">
      <c r="A181" s="21">
        <v>3.4960939999999999E-3</v>
      </c>
      <c r="B181" s="21">
        <f t="shared" si="4"/>
        <v>0.15374479999999999</v>
      </c>
      <c r="D181">
        <f t="shared" si="5"/>
        <v>62.482075471698117</v>
      </c>
      <c r="G181" s="21">
        <v>-0.19869300000000001</v>
      </c>
      <c r="H181" s="21">
        <v>0.15374479999999999</v>
      </c>
    </row>
    <row r="182" spans="1:8" x14ac:dyDescent="0.15">
      <c r="A182" s="21">
        <v>3.5156250000000001E-3</v>
      </c>
      <c r="B182" s="21">
        <f t="shared" si="4"/>
        <v>0.11437170000000001</v>
      </c>
      <c r="D182">
        <f t="shared" si="5"/>
        <v>46.778176100628926</v>
      </c>
      <c r="G182" s="21">
        <v>-0.14875459999999999</v>
      </c>
      <c r="H182" s="21">
        <v>0.11437170000000001</v>
      </c>
    </row>
    <row r="183" spans="1:8" x14ac:dyDescent="0.15">
      <c r="A183" s="21">
        <v>3.5351559999999998E-3</v>
      </c>
      <c r="B183" s="21">
        <f t="shared" si="4"/>
        <v>7.1861300000000003E-2</v>
      </c>
      <c r="D183">
        <f t="shared" si="5"/>
        <v>29.792295597484276</v>
      </c>
      <c r="G183" s="21">
        <v>-9.4739500000000004E-2</v>
      </c>
      <c r="H183" s="21">
        <v>7.1861300000000003E-2</v>
      </c>
    </row>
    <row r="184" spans="1:8" x14ac:dyDescent="0.15">
      <c r="A184" s="21">
        <v>3.5546879999999999E-3</v>
      </c>
      <c r="B184" s="21">
        <f t="shared" si="4"/>
        <v>2.5970320000000002E-2</v>
      </c>
      <c r="D184">
        <f t="shared" si="5"/>
        <v>11.347597484276728</v>
      </c>
      <c r="G184" s="21">
        <v>-3.6085359999999997E-2</v>
      </c>
      <c r="H184" s="21">
        <v>2.5970320000000002E-2</v>
      </c>
    </row>
    <row r="185" spans="1:8" x14ac:dyDescent="0.15">
      <c r="A185" s="21">
        <v>3.574219E-3</v>
      </c>
      <c r="B185" s="21">
        <f t="shared" si="4"/>
        <v>-2.074461E-2</v>
      </c>
      <c r="D185">
        <f t="shared" si="5"/>
        <v>-7.3805094339622643</v>
      </c>
      <c r="G185" s="21">
        <v>2.3470020000000001E-2</v>
      </c>
      <c r="H185" s="21">
        <v>-2.074461E-2</v>
      </c>
    </row>
    <row r="186" spans="1:8" x14ac:dyDescent="0.15">
      <c r="A186" s="21">
        <v>3.5937500000000002E-3</v>
      </c>
      <c r="B186" s="21">
        <f t="shared" si="4"/>
        <v>-6.6462099999999996E-2</v>
      </c>
      <c r="D186">
        <f t="shared" si="5"/>
        <v>-25.59114150943396</v>
      </c>
      <c r="G186" s="21">
        <v>8.137983E-2</v>
      </c>
      <c r="H186" s="21">
        <v>-6.6462099999999996E-2</v>
      </c>
    </row>
    <row r="187" spans="1:8" x14ac:dyDescent="0.15">
      <c r="A187" s="21">
        <v>3.6132809999999999E-3</v>
      </c>
      <c r="B187" s="21">
        <f t="shared" si="4"/>
        <v>-0.11039880000000001</v>
      </c>
      <c r="D187">
        <f t="shared" si="5"/>
        <v>-43.214371069182391</v>
      </c>
      <c r="G187" s="21">
        <v>0.13742170000000001</v>
      </c>
      <c r="H187" s="21">
        <v>-0.11039880000000001</v>
      </c>
    </row>
    <row r="188" spans="1:8" x14ac:dyDescent="0.15">
      <c r="A188" s="21">
        <v>3.6328129999999999E-3</v>
      </c>
      <c r="B188" s="21">
        <f t="shared" si="4"/>
        <v>-0.14994460000000001</v>
      </c>
      <c r="D188">
        <f t="shared" si="5"/>
        <v>-59.110503144654089</v>
      </c>
      <c r="G188" s="21">
        <v>0.18797140000000001</v>
      </c>
      <c r="H188" s="21">
        <v>-0.14994460000000001</v>
      </c>
    </row>
    <row r="189" spans="1:8" x14ac:dyDescent="0.15">
      <c r="A189" s="21">
        <v>3.6523440000000001E-3</v>
      </c>
      <c r="B189" s="21">
        <f t="shared" si="4"/>
        <v>-0.18378530000000001</v>
      </c>
      <c r="D189">
        <f t="shared" si="5"/>
        <v>-72.69638364779874</v>
      </c>
      <c r="G189" s="21">
        <v>0.2311745</v>
      </c>
      <c r="H189" s="21">
        <v>-0.18378530000000001</v>
      </c>
    </row>
    <row r="190" spans="1:8" x14ac:dyDescent="0.15">
      <c r="A190" s="21">
        <v>3.6718749999999998E-3</v>
      </c>
      <c r="B190" s="21">
        <f t="shared" si="4"/>
        <v>-0.21208460000000001</v>
      </c>
      <c r="D190">
        <f t="shared" si="5"/>
        <v>-84.156037735849068</v>
      </c>
      <c r="G190" s="21">
        <v>0.26761620000000003</v>
      </c>
      <c r="H190" s="21">
        <v>-0.21208460000000001</v>
      </c>
    </row>
    <row r="191" spans="1:8" x14ac:dyDescent="0.15">
      <c r="A191" s="21">
        <v>3.6914059999999999E-3</v>
      </c>
      <c r="B191" s="21">
        <f t="shared" si="4"/>
        <v>-0.23394490000000001</v>
      </c>
      <c r="D191">
        <f t="shared" si="5"/>
        <v>-92.966761006289303</v>
      </c>
      <c r="G191" s="21">
        <v>0.29563430000000002</v>
      </c>
      <c r="H191" s="21">
        <v>-0.23394490000000001</v>
      </c>
    </row>
    <row r="192" spans="1:8" x14ac:dyDescent="0.15">
      <c r="A192" s="21">
        <v>3.710938E-3</v>
      </c>
      <c r="B192" s="21">
        <f t="shared" si="4"/>
        <v>-0.2477231</v>
      </c>
      <c r="D192">
        <f t="shared" si="5"/>
        <v>-98.465943396226407</v>
      </c>
      <c r="G192" s="21">
        <v>0.3131217</v>
      </c>
      <c r="H192" s="21">
        <v>-0.2477231</v>
      </c>
    </row>
    <row r="193" spans="1:8" x14ac:dyDescent="0.15">
      <c r="A193" s="21">
        <v>3.7304690000000001E-3</v>
      </c>
      <c r="B193" s="21">
        <f t="shared" si="4"/>
        <v>-0.25267420000000002</v>
      </c>
      <c r="D193">
        <f t="shared" si="5"/>
        <v>-100.50874213836477</v>
      </c>
      <c r="G193" s="21">
        <v>0.31961780000000001</v>
      </c>
      <c r="H193" s="21">
        <v>-0.25267420000000002</v>
      </c>
    </row>
    <row r="194" spans="1:8" x14ac:dyDescent="0.15">
      <c r="A194" s="21">
        <v>3.7499999999999999E-3</v>
      </c>
      <c r="B194" s="21">
        <f t="shared" si="4"/>
        <v>-0.24949769999999999</v>
      </c>
      <c r="D194">
        <f t="shared" si="5"/>
        <v>-99.377955974842763</v>
      </c>
      <c r="G194" s="21">
        <v>0.31602190000000002</v>
      </c>
      <c r="H194" s="21">
        <v>-0.24949769999999999</v>
      </c>
    </row>
    <row r="195" spans="1:8" x14ac:dyDescent="0.15">
      <c r="A195" s="21">
        <v>3.769531E-3</v>
      </c>
      <c r="B195" s="21">
        <f t="shared" ref="B195:B258" si="6">H195</f>
        <v>-0.23815839999999999</v>
      </c>
      <c r="D195">
        <f t="shared" ref="D195:D258" si="7">G195*-1000/3.18</f>
        <v>-94.880062893081757</v>
      </c>
      <c r="G195" s="21">
        <v>0.3017186</v>
      </c>
      <c r="H195" s="21">
        <v>-0.23815839999999999</v>
      </c>
    </row>
    <row r="196" spans="1:8" x14ac:dyDescent="0.15">
      <c r="A196" s="21">
        <v>3.7890620000000002E-3</v>
      </c>
      <c r="B196" s="21">
        <f t="shared" si="6"/>
        <v>-0.2184111</v>
      </c>
      <c r="D196">
        <f t="shared" si="7"/>
        <v>-86.89135220125786</v>
      </c>
      <c r="G196" s="21">
        <v>0.27631450000000002</v>
      </c>
      <c r="H196" s="21">
        <v>-0.2184111</v>
      </c>
    </row>
    <row r="197" spans="1:8" x14ac:dyDescent="0.15">
      <c r="A197" s="21">
        <v>3.8085940000000002E-3</v>
      </c>
      <c r="B197" s="21">
        <f t="shared" si="6"/>
        <v>-0.1916303</v>
      </c>
      <c r="D197">
        <f t="shared" si="7"/>
        <v>-76.24776729559747</v>
      </c>
      <c r="G197" s="21">
        <v>0.24246789999999999</v>
      </c>
      <c r="H197" s="21">
        <v>-0.1916303</v>
      </c>
    </row>
    <row r="198" spans="1:8" x14ac:dyDescent="0.15">
      <c r="A198" s="21">
        <v>3.8281249999999999E-3</v>
      </c>
      <c r="B198" s="21">
        <f t="shared" si="6"/>
        <v>-0.1583521</v>
      </c>
      <c r="D198">
        <f t="shared" si="7"/>
        <v>-63.029433962264143</v>
      </c>
      <c r="G198" s="21">
        <v>0.20043359999999999</v>
      </c>
      <c r="H198" s="21">
        <v>-0.1583521</v>
      </c>
    </row>
    <row r="199" spans="1:8" x14ac:dyDescent="0.15">
      <c r="A199" s="21">
        <v>3.8476560000000001E-3</v>
      </c>
      <c r="B199" s="21">
        <f t="shared" si="6"/>
        <v>-0.11909450000000001</v>
      </c>
      <c r="D199">
        <f t="shared" si="7"/>
        <v>-47.228710691823892</v>
      </c>
      <c r="G199" s="21">
        <v>0.1501873</v>
      </c>
      <c r="H199" s="21">
        <v>-0.11909450000000001</v>
      </c>
    </row>
    <row r="200" spans="1:8" x14ac:dyDescent="0.15">
      <c r="A200" s="21">
        <v>3.8671869999999998E-3</v>
      </c>
      <c r="B200" s="21">
        <f t="shared" si="6"/>
        <v>-7.6183570000000006E-2</v>
      </c>
      <c r="D200">
        <f t="shared" si="7"/>
        <v>-30.003207547169811</v>
      </c>
      <c r="G200" s="21">
        <v>9.5410200000000001E-2</v>
      </c>
      <c r="H200" s="21">
        <v>-7.6183570000000006E-2</v>
      </c>
    </row>
    <row r="201" spans="1:8" x14ac:dyDescent="0.15">
      <c r="A201" s="21">
        <v>3.8867189999999999E-3</v>
      </c>
      <c r="B201" s="21">
        <f t="shared" si="6"/>
        <v>-3.0804129999999999E-2</v>
      </c>
      <c r="D201">
        <f t="shared" si="7"/>
        <v>-11.874528301886793</v>
      </c>
      <c r="G201" s="21">
        <v>3.7761000000000003E-2</v>
      </c>
      <c r="H201" s="21">
        <v>-3.0804129999999999E-2</v>
      </c>
    </row>
    <row r="202" spans="1:8" x14ac:dyDescent="0.15">
      <c r="A202" s="21">
        <v>3.90625E-3</v>
      </c>
      <c r="B202" s="21">
        <f t="shared" si="6"/>
        <v>1.6064660000000001E-2</v>
      </c>
      <c r="D202">
        <f t="shared" si="7"/>
        <v>6.8923805031446541</v>
      </c>
      <c r="G202" s="21">
        <v>-2.191777E-2</v>
      </c>
      <c r="H202" s="21">
        <v>1.6064660000000001E-2</v>
      </c>
    </row>
    <row r="203" spans="1:8" x14ac:dyDescent="0.15">
      <c r="A203" s="21">
        <v>3.9257809999999997E-3</v>
      </c>
      <c r="B203" s="21">
        <f t="shared" si="6"/>
        <v>6.2133050000000002E-2</v>
      </c>
      <c r="D203">
        <f t="shared" si="7"/>
        <v>25.458883647798739</v>
      </c>
      <c r="G203" s="21">
        <v>-8.0959249999999996E-2</v>
      </c>
      <c r="H203" s="21">
        <v>6.2133050000000002E-2</v>
      </c>
    </row>
    <row r="204" spans="1:8" x14ac:dyDescent="0.15">
      <c r="A204" s="21">
        <v>3.9453129999999998E-3</v>
      </c>
      <c r="B204" s="21">
        <f t="shared" si="6"/>
        <v>0.1058302</v>
      </c>
      <c r="D204">
        <f t="shared" si="7"/>
        <v>43.062987421383639</v>
      </c>
      <c r="G204" s="21">
        <v>-0.13694029999999999</v>
      </c>
      <c r="H204" s="21">
        <v>0.1058302</v>
      </c>
    </row>
    <row r="205" spans="1:8" x14ac:dyDescent="0.15">
      <c r="A205" s="21">
        <v>3.9648440000000004E-3</v>
      </c>
      <c r="B205" s="21">
        <f t="shared" si="6"/>
        <v>0.1454992</v>
      </c>
      <c r="D205">
        <f t="shared" si="7"/>
        <v>58.91386792452829</v>
      </c>
      <c r="G205" s="21">
        <v>-0.18734609999999999</v>
      </c>
      <c r="H205" s="21">
        <v>0.1454992</v>
      </c>
    </row>
    <row r="206" spans="1:8" x14ac:dyDescent="0.15">
      <c r="A206" s="21">
        <v>3.9843750000000001E-3</v>
      </c>
      <c r="B206" s="21">
        <f t="shared" si="6"/>
        <v>0.1800833</v>
      </c>
      <c r="D206">
        <f t="shared" si="7"/>
        <v>72.808805031446525</v>
      </c>
      <c r="G206" s="21">
        <v>-0.23153199999999999</v>
      </c>
      <c r="H206" s="21">
        <v>0.1800833</v>
      </c>
    </row>
    <row r="207" spans="1:8" x14ac:dyDescent="0.15">
      <c r="A207" s="21">
        <v>4.0039059999999998E-3</v>
      </c>
      <c r="B207" s="21">
        <f t="shared" si="6"/>
        <v>0.20941480000000001</v>
      </c>
      <c r="D207">
        <f t="shared" si="7"/>
        <v>84.673427672955981</v>
      </c>
      <c r="G207" s="21">
        <v>-0.26926149999999999</v>
      </c>
      <c r="H207" s="21">
        <v>0.20941480000000001</v>
      </c>
    </row>
    <row r="208" spans="1:8" x14ac:dyDescent="0.15">
      <c r="A208" s="21">
        <v>4.0234379999999998E-3</v>
      </c>
      <c r="B208" s="21">
        <f t="shared" si="6"/>
        <v>0.2314601</v>
      </c>
      <c r="D208">
        <f t="shared" si="7"/>
        <v>93.46924528301885</v>
      </c>
      <c r="G208" s="21">
        <v>-0.2972322</v>
      </c>
      <c r="H208" s="21">
        <v>0.2314601</v>
      </c>
    </row>
    <row r="209" spans="1:8" x14ac:dyDescent="0.15">
      <c r="A209" s="21">
        <v>4.0429690000000004E-3</v>
      </c>
      <c r="B209" s="21">
        <f t="shared" si="6"/>
        <v>0.2453446</v>
      </c>
      <c r="D209">
        <f t="shared" si="7"/>
        <v>99.017327044025166</v>
      </c>
      <c r="G209" s="21">
        <v>-0.31487510000000002</v>
      </c>
      <c r="H209" s="21">
        <v>0.2453446</v>
      </c>
    </row>
    <row r="210" spans="1:8" x14ac:dyDescent="0.15">
      <c r="A210" s="21">
        <v>4.0625000000000001E-3</v>
      </c>
      <c r="B210" s="21">
        <f t="shared" si="6"/>
        <v>0.25160199999999999</v>
      </c>
      <c r="D210">
        <f t="shared" si="7"/>
        <v>101.62283018867926</v>
      </c>
      <c r="G210" s="21">
        <v>-0.32316060000000002</v>
      </c>
      <c r="H210" s="21">
        <v>0.25160199999999999</v>
      </c>
    </row>
    <row r="211" spans="1:8" x14ac:dyDescent="0.15">
      <c r="A211" s="21">
        <v>4.0820309999999999E-3</v>
      </c>
      <c r="B211" s="21">
        <f t="shared" si="6"/>
        <v>0.24877070000000001</v>
      </c>
      <c r="D211">
        <f t="shared" si="7"/>
        <v>100.46037735849056</v>
      </c>
      <c r="G211" s="21">
        <v>-0.31946400000000003</v>
      </c>
      <c r="H211" s="21">
        <v>0.24877070000000001</v>
      </c>
    </row>
    <row r="212" spans="1:8" x14ac:dyDescent="0.15">
      <c r="A212" s="21">
        <v>4.1015629999999999E-3</v>
      </c>
      <c r="B212" s="21">
        <f t="shared" si="6"/>
        <v>0.23745959999999999</v>
      </c>
      <c r="D212">
        <f t="shared" si="7"/>
        <v>95.928144654088044</v>
      </c>
      <c r="G212" s="21">
        <v>-0.30505149999999998</v>
      </c>
      <c r="H212" s="21">
        <v>0.23745959999999999</v>
      </c>
    </row>
    <row r="213" spans="1:8" x14ac:dyDescent="0.15">
      <c r="A213" s="21">
        <v>4.1210939999999996E-3</v>
      </c>
      <c r="B213" s="21">
        <f t="shared" si="6"/>
        <v>0.21903729999999999</v>
      </c>
      <c r="D213">
        <f t="shared" si="7"/>
        <v>88.643018867924525</v>
      </c>
      <c r="G213" s="21">
        <v>-0.28188479999999999</v>
      </c>
      <c r="H213" s="21">
        <v>0.21903729999999999</v>
      </c>
    </row>
    <row r="214" spans="1:8" x14ac:dyDescent="0.15">
      <c r="A214" s="21">
        <v>4.1406250000000002E-3</v>
      </c>
      <c r="B214" s="21">
        <f t="shared" si="6"/>
        <v>0.19257070000000001</v>
      </c>
      <c r="D214">
        <f t="shared" si="7"/>
        <v>78.01150943396226</v>
      </c>
      <c r="G214" s="21">
        <v>-0.24807660000000001</v>
      </c>
      <c r="H214" s="21">
        <v>0.19257070000000001</v>
      </c>
    </row>
    <row r="215" spans="1:8" x14ac:dyDescent="0.15">
      <c r="A215" s="21">
        <v>4.1601559999999999E-3</v>
      </c>
      <c r="B215" s="21">
        <f t="shared" si="6"/>
        <v>0.15933700000000001</v>
      </c>
      <c r="D215">
        <f t="shared" si="7"/>
        <v>64.73283018867923</v>
      </c>
      <c r="G215" s="21">
        <v>-0.20585039999999999</v>
      </c>
      <c r="H215" s="21">
        <v>0.15933700000000001</v>
      </c>
    </row>
    <row r="216" spans="1:8" x14ac:dyDescent="0.15">
      <c r="A216" s="21">
        <v>4.179688E-3</v>
      </c>
      <c r="B216" s="21">
        <f t="shared" si="6"/>
        <v>0.1208716</v>
      </c>
      <c r="D216">
        <f t="shared" si="7"/>
        <v>49.387012578616343</v>
      </c>
      <c r="G216" s="21">
        <v>-0.15705069999999999</v>
      </c>
      <c r="H216" s="21">
        <v>0.1208716</v>
      </c>
    </row>
    <row r="217" spans="1:8" x14ac:dyDescent="0.15">
      <c r="A217" s="21">
        <v>4.1992189999999997E-3</v>
      </c>
      <c r="B217" s="21">
        <f t="shared" si="6"/>
        <v>7.7867870000000006E-2</v>
      </c>
      <c r="D217">
        <f t="shared" si="7"/>
        <v>32.161666666666669</v>
      </c>
      <c r="G217" s="21">
        <v>-0.10227410000000001</v>
      </c>
      <c r="H217" s="21">
        <v>7.7867870000000006E-2</v>
      </c>
    </row>
    <row r="218" spans="1:8" x14ac:dyDescent="0.15">
      <c r="A218" s="21">
        <v>4.2187500000000003E-3</v>
      </c>
      <c r="B218" s="21">
        <f t="shared" si="6"/>
        <v>3.2453170000000003E-2</v>
      </c>
      <c r="D218">
        <f t="shared" si="7"/>
        <v>13.984638364779874</v>
      </c>
      <c r="G218" s="21">
        <v>-4.4471150000000001E-2</v>
      </c>
      <c r="H218" s="21">
        <v>3.2453170000000003E-2</v>
      </c>
    </row>
    <row r="219" spans="1:8" x14ac:dyDescent="0.15">
      <c r="A219" s="21">
        <v>4.238281E-3</v>
      </c>
      <c r="B219" s="21">
        <f t="shared" si="6"/>
        <v>-1.4354810000000001E-2</v>
      </c>
      <c r="D219">
        <f t="shared" si="7"/>
        <v>-4.8430062893081756</v>
      </c>
      <c r="G219" s="21">
        <v>1.5400759999999999E-2</v>
      </c>
      <c r="H219" s="21">
        <v>-1.4354810000000001E-2</v>
      </c>
    </row>
    <row r="220" spans="1:8" x14ac:dyDescent="0.15">
      <c r="A220" s="21">
        <v>4.257813E-3</v>
      </c>
      <c r="B220" s="21">
        <f t="shared" si="6"/>
        <v>-6.0694730000000002E-2</v>
      </c>
      <c r="D220">
        <f t="shared" si="7"/>
        <v>-23.379349056603775</v>
      </c>
      <c r="G220" s="21">
        <v>7.4346330000000002E-2</v>
      </c>
      <c r="H220" s="21">
        <v>-6.0694730000000002E-2</v>
      </c>
    </row>
    <row r="221" spans="1:8" x14ac:dyDescent="0.15">
      <c r="A221" s="21">
        <v>4.2773439999999998E-3</v>
      </c>
      <c r="B221" s="21">
        <f t="shared" si="6"/>
        <v>-0.10409499999999999</v>
      </c>
      <c r="D221">
        <f t="shared" si="7"/>
        <v>-40.689402515723259</v>
      </c>
      <c r="G221" s="21">
        <v>0.12939229999999999</v>
      </c>
      <c r="H221" s="21">
        <v>-0.10409499999999999</v>
      </c>
    </row>
    <row r="222" spans="1:8" x14ac:dyDescent="0.15">
      <c r="A222" s="21">
        <v>4.2968750000000003E-3</v>
      </c>
      <c r="B222" s="21">
        <f t="shared" si="6"/>
        <v>-0.1441277</v>
      </c>
      <c r="D222">
        <f t="shared" si="7"/>
        <v>-56.808270440251576</v>
      </c>
      <c r="G222" s="21">
        <v>0.18065030000000001</v>
      </c>
      <c r="H222" s="21">
        <v>-0.1441277</v>
      </c>
    </row>
    <row r="223" spans="1:8" x14ac:dyDescent="0.15">
      <c r="A223" s="21">
        <v>4.3164060000000001E-3</v>
      </c>
      <c r="B223" s="21">
        <f t="shared" si="6"/>
        <v>-0.17907419999999999</v>
      </c>
      <c r="D223">
        <f t="shared" si="7"/>
        <v>-70.843836477987423</v>
      </c>
      <c r="G223" s="21">
        <v>0.22528339999999999</v>
      </c>
      <c r="H223" s="21">
        <v>-0.17907419999999999</v>
      </c>
    </row>
    <row r="224" spans="1:8" x14ac:dyDescent="0.15">
      <c r="A224" s="21">
        <v>4.3359380000000001E-3</v>
      </c>
      <c r="B224" s="21">
        <f t="shared" si="6"/>
        <v>-0.2081789</v>
      </c>
      <c r="D224">
        <f t="shared" si="7"/>
        <v>-82.540471698113208</v>
      </c>
      <c r="G224" s="21">
        <v>0.26247870000000001</v>
      </c>
      <c r="H224" s="21">
        <v>-0.2081789</v>
      </c>
    </row>
    <row r="225" spans="1:8" x14ac:dyDescent="0.15">
      <c r="A225" s="21">
        <v>4.3554689999999998E-3</v>
      </c>
      <c r="B225" s="21">
        <f t="shared" si="6"/>
        <v>-0.23151050000000001</v>
      </c>
      <c r="D225">
        <f t="shared" si="7"/>
        <v>-91.933867924528286</v>
      </c>
      <c r="G225" s="21">
        <v>0.29234969999999999</v>
      </c>
      <c r="H225" s="21">
        <v>-0.23151050000000001</v>
      </c>
    </row>
    <row r="226" spans="1:8" x14ac:dyDescent="0.15">
      <c r="A226" s="21">
        <v>4.3750000000000004E-3</v>
      </c>
      <c r="B226" s="21">
        <f t="shared" si="6"/>
        <v>-0.24620059999999999</v>
      </c>
      <c r="D226">
        <f t="shared" si="7"/>
        <v>-97.785345911949676</v>
      </c>
      <c r="G226" s="21">
        <v>0.31095739999999999</v>
      </c>
      <c r="H226" s="21">
        <v>-0.24620059999999999</v>
      </c>
    </row>
    <row r="227" spans="1:8" x14ac:dyDescent="0.15">
      <c r="A227" s="21">
        <v>4.3945310000000001E-3</v>
      </c>
      <c r="B227" s="21">
        <f t="shared" si="6"/>
        <v>-0.25202809999999998</v>
      </c>
      <c r="D227">
        <f t="shared" si="7"/>
        <v>-100.21666666666667</v>
      </c>
      <c r="G227" s="21">
        <v>0.318689</v>
      </c>
      <c r="H227" s="21">
        <v>-0.25202809999999998</v>
      </c>
    </row>
    <row r="228" spans="1:8" x14ac:dyDescent="0.15">
      <c r="A228" s="21">
        <v>4.4140630000000002E-3</v>
      </c>
      <c r="B228" s="21">
        <f t="shared" si="6"/>
        <v>-0.24998429999999999</v>
      </c>
      <c r="D228">
        <f t="shared" si="7"/>
        <v>-99.558427672955972</v>
      </c>
      <c r="G228" s="21">
        <v>0.31659579999999998</v>
      </c>
      <c r="H228" s="21">
        <v>-0.24998429999999999</v>
      </c>
    </row>
    <row r="229" spans="1:8" x14ac:dyDescent="0.15">
      <c r="A229" s="21">
        <v>4.4335939999999999E-3</v>
      </c>
      <c r="B229" s="21">
        <f t="shared" si="6"/>
        <v>-0.23913670000000001</v>
      </c>
      <c r="D229">
        <f t="shared" si="7"/>
        <v>-95.216194968553438</v>
      </c>
      <c r="G229" s="21">
        <v>0.30278749999999999</v>
      </c>
      <c r="H229" s="21">
        <v>-0.23913670000000001</v>
      </c>
    </row>
    <row r="230" spans="1:8" x14ac:dyDescent="0.15">
      <c r="A230" s="21">
        <v>4.4531249999999996E-3</v>
      </c>
      <c r="B230" s="21">
        <f t="shared" si="6"/>
        <v>-0.22090199999999999</v>
      </c>
      <c r="D230">
        <f t="shared" si="7"/>
        <v>-87.892169811320741</v>
      </c>
      <c r="G230" s="21">
        <v>0.2794971</v>
      </c>
      <c r="H230" s="21">
        <v>-0.22090199999999999</v>
      </c>
    </row>
    <row r="231" spans="1:8" x14ac:dyDescent="0.15">
      <c r="A231" s="21">
        <v>4.4726560000000002E-3</v>
      </c>
      <c r="B231" s="21">
        <f t="shared" si="6"/>
        <v>-0.19565189999999999</v>
      </c>
      <c r="D231">
        <f t="shared" si="7"/>
        <v>-77.830849056603768</v>
      </c>
      <c r="G231" s="21">
        <v>0.2475021</v>
      </c>
      <c r="H231" s="21">
        <v>-0.19565189999999999</v>
      </c>
    </row>
    <row r="232" spans="1:8" x14ac:dyDescent="0.15">
      <c r="A232" s="21">
        <v>4.4921880000000003E-3</v>
      </c>
      <c r="B232" s="21">
        <f t="shared" si="6"/>
        <v>-0.16295870000000001</v>
      </c>
      <c r="D232">
        <f t="shared" si="7"/>
        <v>-64.778333333333322</v>
      </c>
      <c r="G232" s="21">
        <v>0.20599509999999999</v>
      </c>
      <c r="H232" s="21">
        <v>-0.16295870000000001</v>
      </c>
    </row>
    <row r="233" spans="1:8" x14ac:dyDescent="0.15">
      <c r="A233" s="21">
        <v>4.511719E-3</v>
      </c>
      <c r="B233" s="21">
        <f t="shared" si="6"/>
        <v>-0.1247661</v>
      </c>
      <c r="D233">
        <f t="shared" si="7"/>
        <v>-49.456194968553461</v>
      </c>
      <c r="G233" s="21">
        <v>0.15727070000000001</v>
      </c>
      <c r="H233" s="21">
        <v>-0.1247661</v>
      </c>
    </row>
    <row r="234" spans="1:8" x14ac:dyDescent="0.15">
      <c r="A234" s="21">
        <v>4.5312499999999997E-3</v>
      </c>
      <c r="B234" s="21">
        <f t="shared" si="6"/>
        <v>-8.1792859999999995E-2</v>
      </c>
      <c r="D234">
        <f t="shared" si="7"/>
        <v>-32.173962264150944</v>
      </c>
      <c r="G234" s="21">
        <v>0.10231320000000001</v>
      </c>
      <c r="H234" s="21">
        <v>-8.1792859999999995E-2</v>
      </c>
    </row>
    <row r="235" spans="1:8" x14ac:dyDescent="0.15">
      <c r="A235" s="21">
        <v>4.5507810000000003E-3</v>
      </c>
      <c r="B235" s="21">
        <f t="shared" si="6"/>
        <v>-3.6071199999999998E-2</v>
      </c>
      <c r="D235">
        <f t="shared" si="7"/>
        <v>-13.903493710691823</v>
      </c>
      <c r="G235" s="21">
        <v>4.421311E-2</v>
      </c>
      <c r="H235" s="21">
        <v>-3.6071199999999998E-2</v>
      </c>
    </row>
    <row r="236" spans="1:8" x14ac:dyDescent="0.15">
      <c r="A236" s="21">
        <v>4.570312E-3</v>
      </c>
      <c r="B236" s="21">
        <f t="shared" si="6"/>
        <v>9.8861179999999993E-3</v>
      </c>
      <c r="D236">
        <f t="shared" si="7"/>
        <v>4.5020849056603769</v>
      </c>
      <c r="G236" s="21">
        <v>-1.431663E-2</v>
      </c>
      <c r="H236" s="21">
        <v>9.8861179999999993E-3</v>
      </c>
    </row>
    <row r="237" spans="1:8" x14ac:dyDescent="0.15">
      <c r="A237" s="21">
        <v>4.589844E-3</v>
      </c>
      <c r="B237" s="21">
        <f t="shared" si="6"/>
        <v>5.6204850000000001E-2</v>
      </c>
      <c r="D237">
        <f t="shared" si="7"/>
        <v>23.160981132075467</v>
      </c>
      <c r="G237" s="21">
        <v>-7.3651919999999996E-2</v>
      </c>
      <c r="H237" s="21">
        <v>5.6204850000000001E-2</v>
      </c>
    </row>
    <row r="238" spans="1:8" x14ac:dyDescent="0.15">
      <c r="A238" s="21">
        <v>4.6093749999999998E-3</v>
      </c>
      <c r="B238" s="21">
        <f t="shared" si="6"/>
        <v>0.10028430000000001</v>
      </c>
      <c r="D238">
        <f t="shared" si="7"/>
        <v>40.80311320754717</v>
      </c>
      <c r="G238" s="21">
        <v>-0.12975390000000001</v>
      </c>
      <c r="H238" s="21">
        <v>0.10028430000000001</v>
      </c>
    </row>
    <row r="239" spans="1:8" x14ac:dyDescent="0.15">
      <c r="A239" s="21">
        <v>4.6289060000000003E-3</v>
      </c>
      <c r="B239" s="21">
        <f t="shared" si="6"/>
        <v>0.14024510000000001</v>
      </c>
      <c r="D239">
        <f t="shared" si="7"/>
        <v>56.818899371069172</v>
      </c>
      <c r="G239" s="21">
        <v>-0.18068409999999999</v>
      </c>
      <c r="H239" s="21">
        <v>0.14024510000000001</v>
      </c>
    </row>
    <row r="240" spans="1:8" x14ac:dyDescent="0.15">
      <c r="A240" s="21">
        <v>4.6484370000000001E-3</v>
      </c>
      <c r="B240" s="21">
        <f t="shared" si="6"/>
        <v>0.1763982</v>
      </c>
      <c r="D240">
        <f t="shared" si="7"/>
        <v>71.338930817610063</v>
      </c>
      <c r="G240" s="21">
        <v>-0.2268578</v>
      </c>
      <c r="H240" s="21">
        <v>0.1763982</v>
      </c>
    </row>
    <row r="241" spans="1:8" x14ac:dyDescent="0.15">
      <c r="A241" s="21">
        <v>4.6679690000000001E-3</v>
      </c>
      <c r="B241" s="21">
        <f t="shared" si="6"/>
        <v>0.20621519999999999</v>
      </c>
      <c r="D241">
        <f t="shared" si="7"/>
        <v>83.309339622641502</v>
      </c>
      <c r="G241" s="21">
        <v>-0.26492369999999998</v>
      </c>
      <c r="H241" s="21">
        <v>0.20621519999999999</v>
      </c>
    </row>
    <row r="242" spans="1:8" x14ac:dyDescent="0.15">
      <c r="A242" s="21">
        <v>4.6874999999999998E-3</v>
      </c>
      <c r="B242" s="21">
        <f t="shared" si="6"/>
        <v>0.2291252</v>
      </c>
      <c r="D242">
        <f t="shared" si="7"/>
        <v>92.549874213836461</v>
      </c>
      <c r="G242" s="21">
        <v>-0.29430859999999998</v>
      </c>
      <c r="H242" s="21">
        <v>0.2291252</v>
      </c>
    </row>
    <row r="243" spans="1:8" x14ac:dyDescent="0.15">
      <c r="A243" s="21">
        <v>4.7070310000000004E-3</v>
      </c>
      <c r="B243" s="21">
        <f t="shared" si="6"/>
        <v>0.24462990000000001</v>
      </c>
      <c r="D243">
        <f t="shared" si="7"/>
        <v>98.731509433962245</v>
      </c>
      <c r="G243" s="21">
        <v>-0.31396619999999997</v>
      </c>
      <c r="H243" s="21">
        <v>0.24462990000000001</v>
      </c>
    </row>
    <row r="244" spans="1:8" x14ac:dyDescent="0.15">
      <c r="A244" s="21">
        <v>4.7265620000000001E-3</v>
      </c>
      <c r="B244" s="21">
        <f t="shared" si="6"/>
        <v>0.250639</v>
      </c>
      <c r="D244">
        <f t="shared" si="7"/>
        <v>101.19182389937107</v>
      </c>
      <c r="G244" s="21">
        <v>-0.32179000000000002</v>
      </c>
      <c r="H244" s="21">
        <v>0.250639</v>
      </c>
    </row>
    <row r="245" spans="1:8" x14ac:dyDescent="0.15">
      <c r="A245" s="21">
        <v>4.7460940000000002E-3</v>
      </c>
      <c r="B245" s="21">
        <f t="shared" si="6"/>
        <v>0.24892929999999999</v>
      </c>
      <c r="D245">
        <f t="shared" si="7"/>
        <v>100.64034591194968</v>
      </c>
      <c r="G245" s="21">
        <v>-0.3200363</v>
      </c>
      <c r="H245" s="21">
        <v>0.24892929999999999</v>
      </c>
    </row>
    <row r="246" spans="1:8" x14ac:dyDescent="0.15">
      <c r="A246" s="21">
        <v>4.7656249999999999E-3</v>
      </c>
      <c r="B246" s="21">
        <f t="shared" si="6"/>
        <v>0.2397408</v>
      </c>
      <c r="D246">
        <f t="shared" si="7"/>
        <v>96.918113207547179</v>
      </c>
      <c r="G246" s="21">
        <v>-0.30819960000000002</v>
      </c>
      <c r="H246" s="21">
        <v>0.2397408</v>
      </c>
    </row>
    <row r="247" spans="1:8" x14ac:dyDescent="0.15">
      <c r="A247" s="21">
        <v>4.7851559999999996E-3</v>
      </c>
      <c r="B247" s="21">
        <f t="shared" si="6"/>
        <v>0.2217981</v>
      </c>
      <c r="D247">
        <f t="shared" si="7"/>
        <v>89.677578616352207</v>
      </c>
      <c r="G247" s="21">
        <v>-0.2851747</v>
      </c>
      <c r="H247" s="21">
        <v>0.2217981</v>
      </c>
    </row>
    <row r="248" spans="1:8" x14ac:dyDescent="0.15">
      <c r="A248" s="21">
        <v>4.8046870000000002E-3</v>
      </c>
      <c r="B248" s="21">
        <f t="shared" si="6"/>
        <v>0.1966609</v>
      </c>
      <c r="D248">
        <f t="shared" si="7"/>
        <v>79.676572327044028</v>
      </c>
      <c r="G248" s="21">
        <v>-0.25337150000000003</v>
      </c>
      <c r="H248" s="21">
        <v>0.1966609</v>
      </c>
    </row>
    <row r="249" spans="1:8" x14ac:dyDescent="0.15">
      <c r="A249" s="21">
        <v>4.8242190000000003E-3</v>
      </c>
      <c r="B249" s="21">
        <f t="shared" si="6"/>
        <v>0.16439219999999999</v>
      </c>
      <c r="D249">
        <f t="shared" si="7"/>
        <v>66.77509433962264</v>
      </c>
      <c r="G249" s="21">
        <v>-0.2123448</v>
      </c>
      <c r="H249" s="21">
        <v>0.16439219999999999</v>
      </c>
    </row>
    <row r="250" spans="1:8" x14ac:dyDescent="0.15">
      <c r="A250" s="21">
        <v>4.84375E-3</v>
      </c>
      <c r="B250" s="21">
        <f t="shared" si="6"/>
        <v>0.1256843</v>
      </c>
      <c r="D250">
        <f t="shared" si="7"/>
        <v>51.267578616352196</v>
      </c>
      <c r="G250" s="21">
        <v>-0.16303090000000001</v>
      </c>
      <c r="H250" s="21">
        <v>0.1256843</v>
      </c>
    </row>
    <row r="251" spans="1:8" x14ac:dyDescent="0.15">
      <c r="A251" s="21">
        <v>4.8632809999999997E-3</v>
      </c>
      <c r="B251" s="21">
        <f t="shared" si="6"/>
        <v>8.3313479999999995E-2</v>
      </c>
      <c r="D251">
        <f t="shared" si="7"/>
        <v>34.364591194968547</v>
      </c>
      <c r="G251" s="21">
        <v>-0.1092794</v>
      </c>
      <c r="H251" s="21">
        <v>8.3313479999999995E-2</v>
      </c>
    </row>
    <row r="252" spans="1:8" x14ac:dyDescent="0.15">
      <c r="A252" s="21">
        <v>4.8828120000000003E-3</v>
      </c>
      <c r="B252" s="21">
        <f t="shared" si="6"/>
        <v>3.8188489999999999E-2</v>
      </c>
      <c r="D252">
        <f t="shared" si="7"/>
        <v>16.299110062893082</v>
      </c>
      <c r="G252" s="21">
        <v>-5.1831170000000003E-2</v>
      </c>
      <c r="H252" s="21">
        <v>3.8188489999999999E-2</v>
      </c>
    </row>
    <row r="253" spans="1:8" x14ac:dyDescent="0.15">
      <c r="A253" s="21">
        <v>4.9023440000000003E-3</v>
      </c>
      <c r="B253" s="21">
        <f t="shared" si="6"/>
        <v>-8.2460190000000003E-3</v>
      </c>
      <c r="D253">
        <f t="shared" si="7"/>
        <v>-2.3201503144654083</v>
      </c>
      <c r="G253" s="21">
        <v>7.3780779999999997E-3</v>
      </c>
      <c r="H253" s="21">
        <v>-8.2460190000000003E-3</v>
      </c>
    </row>
    <row r="254" spans="1:8" x14ac:dyDescent="0.15">
      <c r="A254" s="21">
        <v>4.921875E-3</v>
      </c>
      <c r="B254" s="21">
        <f t="shared" si="6"/>
        <v>-5.396277E-2</v>
      </c>
      <c r="D254">
        <f t="shared" si="7"/>
        <v>-20.617578616352198</v>
      </c>
      <c r="G254" s="21">
        <v>6.5563899999999994E-2</v>
      </c>
      <c r="H254" s="21">
        <v>-5.396277E-2</v>
      </c>
    </row>
    <row r="255" spans="1:8" x14ac:dyDescent="0.15">
      <c r="A255" s="21">
        <v>4.9414059999999997E-3</v>
      </c>
      <c r="B255" s="21">
        <f t="shared" si="6"/>
        <v>-9.8472589999999999E-2</v>
      </c>
      <c r="D255">
        <f t="shared" si="7"/>
        <v>-38.513018867924522</v>
      </c>
      <c r="G255" s="21">
        <v>0.12247139999999999</v>
      </c>
      <c r="H255" s="21">
        <v>-9.8472589999999999E-2</v>
      </c>
    </row>
    <row r="256" spans="1:8" x14ac:dyDescent="0.15">
      <c r="A256" s="21">
        <v>4.9609379999999998E-3</v>
      </c>
      <c r="B256" s="21">
        <f t="shared" si="6"/>
        <v>-0.13960929999999999</v>
      </c>
      <c r="D256">
        <f t="shared" si="7"/>
        <v>-54.978270440251571</v>
      </c>
      <c r="G256" s="21">
        <v>0.17483090000000001</v>
      </c>
      <c r="H256" s="21">
        <v>-0.13960929999999999</v>
      </c>
    </row>
    <row r="257" spans="1:8" x14ac:dyDescent="0.15">
      <c r="A257" s="21">
        <v>4.9804690000000004E-3</v>
      </c>
      <c r="B257" s="21">
        <f t="shared" si="6"/>
        <v>-0.1753091</v>
      </c>
      <c r="D257">
        <f t="shared" si="7"/>
        <v>-69.275408805031446</v>
      </c>
      <c r="G257" s="21">
        <v>0.22029580000000001</v>
      </c>
      <c r="H257" s="21">
        <v>-0.1753091</v>
      </c>
    </row>
    <row r="258" spans="1:8" x14ac:dyDescent="0.15">
      <c r="A258" s="21">
        <v>5.0000000000000001E-3</v>
      </c>
      <c r="B258" s="21">
        <f t="shared" si="6"/>
        <v>-0.2054327</v>
      </c>
      <c r="D258">
        <f t="shared" si="7"/>
        <v>-81.514654088050321</v>
      </c>
      <c r="G258" s="21">
        <v>0.25921660000000002</v>
      </c>
      <c r="H258" s="21">
        <v>-0.2054327</v>
      </c>
    </row>
    <row r="259" spans="1:8" x14ac:dyDescent="0.15">
      <c r="A259" s="21">
        <v>5.0195309999999998E-3</v>
      </c>
      <c r="B259" s="21">
        <f t="shared" ref="B259:B322" si="8">H259</f>
        <v>-0.22874739999999999</v>
      </c>
      <c r="D259">
        <f t="shared" ref="D259:D322" si="9">G259*-1000/3.18</f>
        <v>-90.8503144654088</v>
      </c>
      <c r="G259" s="21">
        <v>0.28890399999999999</v>
      </c>
      <c r="H259" s="21">
        <v>-0.22874739999999999</v>
      </c>
    </row>
    <row r="260" spans="1:8" x14ac:dyDescent="0.15">
      <c r="A260" s="21">
        <v>5.0390629999999999E-3</v>
      </c>
      <c r="B260" s="21">
        <f t="shared" si="8"/>
        <v>-0.2443825</v>
      </c>
      <c r="D260">
        <f t="shared" si="9"/>
        <v>-97.063113207547175</v>
      </c>
      <c r="G260" s="21">
        <v>0.30866070000000001</v>
      </c>
      <c r="H260" s="21">
        <v>-0.2443825</v>
      </c>
    </row>
    <row r="261" spans="1:8" x14ac:dyDescent="0.15">
      <c r="A261" s="21">
        <v>5.0585939999999996E-3</v>
      </c>
      <c r="B261" s="21">
        <f t="shared" si="8"/>
        <v>-0.25186350000000002</v>
      </c>
      <c r="D261">
        <f t="shared" si="9"/>
        <v>-100.19078616352202</v>
      </c>
      <c r="G261" s="21">
        <v>0.31860670000000002</v>
      </c>
      <c r="H261" s="21">
        <v>-0.25186350000000002</v>
      </c>
    </row>
    <row r="262" spans="1:8" x14ac:dyDescent="0.15">
      <c r="A262" s="21">
        <v>5.0781250000000002E-3</v>
      </c>
      <c r="B262" s="21">
        <f t="shared" si="8"/>
        <v>-0.25092530000000002</v>
      </c>
      <c r="D262">
        <f t="shared" si="9"/>
        <v>-99.868647798742131</v>
      </c>
      <c r="G262" s="21">
        <v>0.31758229999999998</v>
      </c>
      <c r="H262" s="21">
        <v>-0.25092530000000002</v>
      </c>
    </row>
    <row r="263" spans="1:8" x14ac:dyDescent="0.15">
      <c r="A263" s="21">
        <v>5.0976559999999999E-3</v>
      </c>
      <c r="B263" s="21">
        <f t="shared" si="8"/>
        <v>-0.2419222</v>
      </c>
      <c r="D263">
        <f t="shared" si="9"/>
        <v>-96.323238993710689</v>
      </c>
      <c r="G263" s="21">
        <v>0.30630790000000002</v>
      </c>
      <c r="H263" s="21">
        <v>-0.2419222</v>
      </c>
    </row>
    <row r="264" spans="1:8" x14ac:dyDescent="0.15">
      <c r="A264" s="21">
        <v>5.1171879999999999E-3</v>
      </c>
      <c r="B264" s="21">
        <f t="shared" si="8"/>
        <v>-0.22442490000000001</v>
      </c>
      <c r="D264">
        <f t="shared" si="9"/>
        <v>-89.319496855345903</v>
      </c>
      <c r="G264" s="21">
        <v>0.28403600000000001</v>
      </c>
      <c r="H264" s="21">
        <v>-0.22442490000000001</v>
      </c>
    </row>
    <row r="265" spans="1:8" x14ac:dyDescent="0.15">
      <c r="A265" s="21">
        <v>5.1367189999999997E-3</v>
      </c>
      <c r="B265" s="21">
        <f t="shared" si="8"/>
        <v>-0.19931460000000001</v>
      </c>
      <c r="D265">
        <f t="shared" si="9"/>
        <v>-79.210754716981128</v>
      </c>
      <c r="G265" s="21">
        <v>0.25189020000000001</v>
      </c>
      <c r="H265" s="21">
        <v>-0.19931460000000001</v>
      </c>
    </row>
    <row r="266" spans="1:8" x14ac:dyDescent="0.15">
      <c r="A266" s="21">
        <v>5.1562500000000002E-3</v>
      </c>
      <c r="B266" s="21">
        <f t="shared" si="8"/>
        <v>-0.16767560000000001</v>
      </c>
      <c r="D266">
        <f t="shared" si="9"/>
        <v>-66.652735849056597</v>
      </c>
      <c r="G266" s="21">
        <v>0.2119557</v>
      </c>
      <c r="H266" s="21">
        <v>-0.16767560000000001</v>
      </c>
    </row>
    <row r="267" spans="1:8" x14ac:dyDescent="0.15">
      <c r="A267" s="21">
        <v>5.175781E-3</v>
      </c>
      <c r="B267" s="21">
        <f t="shared" si="8"/>
        <v>-0.1297769</v>
      </c>
      <c r="D267">
        <f t="shared" si="9"/>
        <v>-51.450314465408802</v>
      </c>
      <c r="G267" s="21">
        <v>0.16361200000000001</v>
      </c>
      <c r="H267" s="21">
        <v>-0.1297769</v>
      </c>
    </row>
    <row r="268" spans="1:8" x14ac:dyDescent="0.15">
      <c r="A268" s="21">
        <v>5.195313E-3</v>
      </c>
      <c r="B268" s="21">
        <f t="shared" si="8"/>
        <v>-8.7709250000000002E-2</v>
      </c>
      <c r="D268">
        <f t="shared" si="9"/>
        <v>-34.545660377358487</v>
      </c>
      <c r="G268" s="21">
        <v>0.1098552</v>
      </c>
      <c r="H268" s="21">
        <v>-8.7709250000000002E-2</v>
      </c>
    </row>
    <row r="269" spans="1:8" x14ac:dyDescent="0.15">
      <c r="A269" s="21">
        <v>5.2148439999999997E-3</v>
      </c>
      <c r="B269" s="21">
        <f t="shared" si="8"/>
        <v>-4.3056549999999999E-2</v>
      </c>
      <c r="D269">
        <f t="shared" si="9"/>
        <v>-16.721267295597485</v>
      </c>
      <c r="G269" s="21">
        <v>5.317363E-2</v>
      </c>
      <c r="H269" s="21">
        <v>-4.3056549999999999E-2</v>
      </c>
    </row>
    <row r="270" spans="1:8" x14ac:dyDescent="0.15">
      <c r="A270" s="21">
        <v>5.2343750000000003E-3</v>
      </c>
      <c r="B270" s="21">
        <f t="shared" si="8"/>
        <v>3.7746490000000001E-3</v>
      </c>
      <c r="D270">
        <f t="shared" si="9"/>
        <v>2.0899342767295597</v>
      </c>
      <c r="G270" s="21">
        <v>-6.6459910000000004E-3</v>
      </c>
      <c r="H270" s="21">
        <v>3.7746490000000001E-3</v>
      </c>
    </row>
    <row r="271" spans="1:8" x14ac:dyDescent="0.15">
      <c r="A271" s="21">
        <v>5.253906E-3</v>
      </c>
      <c r="B271" s="21">
        <f t="shared" si="8"/>
        <v>5.0285690000000001E-2</v>
      </c>
      <c r="D271">
        <f t="shared" si="9"/>
        <v>20.730226415094339</v>
      </c>
      <c r="G271" s="21">
        <v>-6.5922120000000001E-2</v>
      </c>
      <c r="H271" s="21">
        <v>5.0285690000000001E-2</v>
      </c>
    </row>
    <row r="272" spans="1:8" x14ac:dyDescent="0.15">
      <c r="A272" s="21">
        <v>5.2734380000000001E-3</v>
      </c>
      <c r="B272" s="21">
        <f t="shared" si="8"/>
        <v>9.438734E-2</v>
      </c>
      <c r="D272">
        <f t="shared" si="9"/>
        <v>38.405440251572323</v>
      </c>
      <c r="G272" s="21">
        <v>-0.1221293</v>
      </c>
      <c r="H272" s="21">
        <v>9.438734E-2</v>
      </c>
    </row>
    <row r="273" spans="1:8" x14ac:dyDescent="0.15">
      <c r="A273" s="21">
        <v>5.2929689999999998E-3</v>
      </c>
      <c r="B273" s="21">
        <f t="shared" si="8"/>
        <v>0.1357932</v>
      </c>
      <c r="D273">
        <f t="shared" si="9"/>
        <v>55.042232704402515</v>
      </c>
      <c r="G273" s="21">
        <v>-0.1750343</v>
      </c>
      <c r="H273" s="21">
        <v>0.1357932</v>
      </c>
    </row>
    <row r="274" spans="1:8" x14ac:dyDescent="0.15">
      <c r="A274" s="21">
        <v>5.3125000000000004E-3</v>
      </c>
      <c r="B274" s="21">
        <f t="shared" si="8"/>
        <v>0.17219899999999999</v>
      </c>
      <c r="D274">
        <f t="shared" si="9"/>
        <v>69.593522012578617</v>
      </c>
      <c r="G274" s="21">
        <v>-0.22130739999999999</v>
      </c>
      <c r="H274" s="21">
        <v>0.17219899999999999</v>
      </c>
    </row>
    <row r="275" spans="1:8" x14ac:dyDescent="0.15">
      <c r="A275" s="21">
        <v>5.3320310000000001E-3</v>
      </c>
      <c r="B275" s="21">
        <f t="shared" si="8"/>
        <v>0.2023325</v>
      </c>
      <c r="D275">
        <f t="shared" si="9"/>
        <v>81.748364779874223</v>
      </c>
      <c r="G275" s="21">
        <v>-0.25995980000000002</v>
      </c>
      <c r="H275" s="21">
        <v>0.2023325</v>
      </c>
    </row>
    <row r="276" spans="1:8" x14ac:dyDescent="0.15">
      <c r="A276" s="21">
        <v>5.3515630000000002E-3</v>
      </c>
      <c r="B276" s="21">
        <f t="shared" si="8"/>
        <v>0.2264157</v>
      </c>
      <c r="D276">
        <f t="shared" si="9"/>
        <v>91.482641509433947</v>
      </c>
      <c r="G276" s="21">
        <v>-0.29091479999999997</v>
      </c>
      <c r="H276" s="21">
        <v>0.2264157</v>
      </c>
    </row>
    <row r="277" spans="1:8" x14ac:dyDescent="0.15">
      <c r="A277" s="21">
        <v>5.3710939999999999E-3</v>
      </c>
      <c r="B277" s="21">
        <f t="shared" si="8"/>
        <v>0.24259220000000001</v>
      </c>
      <c r="D277">
        <f t="shared" si="9"/>
        <v>97.929842767295597</v>
      </c>
      <c r="G277" s="21">
        <v>-0.3114169</v>
      </c>
      <c r="H277" s="21">
        <v>0.24259220000000001</v>
      </c>
    </row>
    <row r="278" spans="1:8" x14ac:dyDescent="0.15">
      <c r="A278" s="21">
        <v>5.3906249999999996E-3</v>
      </c>
      <c r="B278" s="21">
        <f t="shared" si="8"/>
        <v>0.25071379999999999</v>
      </c>
      <c r="D278">
        <f t="shared" si="9"/>
        <v>101.24210691823899</v>
      </c>
      <c r="G278" s="21">
        <v>-0.32194990000000001</v>
      </c>
      <c r="H278" s="21">
        <v>0.25071379999999999</v>
      </c>
    </row>
    <row r="279" spans="1:8" x14ac:dyDescent="0.15">
      <c r="A279" s="21">
        <v>5.4101560000000002E-3</v>
      </c>
      <c r="B279" s="21">
        <f t="shared" si="8"/>
        <v>0.2505558</v>
      </c>
      <c r="D279">
        <f t="shared" si="9"/>
        <v>101.19138364779873</v>
      </c>
      <c r="G279" s="21">
        <v>-0.32178859999999998</v>
      </c>
      <c r="H279" s="21">
        <v>0.2505558</v>
      </c>
    </row>
    <row r="280" spans="1:8" x14ac:dyDescent="0.15">
      <c r="A280" s="21">
        <v>5.4296880000000002E-3</v>
      </c>
      <c r="B280" s="21">
        <f t="shared" si="8"/>
        <v>0.24134749999999999</v>
      </c>
      <c r="D280">
        <f t="shared" si="9"/>
        <v>97.491792452830197</v>
      </c>
      <c r="G280" s="21">
        <v>-0.31002390000000002</v>
      </c>
      <c r="H280" s="21">
        <v>0.24134749999999999</v>
      </c>
    </row>
    <row r="281" spans="1:8" x14ac:dyDescent="0.15">
      <c r="A281" s="21">
        <v>5.4492189999999999E-3</v>
      </c>
      <c r="B281" s="21">
        <f t="shared" si="8"/>
        <v>0.22476670000000001</v>
      </c>
      <c r="D281">
        <f t="shared" si="9"/>
        <v>90.969654088050305</v>
      </c>
      <c r="G281" s="21">
        <v>-0.28928350000000003</v>
      </c>
      <c r="H281" s="21">
        <v>0.22476670000000001</v>
      </c>
    </row>
    <row r="282" spans="1:8" x14ac:dyDescent="0.15">
      <c r="A282" s="21">
        <v>5.4687499999999997E-3</v>
      </c>
      <c r="B282" s="21">
        <f t="shared" si="8"/>
        <v>0.2005325</v>
      </c>
      <c r="D282">
        <f t="shared" si="9"/>
        <v>81.255628930817608</v>
      </c>
      <c r="G282" s="21">
        <v>-0.25839289999999998</v>
      </c>
      <c r="H282" s="21">
        <v>0.2005325</v>
      </c>
    </row>
    <row r="283" spans="1:8" x14ac:dyDescent="0.15">
      <c r="A283" s="21">
        <v>5.4882810000000002E-3</v>
      </c>
      <c r="B283" s="21">
        <f t="shared" si="8"/>
        <v>0.16867009999999999</v>
      </c>
      <c r="D283">
        <f t="shared" si="9"/>
        <v>68.477044025157227</v>
      </c>
      <c r="G283" s="21">
        <v>-0.21775700000000001</v>
      </c>
      <c r="H283" s="21">
        <v>0.16867009999999999</v>
      </c>
    </row>
    <row r="284" spans="1:8" x14ac:dyDescent="0.15">
      <c r="A284" s="21">
        <v>5.507812E-3</v>
      </c>
      <c r="B284" s="21">
        <f t="shared" si="8"/>
        <v>0.13154479999999999</v>
      </c>
      <c r="D284">
        <f t="shared" si="9"/>
        <v>53.739937106918234</v>
      </c>
      <c r="G284" s="21">
        <v>-0.17089299999999999</v>
      </c>
      <c r="H284" s="21">
        <v>0.13154479999999999</v>
      </c>
    </row>
    <row r="285" spans="1:8" x14ac:dyDescent="0.15">
      <c r="A285" s="21">
        <v>5.527344E-3</v>
      </c>
      <c r="B285" s="21">
        <f t="shared" si="8"/>
        <v>8.9746030000000004E-2</v>
      </c>
      <c r="D285">
        <f t="shared" si="9"/>
        <v>36.955125786163521</v>
      </c>
      <c r="G285" s="21">
        <v>-0.11751730000000001</v>
      </c>
      <c r="H285" s="21">
        <v>8.9746030000000004E-2</v>
      </c>
    </row>
    <row r="286" spans="1:8" x14ac:dyDescent="0.15">
      <c r="A286" s="21">
        <v>5.5468749999999997E-3</v>
      </c>
      <c r="B286" s="21">
        <f t="shared" si="8"/>
        <v>4.4560809999999999E-2</v>
      </c>
      <c r="D286">
        <f t="shared" si="9"/>
        <v>18.774358490566037</v>
      </c>
      <c r="G286" s="21">
        <v>-5.9702459999999999E-2</v>
      </c>
      <c r="H286" s="21">
        <v>4.4560809999999999E-2</v>
      </c>
    </row>
    <row r="287" spans="1:8" x14ac:dyDescent="0.15">
      <c r="A287" s="21">
        <v>5.5664060000000003E-3</v>
      </c>
      <c r="B287" s="21">
        <f t="shared" si="8"/>
        <v>-1.7410139999999999E-3</v>
      </c>
      <c r="D287">
        <f t="shared" si="9"/>
        <v>0.28113154088050313</v>
      </c>
      <c r="G287" s="21">
        <v>-8.9399830000000001E-4</v>
      </c>
      <c r="H287" s="21">
        <v>-1.7410139999999999E-3</v>
      </c>
    </row>
    <row r="288" spans="1:8" x14ac:dyDescent="0.15">
      <c r="A288" s="21">
        <v>5.585937E-3</v>
      </c>
      <c r="B288" s="21">
        <f t="shared" si="8"/>
        <v>-4.828027E-2</v>
      </c>
      <c r="D288">
        <f t="shared" si="9"/>
        <v>-18.362330188679245</v>
      </c>
      <c r="G288" s="21">
        <v>5.839221E-2</v>
      </c>
      <c r="H288" s="21">
        <v>-4.828027E-2</v>
      </c>
    </row>
    <row r="289" spans="1:8" x14ac:dyDescent="0.15">
      <c r="A289" s="21">
        <v>5.6054690000000001E-3</v>
      </c>
      <c r="B289" s="21">
        <f t="shared" si="8"/>
        <v>-9.2928999999999998E-2</v>
      </c>
      <c r="D289">
        <f t="shared" si="9"/>
        <v>-36.212578616352197</v>
      </c>
      <c r="G289" s="21">
        <v>0.11515599999999999</v>
      </c>
      <c r="H289" s="21">
        <v>-9.2928999999999998E-2</v>
      </c>
    </row>
    <row r="290" spans="1:8" x14ac:dyDescent="0.15">
      <c r="A290" s="21">
        <v>5.6249999999999998E-3</v>
      </c>
      <c r="B290" s="21">
        <f t="shared" si="8"/>
        <v>-0.13388059999999999</v>
      </c>
      <c r="D290">
        <f t="shared" si="9"/>
        <v>-52.663930817610058</v>
      </c>
      <c r="G290" s="21">
        <v>0.16747129999999999</v>
      </c>
      <c r="H290" s="21">
        <v>-0.13388059999999999</v>
      </c>
    </row>
    <row r="291" spans="1:8" x14ac:dyDescent="0.15">
      <c r="A291" s="21">
        <v>5.6445310000000004E-3</v>
      </c>
      <c r="B291" s="21">
        <f t="shared" si="8"/>
        <v>-0.1707169</v>
      </c>
      <c r="D291">
        <f t="shared" si="9"/>
        <v>-67.508207547169818</v>
      </c>
      <c r="G291" s="21">
        <v>0.21467610000000001</v>
      </c>
      <c r="H291" s="21">
        <v>-0.1707169</v>
      </c>
    </row>
    <row r="292" spans="1:8" x14ac:dyDescent="0.15">
      <c r="A292" s="21">
        <v>5.6640620000000001E-3</v>
      </c>
      <c r="B292" s="21">
        <f t="shared" si="8"/>
        <v>-0.20160410000000001</v>
      </c>
      <c r="D292">
        <f t="shared" si="9"/>
        <v>-79.857264150943394</v>
      </c>
      <c r="G292" s="21">
        <v>0.25394610000000001</v>
      </c>
      <c r="H292" s="21">
        <v>-0.20160410000000001</v>
      </c>
    </row>
    <row r="293" spans="1:8" x14ac:dyDescent="0.15">
      <c r="A293" s="21">
        <v>5.6835940000000001E-3</v>
      </c>
      <c r="B293" s="21">
        <f t="shared" si="8"/>
        <v>-0.22591810000000001</v>
      </c>
      <c r="D293">
        <f t="shared" si="9"/>
        <v>-89.715911949685534</v>
      </c>
      <c r="G293" s="21">
        <v>0.28529660000000001</v>
      </c>
      <c r="H293" s="21">
        <v>-0.22591810000000001</v>
      </c>
    </row>
    <row r="294" spans="1:8" x14ac:dyDescent="0.15">
      <c r="A294" s="21">
        <v>5.7031249999999999E-3</v>
      </c>
      <c r="B294" s="21">
        <f t="shared" si="8"/>
        <v>-0.2428969</v>
      </c>
      <c r="D294">
        <f t="shared" si="9"/>
        <v>-96.547327044025138</v>
      </c>
      <c r="G294" s="21">
        <v>0.30702049999999997</v>
      </c>
      <c r="H294" s="21">
        <v>-0.2428969</v>
      </c>
    </row>
    <row r="295" spans="1:8" x14ac:dyDescent="0.15">
      <c r="A295" s="21">
        <v>5.7226559999999996E-3</v>
      </c>
      <c r="B295" s="21">
        <f t="shared" si="8"/>
        <v>-0.25110080000000001</v>
      </c>
      <c r="D295">
        <f t="shared" si="9"/>
        <v>-99.79493710691824</v>
      </c>
      <c r="G295" s="21">
        <v>0.31734790000000002</v>
      </c>
      <c r="H295" s="21">
        <v>-0.25110080000000001</v>
      </c>
    </row>
    <row r="296" spans="1:8" x14ac:dyDescent="0.15">
      <c r="A296" s="21">
        <v>5.7421870000000002E-3</v>
      </c>
      <c r="B296" s="21">
        <f t="shared" si="8"/>
        <v>-0.2517335</v>
      </c>
      <c r="D296">
        <f t="shared" si="9"/>
        <v>-100.17603773584905</v>
      </c>
      <c r="G296" s="21">
        <v>0.3185598</v>
      </c>
      <c r="H296" s="21">
        <v>-0.2517335</v>
      </c>
    </row>
    <row r="297" spans="1:8" x14ac:dyDescent="0.15">
      <c r="A297" s="21">
        <v>5.7617190000000002E-3</v>
      </c>
      <c r="B297" s="21">
        <f t="shared" si="8"/>
        <v>-0.2439798</v>
      </c>
      <c r="D297">
        <f t="shared" si="9"/>
        <v>-97.10100628930816</v>
      </c>
      <c r="G297" s="21">
        <v>0.30878119999999998</v>
      </c>
      <c r="H297" s="21">
        <v>-0.2439798</v>
      </c>
    </row>
    <row r="298" spans="1:8" x14ac:dyDescent="0.15">
      <c r="A298" s="21">
        <v>5.7812499999999999E-3</v>
      </c>
      <c r="B298" s="21">
        <f t="shared" si="8"/>
        <v>-0.22717780000000001</v>
      </c>
      <c r="D298">
        <f t="shared" si="9"/>
        <v>-90.438553459119476</v>
      </c>
      <c r="G298" s="21">
        <v>0.28759459999999998</v>
      </c>
      <c r="H298" s="21">
        <v>-0.22717780000000001</v>
      </c>
    </row>
    <row r="299" spans="1:8" x14ac:dyDescent="0.15">
      <c r="A299" s="21">
        <v>5.8007809999999996E-3</v>
      </c>
      <c r="B299" s="21">
        <f t="shared" si="8"/>
        <v>-0.2032979</v>
      </c>
      <c r="D299">
        <f t="shared" si="9"/>
        <v>-80.915440251572321</v>
      </c>
      <c r="G299" s="21">
        <v>0.25731110000000001</v>
      </c>
      <c r="H299" s="21">
        <v>-0.2032979</v>
      </c>
    </row>
    <row r="300" spans="1:8" x14ac:dyDescent="0.15">
      <c r="A300" s="21">
        <v>5.8203120000000002E-3</v>
      </c>
      <c r="B300" s="21">
        <f t="shared" si="8"/>
        <v>-0.1720275</v>
      </c>
      <c r="D300">
        <f t="shared" si="9"/>
        <v>-68.30921383647798</v>
      </c>
      <c r="G300" s="21">
        <v>0.21722330000000001</v>
      </c>
      <c r="H300" s="21">
        <v>-0.1720275</v>
      </c>
    </row>
    <row r="301" spans="1:8" x14ac:dyDescent="0.15">
      <c r="A301" s="21">
        <v>5.8398440000000003E-3</v>
      </c>
      <c r="B301" s="21">
        <f t="shared" si="8"/>
        <v>-0.13483029999999999</v>
      </c>
      <c r="D301">
        <f t="shared" si="9"/>
        <v>-53.500408805031448</v>
      </c>
      <c r="G301" s="21">
        <v>0.17013130000000001</v>
      </c>
      <c r="H301" s="21">
        <v>-0.13483029999999999</v>
      </c>
    </row>
    <row r="302" spans="1:8" x14ac:dyDescent="0.15">
      <c r="A302" s="21">
        <v>5.859375E-3</v>
      </c>
      <c r="B302" s="21">
        <f t="shared" si="8"/>
        <v>-9.4107090000000004E-2</v>
      </c>
      <c r="D302">
        <f t="shared" si="9"/>
        <v>-37.20075471698113</v>
      </c>
      <c r="G302" s="21">
        <v>0.1182984</v>
      </c>
      <c r="H302" s="21">
        <v>-9.4107090000000004E-2</v>
      </c>
    </row>
    <row r="303" spans="1:8" x14ac:dyDescent="0.15">
      <c r="A303" s="21">
        <v>5.8789059999999997E-3</v>
      </c>
      <c r="B303" s="21">
        <f t="shared" si="8"/>
        <v>-4.9331920000000001E-2</v>
      </c>
      <c r="D303">
        <f t="shared" si="9"/>
        <v>-19.17443396226415</v>
      </c>
      <c r="G303" s="21">
        <v>6.09747E-2</v>
      </c>
      <c r="H303" s="21">
        <v>-4.9331920000000001E-2</v>
      </c>
    </row>
    <row r="304" spans="1:8" x14ac:dyDescent="0.15">
      <c r="A304" s="21">
        <v>5.8984379999999998E-3</v>
      </c>
      <c r="B304" s="21">
        <f t="shared" si="8"/>
        <v>-2.609756E-3</v>
      </c>
      <c r="D304">
        <f t="shared" si="9"/>
        <v>-0.51058616352201258</v>
      </c>
      <c r="G304" s="21">
        <v>1.6236639999999999E-3</v>
      </c>
      <c r="H304" s="21">
        <v>-2.609756E-3</v>
      </c>
    </row>
    <row r="305" spans="1:8" x14ac:dyDescent="0.15">
      <c r="A305" s="21">
        <v>5.9179690000000004E-3</v>
      </c>
      <c r="B305" s="21">
        <f t="shared" si="8"/>
        <v>4.3566109999999998E-2</v>
      </c>
      <c r="D305">
        <f t="shared" si="9"/>
        <v>17.99962578616352</v>
      </c>
      <c r="G305" s="21">
        <v>-5.7238810000000001E-2</v>
      </c>
      <c r="H305" s="21">
        <v>4.3566109999999998E-2</v>
      </c>
    </row>
    <row r="306" spans="1:8" x14ac:dyDescent="0.15">
      <c r="A306" s="21">
        <v>5.9375000000000001E-3</v>
      </c>
      <c r="B306" s="21">
        <f t="shared" si="8"/>
        <v>8.8866290000000001E-2</v>
      </c>
      <c r="D306">
        <f t="shared" si="9"/>
        <v>36.191949685534588</v>
      </c>
      <c r="G306" s="21">
        <v>-0.1150904</v>
      </c>
      <c r="H306" s="21">
        <v>8.8866290000000001E-2</v>
      </c>
    </row>
    <row r="307" spans="1:8" x14ac:dyDescent="0.15">
      <c r="A307" s="21">
        <v>5.9570309999999998E-3</v>
      </c>
      <c r="B307" s="21">
        <f t="shared" si="8"/>
        <v>0.1303926</v>
      </c>
      <c r="D307">
        <f t="shared" si="9"/>
        <v>52.835566037735845</v>
      </c>
      <c r="G307" s="21">
        <v>-0.1680171</v>
      </c>
      <c r="H307" s="21">
        <v>0.1303926</v>
      </c>
    </row>
    <row r="308" spans="1:8" x14ac:dyDescent="0.15">
      <c r="A308" s="21">
        <v>5.9765629999999998E-3</v>
      </c>
      <c r="B308" s="21">
        <f t="shared" si="8"/>
        <v>0.16676560000000001</v>
      </c>
      <c r="D308">
        <f t="shared" si="9"/>
        <v>67.466194968553452</v>
      </c>
      <c r="G308" s="21">
        <v>-0.2145425</v>
      </c>
      <c r="H308" s="21">
        <v>0.16676560000000001</v>
      </c>
    </row>
    <row r="309" spans="1:8" x14ac:dyDescent="0.15">
      <c r="A309" s="21">
        <v>5.9960940000000004E-3</v>
      </c>
      <c r="B309" s="21">
        <f t="shared" si="8"/>
        <v>0.19840869999999999</v>
      </c>
      <c r="D309">
        <f t="shared" si="9"/>
        <v>80.159779874213839</v>
      </c>
      <c r="G309" s="21">
        <v>-0.25490810000000003</v>
      </c>
      <c r="H309" s="21">
        <v>0.19840869999999999</v>
      </c>
    </row>
    <row r="310" spans="1:8" x14ac:dyDescent="0.15">
      <c r="A310" s="21">
        <v>6.0156250000000001E-3</v>
      </c>
      <c r="B310" s="21">
        <f t="shared" si="8"/>
        <v>0.2231446</v>
      </c>
      <c r="D310">
        <f t="shared" si="9"/>
        <v>90.105188679245288</v>
      </c>
      <c r="G310" s="21">
        <v>-0.28653450000000003</v>
      </c>
      <c r="H310" s="21">
        <v>0.2231446</v>
      </c>
    </row>
    <row r="311" spans="1:8" x14ac:dyDescent="0.15">
      <c r="A311" s="21">
        <v>6.0351559999999999E-3</v>
      </c>
      <c r="B311" s="21">
        <f t="shared" si="8"/>
        <v>0.24054020000000001</v>
      </c>
      <c r="D311">
        <f t="shared" si="9"/>
        <v>97.112515723270434</v>
      </c>
      <c r="G311" s="21">
        <v>-0.30881779999999998</v>
      </c>
      <c r="H311" s="21">
        <v>0.24054020000000001</v>
      </c>
    </row>
    <row r="312" spans="1:8" x14ac:dyDescent="0.15">
      <c r="A312" s="21">
        <v>6.0546879999999999E-3</v>
      </c>
      <c r="B312" s="21">
        <f t="shared" si="8"/>
        <v>0.25016620000000001</v>
      </c>
      <c r="D312">
        <f t="shared" si="9"/>
        <v>100.96503144654088</v>
      </c>
      <c r="G312" s="21">
        <v>-0.32106879999999999</v>
      </c>
      <c r="H312" s="21">
        <v>0.25016620000000001</v>
      </c>
    </row>
    <row r="313" spans="1:8" x14ac:dyDescent="0.15">
      <c r="A313" s="21">
        <v>6.0742189999999996E-3</v>
      </c>
      <c r="B313" s="21">
        <f t="shared" si="8"/>
        <v>0.25058380000000002</v>
      </c>
      <c r="D313">
        <f t="shared" si="9"/>
        <v>101.15603773584907</v>
      </c>
      <c r="G313" s="21">
        <v>-0.32167620000000002</v>
      </c>
      <c r="H313" s="21">
        <v>0.25058380000000002</v>
      </c>
    </row>
    <row r="314" spans="1:8" x14ac:dyDescent="0.15">
      <c r="A314" s="21">
        <v>6.0937500000000002E-3</v>
      </c>
      <c r="B314" s="21">
        <f t="shared" si="8"/>
        <v>0.2427956</v>
      </c>
      <c r="D314">
        <f t="shared" si="9"/>
        <v>98.08814465408804</v>
      </c>
      <c r="G314" s="21">
        <v>-0.31192029999999998</v>
      </c>
      <c r="H314" s="21">
        <v>0.2427956</v>
      </c>
    </row>
    <row r="315" spans="1:8" x14ac:dyDescent="0.15">
      <c r="A315" s="21">
        <v>6.1132809999999999E-3</v>
      </c>
      <c r="B315" s="21">
        <f t="shared" si="8"/>
        <v>0.2269272</v>
      </c>
      <c r="D315">
        <f t="shared" si="9"/>
        <v>91.812641509433959</v>
      </c>
      <c r="G315" s="21">
        <v>-0.29196420000000001</v>
      </c>
      <c r="H315" s="21">
        <v>0.2269272</v>
      </c>
    </row>
    <row r="316" spans="1:8" x14ac:dyDescent="0.15">
      <c r="A316" s="21">
        <v>6.132813E-3</v>
      </c>
      <c r="B316" s="21">
        <f t="shared" si="8"/>
        <v>0.20329050000000001</v>
      </c>
      <c r="D316">
        <f t="shared" si="9"/>
        <v>82.377578616352196</v>
      </c>
      <c r="G316" s="21">
        <v>-0.26196069999999999</v>
      </c>
      <c r="H316" s="21">
        <v>0.20329050000000001</v>
      </c>
    </row>
    <row r="317" spans="1:8" x14ac:dyDescent="0.15">
      <c r="A317" s="21">
        <v>6.1523439999999997E-3</v>
      </c>
      <c r="B317" s="21">
        <f t="shared" si="8"/>
        <v>0.17300960000000001</v>
      </c>
      <c r="D317">
        <f t="shared" si="9"/>
        <v>70.258207547169818</v>
      </c>
      <c r="G317" s="21">
        <v>-0.22342110000000001</v>
      </c>
      <c r="H317" s="21">
        <v>0.17300960000000001</v>
      </c>
    </row>
    <row r="318" spans="1:8" x14ac:dyDescent="0.15">
      <c r="A318" s="21">
        <v>6.1718750000000003E-3</v>
      </c>
      <c r="B318" s="21">
        <f t="shared" si="8"/>
        <v>0.13625780000000001</v>
      </c>
      <c r="D318">
        <f t="shared" si="9"/>
        <v>55.551006289308177</v>
      </c>
      <c r="G318" s="21">
        <v>-0.17665220000000001</v>
      </c>
      <c r="H318" s="21">
        <v>0.13625780000000001</v>
      </c>
    </row>
    <row r="319" spans="1:8" x14ac:dyDescent="0.15">
      <c r="A319" s="21">
        <v>6.191406E-3</v>
      </c>
      <c r="B319" s="21">
        <f t="shared" si="8"/>
        <v>9.4951599999999997E-2</v>
      </c>
      <c r="D319">
        <f t="shared" si="9"/>
        <v>39.045094339622636</v>
      </c>
      <c r="G319" s="21">
        <v>-0.12416339999999999</v>
      </c>
      <c r="H319" s="21">
        <v>9.4951599999999997E-2</v>
      </c>
    </row>
    <row r="320" spans="1:8" x14ac:dyDescent="0.15">
      <c r="A320" s="21">
        <v>6.210938E-3</v>
      </c>
      <c r="B320" s="21">
        <f t="shared" si="8"/>
        <v>5.0656680000000003E-2</v>
      </c>
      <c r="D320">
        <f t="shared" si="9"/>
        <v>21.316669811320754</v>
      </c>
      <c r="G320" s="21">
        <v>-6.7787009999999995E-2</v>
      </c>
      <c r="H320" s="21">
        <v>5.0656680000000003E-2</v>
      </c>
    </row>
    <row r="321" spans="1:8" x14ac:dyDescent="0.15">
      <c r="A321" s="21">
        <v>6.2304689999999998E-3</v>
      </c>
      <c r="B321" s="21">
        <f t="shared" si="8"/>
        <v>3.778357E-3</v>
      </c>
      <c r="D321">
        <f t="shared" si="9"/>
        <v>2.4887776729559743</v>
      </c>
      <c r="G321" s="21">
        <v>-7.9143129999999992E-3</v>
      </c>
      <c r="H321" s="21">
        <v>3.778357E-3</v>
      </c>
    </row>
    <row r="322" spans="1:8" x14ac:dyDescent="0.15">
      <c r="A322" s="21">
        <v>6.2500000000000003E-3</v>
      </c>
      <c r="B322" s="21">
        <f t="shared" si="8"/>
        <v>-4.2905760000000001E-2</v>
      </c>
      <c r="D322">
        <f t="shared" si="9"/>
        <v>-16.174918238993708</v>
      </c>
      <c r="G322" s="21">
        <v>5.1436240000000001E-2</v>
      </c>
      <c r="H322" s="21">
        <v>-4.2905760000000001E-2</v>
      </c>
    </row>
    <row r="323" spans="1:8" x14ac:dyDescent="0.15">
      <c r="A323" s="21">
        <v>6.2695310000000001E-3</v>
      </c>
      <c r="B323" s="21">
        <f t="shared" ref="B323:B386" si="10">H323</f>
        <v>-8.7385450000000003E-2</v>
      </c>
      <c r="D323">
        <f t="shared" ref="D323:D386" si="11">G323*-1000/3.18</f>
        <v>-33.988805031446539</v>
      </c>
      <c r="G323" s="21">
        <v>0.1080844</v>
      </c>
      <c r="H323" s="21">
        <v>-8.7385450000000003E-2</v>
      </c>
    </row>
    <row r="324" spans="1:8" x14ac:dyDescent="0.15">
      <c r="A324" s="21">
        <v>6.2890630000000001E-3</v>
      </c>
      <c r="B324" s="21">
        <f t="shared" si="10"/>
        <v>-0.12908649999999999</v>
      </c>
      <c r="D324">
        <f t="shared" si="11"/>
        <v>-50.73103773584905</v>
      </c>
      <c r="G324" s="21">
        <v>0.16132469999999999</v>
      </c>
      <c r="H324" s="21">
        <v>-0.12908649999999999</v>
      </c>
    </row>
    <row r="325" spans="1:8" x14ac:dyDescent="0.15">
      <c r="A325" s="21">
        <v>6.3085939999999998E-3</v>
      </c>
      <c r="B325" s="21">
        <f t="shared" si="10"/>
        <v>-0.16599939999999999</v>
      </c>
      <c r="D325">
        <f t="shared" si="11"/>
        <v>-65.536698113207549</v>
      </c>
      <c r="G325" s="21">
        <v>0.2084067</v>
      </c>
      <c r="H325" s="21">
        <v>-0.16599939999999999</v>
      </c>
    </row>
    <row r="326" spans="1:8" x14ac:dyDescent="0.15">
      <c r="A326" s="21">
        <v>6.3281250000000004E-3</v>
      </c>
      <c r="B326" s="21">
        <f t="shared" si="10"/>
        <v>-0.19774700000000001</v>
      </c>
      <c r="D326">
        <f t="shared" si="11"/>
        <v>-78.383742138364781</v>
      </c>
      <c r="G326" s="21">
        <v>0.24926029999999999</v>
      </c>
      <c r="H326" s="21">
        <v>-0.19774700000000001</v>
      </c>
    </row>
    <row r="327" spans="1:8" x14ac:dyDescent="0.15">
      <c r="A327" s="21">
        <v>6.3476560000000001E-3</v>
      </c>
      <c r="B327" s="21">
        <f t="shared" si="10"/>
        <v>-0.22343009999999999</v>
      </c>
      <c r="D327">
        <f t="shared" si="11"/>
        <v>-88.705628930817596</v>
      </c>
      <c r="G327" s="21">
        <v>0.2820839</v>
      </c>
      <c r="H327" s="21">
        <v>-0.22343009999999999</v>
      </c>
    </row>
    <row r="328" spans="1:8" x14ac:dyDescent="0.15">
      <c r="A328" s="21">
        <v>6.3671880000000002E-3</v>
      </c>
      <c r="B328" s="21">
        <f t="shared" si="10"/>
        <v>-0.24090539999999999</v>
      </c>
      <c r="D328">
        <f t="shared" si="11"/>
        <v>-95.694874213836485</v>
      </c>
      <c r="G328" s="21">
        <v>0.30430970000000002</v>
      </c>
      <c r="H328" s="21">
        <v>-0.24090539999999999</v>
      </c>
    </row>
    <row r="329" spans="1:8" x14ac:dyDescent="0.15">
      <c r="A329" s="21">
        <v>6.3867189999999999E-3</v>
      </c>
      <c r="B329" s="21">
        <f t="shared" si="10"/>
        <v>-0.2507278</v>
      </c>
      <c r="D329">
        <f t="shared" si="11"/>
        <v>-99.736698113207552</v>
      </c>
      <c r="G329" s="21">
        <v>0.31716270000000002</v>
      </c>
      <c r="H329" s="21">
        <v>-0.2507278</v>
      </c>
    </row>
    <row r="330" spans="1:8" x14ac:dyDescent="0.15">
      <c r="A330" s="21">
        <v>6.4062499999999996E-3</v>
      </c>
      <c r="B330" s="21">
        <f t="shared" si="10"/>
        <v>-0.25213540000000001</v>
      </c>
      <c r="D330">
        <f t="shared" si="11"/>
        <v>-100.28279874213835</v>
      </c>
      <c r="G330" s="21">
        <v>0.3188993</v>
      </c>
      <c r="H330" s="21">
        <v>-0.25213540000000001</v>
      </c>
    </row>
    <row r="331" spans="1:8" x14ac:dyDescent="0.15">
      <c r="A331" s="21">
        <v>6.4257810000000002E-3</v>
      </c>
      <c r="B331" s="21">
        <f t="shared" si="10"/>
        <v>-0.2446045</v>
      </c>
      <c r="D331">
        <f t="shared" si="11"/>
        <v>-97.305849056603762</v>
      </c>
      <c r="G331" s="21">
        <v>0.3094326</v>
      </c>
      <c r="H331" s="21">
        <v>-0.2446045</v>
      </c>
    </row>
    <row r="332" spans="1:8" x14ac:dyDescent="0.15">
      <c r="A332" s="21">
        <v>6.4453130000000003E-3</v>
      </c>
      <c r="B332" s="21">
        <f t="shared" si="10"/>
        <v>-0.22961090000000001</v>
      </c>
      <c r="D332">
        <f t="shared" si="11"/>
        <v>-91.426886792452805</v>
      </c>
      <c r="G332" s="21">
        <v>0.29073749999999998</v>
      </c>
      <c r="H332" s="21">
        <v>-0.22961090000000001</v>
      </c>
    </row>
    <row r="333" spans="1:8" x14ac:dyDescent="0.15">
      <c r="A333" s="21">
        <v>6.464844E-3</v>
      </c>
      <c r="B333" s="21">
        <f t="shared" si="10"/>
        <v>-0.20665449999999999</v>
      </c>
      <c r="D333">
        <f t="shared" si="11"/>
        <v>-82.174496855345922</v>
      </c>
      <c r="G333" s="21">
        <v>0.26131490000000002</v>
      </c>
      <c r="H333" s="21">
        <v>-0.20665449999999999</v>
      </c>
    </row>
    <row r="334" spans="1:8" x14ac:dyDescent="0.15">
      <c r="A334" s="21">
        <v>6.4843749999999997E-3</v>
      </c>
      <c r="B334" s="21">
        <f t="shared" si="10"/>
        <v>-0.17652680000000001</v>
      </c>
      <c r="D334">
        <f t="shared" si="11"/>
        <v>-70.107452830188677</v>
      </c>
      <c r="G334" s="21">
        <v>0.22294169999999999</v>
      </c>
      <c r="H334" s="21">
        <v>-0.17652680000000001</v>
      </c>
    </row>
    <row r="335" spans="1:8" x14ac:dyDescent="0.15">
      <c r="A335" s="21">
        <v>6.5039060000000003E-3</v>
      </c>
      <c r="B335" s="21">
        <f t="shared" si="10"/>
        <v>-0.14063619999999999</v>
      </c>
      <c r="D335">
        <f t="shared" si="11"/>
        <v>-55.801603773584901</v>
      </c>
      <c r="G335" s="21">
        <v>0.1774491</v>
      </c>
      <c r="H335" s="21">
        <v>-0.14063619999999999</v>
      </c>
    </row>
    <row r="336" spans="1:8" x14ac:dyDescent="0.15">
      <c r="A336" s="21">
        <v>6.523437E-3</v>
      </c>
      <c r="B336" s="21">
        <f t="shared" si="10"/>
        <v>-9.944124E-2</v>
      </c>
      <c r="D336">
        <f t="shared" si="11"/>
        <v>-39.271383647798736</v>
      </c>
      <c r="G336" s="21">
        <v>0.12488299999999999</v>
      </c>
      <c r="H336" s="21">
        <v>-9.944124E-2</v>
      </c>
    </row>
    <row r="337" spans="1:8" x14ac:dyDescent="0.15">
      <c r="A337" s="21">
        <v>6.542969E-3</v>
      </c>
      <c r="B337" s="21">
        <f t="shared" si="10"/>
        <v>-5.4960479999999999E-2</v>
      </c>
      <c r="D337">
        <f t="shared" si="11"/>
        <v>-21.432613207547167</v>
      </c>
      <c r="G337" s="21">
        <v>6.8155709999999994E-2</v>
      </c>
      <c r="H337" s="21">
        <v>-5.4960479999999999E-2</v>
      </c>
    </row>
    <row r="338" spans="1:8" x14ac:dyDescent="0.15">
      <c r="A338" s="21">
        <v>6.5624999999999998E-3</v>
      </c>
      <c r="B338" s="21">
        <f t="shared" si="10"/>
        <v>-8.4680610000000007E-3</v>
      </c>
      <c r="D338">
        <f t="shared" si="11"/>
        <v>-2.8023773584905665</v>
      </c>
      <c r="G338" s="21">
        <v>8.9115600000000007E-3</v>
      </c>
      <c r="H338" s="21">
        <v>-8.4680610000000007E-3</v>
      </c>
    </row>
    <row r="339" spans="1:8" x14ac:dyDescent="0.15">
      <c r="A339" s="21">
        <v>6.5820310000000003E-3</v>
      </c>
      <c r="B339" s="21">
        <f t="shared" si="10"/>
        <v>3.8286010000000002E-2</v>
      </c>
      <c r="D339">
        <f t="shared" si="11"/>
        <v>15.893685534591194</v>
      </c>
      <c r="G339" s="21">
        <v>-5.0541919999999997E-2</v>
      </c>
      <c r="H339" s="21">
        <v>3.8286010000000002E-2</v>
      </c>
    </row>
    <row r="340" spans="1:8" x14ac:dyDescent="0.15">
      <c r="A340" s="21">
        <v>6.6015620000000001E-3</v>
      </c>
      <c r="B340" s="21">
        <f t="shared" si="10"/>
        <v>8.2799629999999999E-2</v>
      </c>
      <c r="D340">
        <f t="shared" si="11"/>
        <v>33.712578616352197</v>
      </c>
      <c r="G340" s="21">
        <v>-0.107206</v>
      </c>
      <c r="H340" s="21">
        <v>8.2799629999999999E-2</v>
      </c>
    </row>
    <row r="341" spans="1:8" x14ac:dyDescent="0.15">
      <c r="A341" s="21">
        <v>6.6210940000000001E-3</v>
      </c>
      <c r="B341" s="21">
        <f t="shared" si="10"/>
        <v>0.1247784</v>
      </c>
      <c r="D341">
        <f t="shared" si="11"/>
        <v>50.65201257861635</v>
      </c>
      <c r="G341" s="21">
        <v>-0.16107340000000001</v>
      </c>
      <c r="H341" s="21">
        <v>0.1247784</v>
      </c>
    </row>
    <row r="342" spans="1:8" x14ac:dyDescent="0.15">
      <c r="A342" s="21">
        <v>6.6406249999999998E-3</v>
      </c>
      <c r="B342" s="21">
        <f t="shared" si="10"/>
        <v>0.1628319</v>
      </c>
      <c r="D342">
        <f t="shared" si="11"/>
        <v>65.926006289308177</v>
      </c>
      <c r="G342" s="21">
        <v>-0.20964469999999999</v>
      </c>
      <c r="H342" s="21">
        <v>0.1628319</v>
      </c>
    </row>
    <row r="343" spans="1:8" x14ac:dyDescent="0.15">
      <c r="A343" s="21">
        <v>6.6601560000000004E-3</v>
      </c>
      <c r="B343" s="21">
        <f t="shared" si="10"/>
        <v>0.19499739999999999</v>
      </c>
      <c r="D343">
        <f t="shared" si="11"/>
        <v>78.752295597484277</v>
      </c>
      <c r="G343" s="21">
        <v>-0.2504323</v>
      </c>
      <c r="H343" s="21">
        <v>0.19499739999999999</v>
      </c>
    </row>
    <row r="344" spans="1:8" x14ac:dyDescent="0.15">
      <c r="A344" s="21">
        <v>6.6796870000000001E-3</v>
      </c>
      <c r="B344" s="21">
        <f t="shared" si="10"/>
        <v>0.22111459999999999</v>
      </c>
      <c r="D344">
        <f t="shared" si="11"/>
        <v>89.295220125786159</v>
      </c>
      <c r="G344" s="21">
        <v>-0.28395880000000001</v>
      </c>
      <c r="H344" s="21">
        <v>0.22111459999999999</v>
      </c>
    </row>
    <row r="345" spans="1:8" x14ac:dyDescent="0.15">
      <c r="A345" s="21">
        <v>6.6992190000000002E-3</v>
      </c>
      <c r="B345" s="21">
        <f t="shared" si="10"/>
        <v>0.23941219999999999</v>
      </c>
      <c r="D345">
        <f t="shared" si="11"/>
        <v>96.672641509433959</v>
      </c>
      <c r="G345" s="21">
        <v>-0.307419</v>
      </c>
      <c r="H345" s="21">
        <v>0.23941219999999999</v>
      </c>
    </row>
    <row r="346" spans="1:8" x14ac:dyDescent="0.15">
      <c r="A346" s="21">
        <v>6.7187499999999999E-3</v>
      </c>
      <c r="B346" s="21">
        <f t="shared" si="10"/>
        <v>0.24882080000000001</v>
      </c>
      <c r="D346">
        <f t="shared" si="11"/>
        <v>100.49176100628931</v>
      </c>
      <c r="G346" s="21">
        <v>-0.31956380000000001</v>
      </c>
      <c r="H346" s="21">
        <v>0.24882080000000001</v>
      </c>
    </row>
    <row r="347" spans="1:8" x14ac:dyDescent="0.15">
      <c r="A347" s="21">
        <v>6.7382809999999996E-3</v>
      </c>
      <c r="B347" s="21">
        <f t="shared" si="10"/>
        <v>0.2509267</v>
      </c>
      <c r="D347">
        <f t="shared" si="11"/>
        <v>101.42908805031446</v>
      </c>
      <c r="G347" s="21">
        <v>-0.32254450000000001</v>
      </c>
      <c r="H347" s="21">
        <v>0.2509267</v>
      </c>
    </row>
    <row r="348" spans="1:8" x14ac:dyDescent="0.15">
      <c r="A348" s="21">
        <v>6.7578120000000002E-3</v>
      </c>
      <c r="B348" s="21">
        <f t="shared" si="10"/>
        <v>0.244896</v>
      </c>
      <c r="D348">
        <f t="shared" si="11"/>
        <v>98.94</v>
      </c>
      <c r="G348" s="21">
        <v>-0.3146292</v>
      </c>
      <c r="H348" s="21">
        <v>0.244896</v>
      </c>
    </row>
    <row r="349" spans="1:8" x14ac:dyDescent="0.15">
      <c r="A349" s="21">
        <v>6.7773440000000003E-3</v>
      </c>
      <c r="B349" s="21">
        <f t="shared" si="10"/>
        <v>0.2300664</v>
      </c>
      <c r="D349">
        <f t="shared" si="11"/>
        <v>93.04336477987421</v>
      </c>
      <c r="G349" s="21">
        <v>-0.29587790000000003</v>
      </c>
      <c r="H349" s="21">
        <v>0.2300664</v>
      </c>
    </row>
    <row r="350" spans="1:8" x14ac:dyDescent="0.15">
      <c r="A350" s="21">
        <v>6.796875E-3</v>
      </c>
      <c r="B350" s="21">
        <f t="shared" si="10"/>
        <v>0.2077657</v>
      </c>
      <c r="D350">
        <f t="shared" si="11"/>
        <v>84.210188679245263</v>
      </c>
      <c r="G350" s="21">
        <v>-0.26778839999999998</v>
      </c>
      <c r="H350" s="21">
        <v>0.2077657</v>
      </c>
    </row>
    <row r="351" spans="1:8" x14ac:dyDescent="0.15">
      <c r="A351" s="21">
        <v>6.8164059999999997E-3</v>
      </c>
      <c r="B351" s="21">
        <f t="shared" si="10"/>
        <v>0.17768639999999999</v>
      </c>
      <c r="D351">
        <f t="shared" si="11"/>
        <v>72.09506289308176</v>
      </c>
      <c r="G351" s="21">
        <v>-0.2292623</v>
      </c>
      <c r="H351" s="21">
        <v>0.17768639999999999</v>
      </c>
    </row>
    <row r="352" spans="1:8" x14ac:dyDescent="0.15">
      <c r="A352" s="21">
        <v>6.8359379999999997E-3</v>
      </c>
      <c r="B352" s="21">
        <f t="shared" si="10"/>
        <v>0.14145440000000001</v>
      </c>
      <c r="D352">
        <f t="shared" si="11"/>
        <v>57.634716981132073</v>
      </c>
      <c r="G352" s="21">
        <v>-0.18327840000000001</v>
      </c>
      <c r="H352" s="21">
        <v>0.14145440000000001</v>
      </c>
    </row>
    <row r="353" spans="1:8" x14ac:dyDescent="0.15">
      <c r="A353" s="21">
        <v>6.8554690000000003E-3</v>
      </c>
      <c r="B353" s="21">
        <f t="shared" si="10"/>
        <v>0.10109310000000001</v>
      </c>
      <c r="D353">
        <f t="shared" si="11"/>
        <v>41.503742138364785</v>
      </c>
      <c r="G353" s="21">
        <v>-0.13198190000000001</v>
      </c>
      <c r="H353" s="21">
        <v>0.10109310000000001</v>
      </c>
    </row>
    <row r="354" spans="1:8" x14ac:dyDescent="0.15">
      <c r="A354" s="21">
        <v>6.875E-3</v>
      </c>
      <c r="B354" s="21">
        <f t="shared" si="10"/>
        <v>5.6695839999999997E-2</v>
      </c>
      <c r="D354">
        <f t="shared" si="11"/>
        <v>23.710333333333331</v>
      </c>
      <c r="G354" s="21">
        <v>-7.5398859999999998E-2</v>
      </c>
      <c r="H354" s="21">
        <v>5.6695839999999997E-2</v>
      </c>
    </row>
    <row r="355" spans="1:8" x14ac:dyDescent="0.15">
      <c r="A355" s="21">
        <v>6.8945309999999997E-3</v>
      </c>
      <c r="B355" s="21">
        <f t="shared" si="10"/>
        <v>1.0439260000000001E-2</v>
      </c>
      <c r="D355">
        <f t="shared" si="11"/>
        <v>5.2313238993710689</v>
      </c>
      <c r="G355" s="21">
        <v>-1.6635609999999999E-2</v>
      </c>
      <c r="H355" s="21">
        <v>1.0439260000000001E-2</v>
      </c>
    </row>
    <row r="356" spans="1:8" x14ac:dyDescent="0.15">
      <c r="A356" s="21">
        <v>6.9140629999999998E-3</v>
      </c>
      <c r="B356" s="21">
        <f t="shared" si="10"/>
        <v>-3.5983670000000002E-2</v>
      </c>
      <c r="D356">
        <f t="shared" si="11"/>
        <v>-13.426764150943397</v>
      </c>
      <c r="G356" s="21">
        <v>4.2697110000000003E-2</v>
      </c>
      <c r="H356" s="21">
        <v>-3.5983670000000002E-2</v>
      </c>
    </row>
    <row r="357" spans="1:8" x14ac:dyDescent="0.15">
      <c r="A357" s="21">
        <v>6.9335940000000004E-3</v>
      </c>
      <c r="B357" s="21">
        <f t="shared" si="10"/>
        <v>-8.1419649999999996E-2</v>
      </c>
      <c r="D357">
        <f t="shared" si="11"/>
        <v>-31.677358490566039</v>
      </c>
      <c r="G357" s="21">
        <v>0.100734</v>
      </c>
      <c r="H357" s="21">
        <v>-8.1419649999999996E-2</v>
      </c>
    </row>
    <row r="358" spans="1:8" x14ac:dyDescent="0.15">
      <c r="A358" s="21">
        <v>6.9531250000000001E-3</v>
      </c>
      <c r="B358" s="21">
        <f t="shared" si="10"/>
        <v>-0.1236888</v>
      </c>
      <c r="D358">
        <f t="shared" si="11"/>
        <v>-48.609842767295589</v>
      </c>
      <c r="G358" s="21">
        <v>0.1545793</v>
      </c>
      <c r="H358" s="21">
        <v>-0.1236888</v>
      </c>
    </row>
    <row r="359" spans="1:8" x14ac:dyDescent="0.15">
      <c r="A359" s="21">
        <v>6.9726559999999998E-3</v>
      </c>
      <c r="B359" s="21">
        <f t="shared" si="10"/>
        <v>-0.1616872</v>
      </c>
      <c r="D359">
        <f t="shared" si="11"/>
        <v>-63.84924528301886</v>
      </c>
      <c r="G359" s="21">
        <v>0.20304059999999999</v>
      </c>
      <c r="H359" s="21">
        <v>-0.1616872</v>
      </c>
    </row>
    <row r="360" spans="1:8" x14ac:dyDescent="0.15">
      <c r="A360" s="21">
        <v>6.9921879999999999E-3</v>
      </c>
      <c r="B360" s="21">
        <f t="shared" si="10"/>
        <v>-0.1940781</v>
      </c>
      <c r="D360">
        <f t="shared" si="11"/>
        <v>-76.860220125786157</v>
      </c>
      <c r="G360" s="21">
        <v>0.24441550000000001</v>
      </c>
      <c r="H360" s="21">
        <v>-0.1940781</v>
      </c>
    </row>
    <row r="361" spans="1:8" x14ac:dyDescent="0.15">
      <c r="A361" s="21">
        <v>7.0117189999999996E-3</v>
      </c>
      <c r="B361" s="21">
        <f t="shared" si="10"/>
        <v>-0.22008820000000001</v>
      </c>
      <c r="D361">
        <f t="shared" si="11"/>
        <v>-87.397547169811318</v>
      </c>
      <c r="G361" s="21">
        <v>0.27792420000000001</v>
      </c>
      <c r="H361" s="21">
        <v>-0.22008820000000001</v>
      </c>
    </row>
    <row r="362" spans="1:8" x14ac:dyDescent="0.15">
      <c r="A362" s="21">
        <v>7.0312500000000002E-3</v>
      </c>
      <c r="B362" s="21">
        <f t="shared" si="10"/>
        <v>-0.23916699999999999</v>
      </c>
      <c r="D362">
        <f t="shared" si="11"/>
        <v>-95.060849056603772</v>
      </c>
      <c r="G362" s="21">
        <v>0.30229349999999999</v>
      </c>
      <c r="H362" s="21">
        <v>-0.23916699999999999</v>
      </c>
    </row>
    <row r="363" spans="1:8" x14ac:dyDescent="0.15">
      <c r="A363" s="21">
        <v>7.0507809999999999E-3</v>
      </c>
      <c r="B363" s="21">
        <f t="shared" si="10"/>
        <v>-0.2498832</v>
      </c>
      <c r="D363">
        <f t="shared" si="11"/>
        <v>-99.304339622641507</v>
      </c>
      <c r="G363" s="21">
        <v>0.31578780000000001</v>
      </c>
      <c r="H363" s="21">
        <v>-0.2498832</v>
      </c>
    </row>
    <row r="364" spans="1:8" x14ac:dyDescent="0.15">
      <c r="A364" s="21">
        <v>7.0703129999999999E-3</v>
      </c>
      <c r="B364" s="21">
        <f t="shared" si="10"/>
        <v>-0.25267980000000001</v>
      </c>
      <c r="D364">
        <f t="shared" si="11"/>
        <v>-100.56635220125786</v>
      </c>
      <c r="G364" s="21">
        <v>0.319801</v>
      </c>
      <c r="H364" s="21">
        <v>-0.25267980000000001</v>
      </c>
    </row>
    <row r="365" spans="1:8" x14ac:dyDescent="0.15">
      <c r="A365" s="21">
        <v>7.0898439999999997E-3</v>
      </c>
      <c r="B365" s="21">
        <f t="shared" si="10"/>
        <v>-0.24701989999999999</v>
      </c>
      <c r="D365">
        <f t="shared" si="11"/>
        <v>-98.361226415094322</v>
      </c>
      <c r="G365" s="21">
        <v>0.31278869999999998</v>
      </c>
      <c r="H365" s="21">
        <v>-0.24701989999999999</v>
      </c>
    </row>
    <row r="366" spans="1:8" x14ac:dyDescent="0.15">
      <c r="A366" s="21">
        <v>7.1093750000000002E-3</v>
      </c>
      <c r="B366" s="21">
        <f t="shared" si="10"/>
        <v>-0.2320132</v>
      </c>
      <c r="D366">
        <f t="shared" si="11"/>
        <v>-92.280691823899375</v>
      </c>
      <c r="G366" s="21">
        <v>0.29345260000000001</v>
      </c>
      <c r="H366" s="21">
        <v>-0.2320132</v>
      </c>
    </row>
    <row r="367" spans="1:8" x14ac:dyDescent="0.15">
      <c r="A367" s="21">
        <v>7.128906E-3</v>
      </c>
      <c r="B367" s="21">
        <f t="shared" si="10"/>
        <v>-0.2102308</v>
      </c>
      <c r="D367">
        <f t="shared" si="11"/>
        <v>-83.650691823899379</v>
      </c>
      <c r="G367" s="21">
        <v>0.2660092</v>
      </c>
      <c r="H367" s="21">
        <v>-0.2102308</v>
      </c>
    </row>
    <row r="368" spans="1:8" x14ac:dyDescent="0.15">
      <c r="A368" s="21">
        <v>7.148438E-3</v>
      </c>
      <c r="B368" s="21">
        <f t="shared" si="10"/>
        <v>-0.1816236</v>
      </c>
      <c r="D368">
        <f t="shared" si="11"/>
        <v>-72.168333333333337</v>
      </c>
      <c r="G368" s="21">
        <v>0.22949530000000001</v>
      </c>
      <c r="H368" s="21">
        <v>-0.1816236</v>
      </c>
    </row>
    <row r="369" spans="1:8" x14ac:dyDescent="0.15">
      <c r="A369" s="21">
        <v>7.1679689999999997E-3</v>
      </c>
      <c r="B369" s="21">
        <f t="shared" si="10"/>
        <v>-0.1456422</v>
      </c>
      <c r="D369">
        <f t="shared" si="11"/>
        <v>-57.705345911949678</v>
      </c>
      <c r="G369" s="21">
        <v>0.183503</v>
      </c>
      <c r="H369" s="21">
        <v>-0.1456422</v>
      </c>
    </row>
    <row r="370" spans="1:8" x14ac:dyDescent="0.15">
      <c r="A370" s="21">
        <v>7.1875000000000003E-3</v>
      </c>
      <c r="B370" s="21">
        <f t="shared" si="10"/>
        <v>-0.10541830000000001</v>
      </c>
      <c r="D370">
        <f t="shared" si="11"/>
        <v>-41.759874213836476</v>
      </c>
      <c r="G370" s="21">
        <v>0.13279640000000001</v>
      </c>
      <c r="H370" s="21">
        <v>-0.10541830000000001</v>
      </c>
    </row>
    <row r="371" spans="1:8" x14ac:dyDescent="0.15">
      <c r="A371" s="21">
        <v>7.207031E-3</v>
      </c>
      <c r="B371" s="21">
        <f t="shared" si="10"/>
        <v>-6.1343710000000003E-2</v>
      </c>
      <c r="D371">
        <f t="shared" si="11"/>
        <v>-24.041292452830184</v>
      </c>
      <c r="G371" s="21">
        <v>7.6451309999999995E-2</v>
      </c>
      <c r="H371" s="21">
        <v>-6.1343710000000003E-2</v>
      </c>
    </row>
    <row r="372" spans="1:8" x14ac:dyDescent="0.15">
      <c r="A372" s="21">
        <v>7.2265630000000001E-3</v>
      </c>
      <c r="B372" s="21">
        <f t="shared" si="10"/>
        <v>-1.4640230000000001E-2</v>
      </c>
      <c r="D372">
        <f t="shared" si="11"/>
        <v>-5.2538081761006286</v>
      </c>
      <c r="G372" s="21">
        <v>1.6707110000000001E-2</v>
      </c>
      <c r="H372" s="21">
        <v>-1.4640230000000001E-2</v>
      </c>
    </row>
    <row r="373" spans="1:8" x14ac:dyDescent="0.15">
      <c r="A373" s="21">
        <v>7.2460939999999998E-3</v>
      </c>
      <c r="B373" s="21">
        <f t="shared" si="10"/>
        <v>3.144624E-2</v>
      </c>
      <c r="D373">
        <f t="shared" si="11"/>
        <v>13.118459119496857</v>
      </c>
      <c r="G373" s="21">
        <v>-4.1716700000000002E-2</v>
      </c>
      <c r="H373" s="21">
        <v>3.144624E-2</v>
      </c>
    </row>
    <row r="374" spans="1:8" x14ac:dyDescent="0.15">
      <c r="A374" s="21">
        <v>7.2656250000000004E-3</v>
      </c>
      <c r="B374" s="21">
        <f t="shared" si="10"/>
        <v>7.6880290000000004E-2</v>
      </c>
      <c r="D374">
        <f t="shared" si="11"/>
        <v>31.388776729559748</v>
      </c>
      <c r="G374" s="21">
        <v>-9.9816310000000005E-2</v>
      </c>
      <c r="H374" s="21">
        <v>7.6880290000000004E-2</v>
      </c>
    </row>
    <row r="375" spans="1:8" x14ac:dyDescent="0.15">
      <c r="A375" s="21">
        <v>7.2851560000000001E-3</v>
      </c>
      <c r="B375" s="21">
        <f t="shared" si="10"/>
        <v>0.11977</v>
      </c>
      <c r="D375">
        <f t="shared" si="11"/>
        <v>48.520943396226414</v>
      </c>
      <c r="G375" s="21">
        <v>-0.15429660000000001</v>
      </c>
      <c r="H375" s="21">
        <v>0.11977</v>
      </c>
    </row>
    <row r="376" spans="1:8" x14ac:dyDescent="0.15">
      <c r="A376" s="21">
        <v>7.3046880000000002E-3</v>
      </c>
      <c r="B376" s="21">
        <f t="shared" si="10"/>
        <v>0.15769929999999999</v>
      </c>
      <c r="D376">
        <f t="shared" si="11"/>
        <v>63.723081761006284</v>
      </c>
      <c r="G376" s="21">
        <v>-0.2026394</v>
      </c>
      <c r="H376" s="21">
        <v>0.15769929999999999</v>
      </c>
    </row>
    <row r="377" spans="1:8" x14ac:dyDescent="0.15">
      <c r="A377" s="21">
        <v>7.3242189999999999E-3</v>
      </c>
      <c r="B377" s="21">
        <f t="shared" si="10"/>
        <v>0.19097169999999999</v>
      </c>
      <c r="D377">
        <f t="shared" si="11"/>
        <v>77.233616352201253</v>
      </c>
      <c r="G377" s="21">
        <v>-0.24560290000000001</v>
      </c>
      <c r="H377" s="21">
        <v>0.19097169999999999</v>
      </c>
    </row>
    <row r="378" spans="1:8" x14ac:dyDescent="0.15">
      <c r="A378" s="21">
        <v>7.3437499999999996E-3</v>
      </c>
      <c r="B378" s="21">
        <f t="shared" si="10"/>
        <v>0.217609</v>
      </c>
      <c r="D378">
        <f t="shared" si="11"/>
        <v>87.830220125786155</v>
      </c>
      <c r="G378" s="21">
        <v>-0.2793001</v>
      </c>
      <c r="H378" s="21">
        <v>0.217609</v>
      </c>
    </row>
    <row r="379" spans="1:8" x14ac:dyDescent="0.15">
      <c r="A379" s="21">
        <v>7.3632810000000002E-3</v>
      </c>
      <c r="B379" s="21">
        <f t="shared" si="10"/>
        <v>0.23641970000000001</v>
      </c>
      <c r="D379">
        <f t="shared" si="11"/>
        <v>95.397201257861624</v>
      </c>
      <c r="G379" s="21">
        <v>-0.3033631</v>
      </c>
      <c r="H379" s="21">
        <v>0.23641970000000001</v>
      </c>
    </row>
    <row r="380" spans="1:8" x14ac:dyDescent="0.15">
      <c r="A380" s="21">
        <v>7.3828130000000002E-3</v>
      </c>
      <c r="B380" s="21">
        <f t="shared" si="10"/>
        <v>0.24825220000000001</v>
      </c>
      <c r="D380">
        <f t="shared" si="11"/>
        <v>100.31499999999998</v>
      </c>
      <c r="G380" s="21">
        <v>-0.3190017</v>
      </c>
      <c r="H380" s="21">
        <v>0.24825220000000001</v>
      </c>
    </row>
    <row r="381" spans="1:8" x14ac:dyDescent="0.15">
      <c r="A381" s="21">
        <v>7.4023439999999999E-3</v>
      </c>
      <c r="B381" s="21">
        <f t="shared" si="10"/>
        <v>0.25121830000000001</v>
      </c>
      <c r="D381">
        <f t="shared" si="11"/>
        <v>101.45402515723271</v>
      </c>
      <c r="G381" s="21">
        <v>-0.32262380000000002</v>
      </c>
      <c r="H381" s="21">
        <v>0.25121830000000001</v>
      </c>
    </row>
    <row r="382" spans="1:8" x14ac:dyDescent="0.15">
      <c r="A382" s="21">
        <v>7.4218749999999997E-3</v>
      </c>
      <c r="B382" s="21">
        <f t="shared" si="10"/>
        <v>0.24519460000000001</v>
      </c>
      <c r="D382">
        <f t="shared" si="11"/>
        <v>99.078050314465415</v>
      </c>
      <c r="G382" s="21">
        <v>-0.31506820000000002</v>
      </c>
      <c r="H382" s="21">
        <v>0.24519460000000001</v>
      </c>
    </row>
    <row r="383" spans="1:8" x14ac:dyDescent="0.15">
      <c r="A383" s="21">
        <v>7.4414060000000002E-3</v>
      </c>
      <c r="B383" s="21">
        <f t="shared" si="10"/>
        <v>0.23172860000000001</v>
      </c>
      <c r="D383">
        <f t="shared" si="11"/>
        <v>93.766320754716986</v>
      </c>
      <c r="G383" s="21">
        <v>-0.29817690000000002</v>
      </c>
      <c r="H383" s="21">
        <v>0.23172860000000001</v>
      </c>
    </row>
    <row r="384" spans="1:8" x14ac:dyDescent="0.15">
      <c r="A384" s="21">
        <v>7.4609380000000003E-3</v>
      </c>
      <c r="B384" s="21">
        <f t="shared" si="10"/>
        <v>0.20994989999999999</v>
      </c>
      <c r="D384">
        <f t="shared" si="11"/>
        <v>85.000251572327031</v>
      </c>
      <c r="G384" s="21">
        <v>-0.27030080000000001</v>
      </c>
      <c r="H384" s="21">
        <v>0.20994989999999999</v>
      </c>
    </row>
    <row r="385" spans="1:8" x14ac:dyDescent="0.15">
      <c r="A385" s="21">
        <v>7.480469E-3</v>
      </c>
      <c r="B385" s="21">
        <f t="shared" si="10"/>
        <v>0.18123939999999999</v>
      </c>
      <c r="D385">
        <f t="shared" si="11"/>
        <v>73.564559748427669</v>
      </c>
      <c r="G385" s="21">
        <v>-0.23393530000000001</v>
      </c>
      <c r="H385" s="21">
        <v>0.18123939999999999</v>
      </c>
    </row>
    <row r="386" spans="1:8" x14ac:dyDescent="0.15">
      <c r="A386" s="21">
        <v>7.4999999999999997E-3</v>
      </c>
      <c r="B386" s="21">
        <f t="shared" si="10"/>
        <v>0.14686560000000001</v>
      </c>
      <c r="D386">
        <f t="shared" si="11"/>
        <v>59.780471698113203</v>
      </c>
      <c r="G386" s="21">
        <v>-0.19010189999999999</v>
      </c>
      <c r="H386" s="21">
        <v>0.14686560000000001</v>
      </c>
    </row>
    <row r="387" spans="1:8" x14ac:dyDescent="0.15">
      <c r="A387" s="21">
        <v>7.5195310000000003E-3</v>
      </c>
      <c r="B387" s="21">
        <f t="shared" ref="B387:B450" si="12">H387</f>
        <v>0.10643089999999999</v>
      </c>
      <c r="D387">
        <f t="shared" ref="D387:D450" si="13">G387*-1000/3.18</f>
        <v>43.560880503144645</v>
      </c>
      <c r="G387" s="21">
        <v>-0.1385236</v>
      </c>
      <c r="H387" s="21">
        <v>0.10643089999999999</v>
      </c>
    </row>
    <row r="388" spans="1:8" x14ac:dyDescent="0.15">
      <c r="A388" s="21">
        <v>7.539062E-3</v>
      </c>
      <c r="B388" s="21">
        <f t="shared" si="12"/>
        <v>6.2402760000000002E-2</v>
      </c>
      <c r="D388">
        <f t="shared" si="13"/>
        <v>26.042619496855345</v>
      </c>
      <c r="G388" s="21">
        <v>-8.2815529999999998E-2</v>
      </c>
      <c r="H388" s="21">
        <v>6.2402760000000002E-2</v>
      </c>
    </row>
    <row r="389" spans="1:8" x14ac:dyDescent="0.15">
      <c r="A389" s="21">
        <v>7.5585940000000001E-3</v>
      </c>
      <c r="B389" s="21">
        <f t="shared" si="12"/>
        <v>1.6285669999999999E-2</v>
      </c>
      <c r="D389">
        <f t="shared" si="13"/>
        <v>7.5010062893081759</v>
      </c>
      <c r="G389" s="21">
        <v>-2.3853200000000001E-2</v>
      </c>
      <c r="H389" s="21">
        <v>1.6285669999999999E-2</v>
      </c>
    </row>
    <row r="390" spans="1:8" x14ac:dyDescent="0.15">
      <c r="A390" s="21">
        <v>7.5781249999999998E-3</v>
      </c>
      <c r="B390" s="21">
        <f t="shared" si="12"/>
        <v>-3.0649840000000001E-2</v>
      </c>
      <c r="D390">
        <f t="shared" si="13"/>
        <v>-11.362292452830188</v>
      </c>
      <c r="G390" s="21">
        <v>3.6132089999999999E-2</v>
      </c>
      <c r="H390" s="21">
        <v>-3.0649840000000001E-2</v>
      </c>
    </row>
    <row r="391" spans="1:8" x14ac:dyDescent="0.15">
      <c r="A391" s="21">
        <v>7.5976560000000004E-3</v>
      </c>
      <c r="B391" s="21">
        <f t="shared" si="12"/>
        <v>-7.5651769999999993E-2</v>
      </c>
      <c r="D391">
        <f t="shared" si="13"/>
        <v>-29.337933962264149</v>
      </c>
      <c r="G391" s="21">
        <v>9.3294630000000003E-2</v>
      </c>
      <c r="H391" s="21">
        <v>-7.5651769999999993E-2</v>
      </c>
    </row>
    <row r="392" spans="1:8" x14ac:dyDescent="0.15">
      <c r="A392" s="21">
        <v>7.6171870000000001E-3</v>
      </c>
      <c r="B392" s="21">
        <f t="shared" si="12"/>
        <v>-0.1182207</v>
      </c>
      <c r="D392">
        <f t="shared" si="13"/>
        <v>-46.410723270440243</v>
      </c>
      <c r="G392" s="21">
        <v>0.1475861</v>
      </c>
      <c r="H392" s="21">
        <v>-0.1182207</v>
      </c>
    </row>
    <row r="393" spans="1:8" x14ac:dyDescent="0.15">
      <c r="A393" s="21">
        <v>7.6367190000000001E-3</v>
      </c>
      <c r="B393" s="21">
        <f t="shared" si="12"/>
        <v>-0.15693489999999999</v>
      </c>
      <c r="D393">
        <f t="shared" si="13"/>
        <v>-61.912044025157229</v>
      </c>
      <c r="G393" s="21">
        <v>0.19688030000000001</v>
      </c>
      <c r="H393" s="21">
        <v>-0.15693489999999999</v>
      </c>
    </row>
    <row r="394" spans="1:8" x14ac:dyDescent="0.15">
      <c r="A394" s="21">
        <v>7.6562499999999999E-3</v>
      </c>
      <c r="B394" s="21">
        <f t="shared" si="12"/>
        <v>-0.18981509999999999</v>
      </c>
      <c r="D394">
        <f t="shared" si="13"/>
        <v>-75.162044025157243</v>
      </c>
      <c r="G394" s="21">
        <v>0.23901530000000001</v>
      </c>
      <c r="H394" s="21">
        <v>-0.18981509999999999</v>
      </c>
    </row>
    <row r="395" spans="1:8" x14ac:dyDescent="0.15">
      <c r="A395" s="21">
        <v>7.6757809999999996E-3</v>
      </c>
      <c r="B395" s="21">
        <f t="shared" si="12"/>
        <v>-0.21715139999999999</v>
      </c>
      <c r="D395">
        <f t="shared" si="13"/>
        <v>-86.214874213836467</v>
      </c>
      <c r="G395" s="21">
        <v>0.2741633</v>
      </c>
      <c r="H395" s="21">
        <v>-0.21715139999999999</v>
      </c>
    </row>
    <row r="396" spans="1:8" x14ac:dyDescent="0.15">
      <c r="A396" s="21">
        <v>7.6953120000000002E-3</v>
      </c>
      <c r="B396" s="21">
        <f t="shared" si="12"/>
        <v>-0.23741380000000001</v>
      </c>
      <c r="D396">
        <f t="shared" si="13"/>
        <v>-94.285094339622631</v>
      </c>
      <c r="G396" s="21">
        <v>0.2998266</v>
      </c>
      <c r="H396" s="21">
        <v>-0.23741380000000001</v>
      </c>
    </row>
    <row r="397" spans="1:8" x14ac:dyDescent="0.15">
      <c r="A397" s="21">
        <v>7.7148440000000002E-3</v>
      </c>
      <c r="B397" s="21">
        <f t="shared" si="12"/>
        <v>-0.24900929999999999</v>
      </c>
      <c r="D397">
        <f t="shared" si="13"/>
        <v>-98.989182389937099</v>
      </c>
      <c r="G397" s="21">
        <v>0.3147856</v>
      </c>
      <c r="H397" s="21">
        <v>-0.24900929999999999</v>
      </c>
    </row>
    <row r="398" spans="1:8" x14ac:dyDescent="0.15">
      <c r="A398" s="21">
        <v>7.7343749999999999E-3</v>
      </c>
      <c r="B398" s="21">
        <f t="shared" si="12"/>
        <v>-0.25273089999999998</v>
      </c>
      <c r="D398">
        <f t="shared" si="13"/>
        <v>-100.57135220125787</v>
      </c>
      <c r="G398" s="21">
        <v>0.31981690000000002</v>
      </c>
      <c r="H398" s="21">
        <v>-0.25273089999999998</v>
      </c>
    </row>
    <row r="399" spans="1:8" x14ac:dyDescent="0.15">
      <c r="A399" s="21">
        <v>7.7539059999999996E-3</v>
      </c>
      <c r="B399" s="21">
        <f t="shared" si="12"/>
        <v>-0.24761620000000001</v>
      </c>
      <c r="D399">
        <f t="shared" si="13"/>
        <v>-98.495251572327035</v>
      </c>
      <c r="G399" s="21">
        <v>0.31321490000000002</v>
      </c>
      <c r="H399" s="21">
        <v>-0.24761620000000001</v>
      </c>
    </row>
    <row r="400" spans="1:8" x14ac:dyDescent="0.15">
      <c r="A400" s="21">
        <v>7.7734370000000002E-3</v>
      </c>
      <c r="B400" s="21">
        <f t="shared" si="12"/>
        <v>-0.23394709999999999</v>
      </c>
      <c r="D400">
        <f t="shared" si="13"/>
        <v>-93.129654088050302</v>
      </c>
      <c r="G400" s="21">
        <v>0.29615229999999998</v>
      </c>
      <c r="H400" s="21">
        <v>-0.23394709999999999</v>
      </c>
    </row>
    <row r="401" spans="1:8" x14ac:dyDescent="0.15">
      <c r="A401" s="21">
        <v>7.7929690000000003E-3</v>
      </c>
      <c r="B401" s="21">
        <f t="shared" si="12"/>
        <v>-0.21347530000000001</v>
      </c>
      <c r="D401">
        <f t="shared" si="13"/>
        <v>-84.966257861635214</v>
      </c>
      <c r="G401" s="21">
        <v>0.27019270000000001</v>
      </c>
      <c r="H401" s="21">
        <v>-0.21347530000000001</v>
      </c>
    </row>
    <row r="402" spans="1:8" x14ac:dyDescent="0.15">
      <c r="A402" s="21">
        <v>7.8125E-3</v>
      </c>
      <c r="B402" s="21">
        <f t="shared" si="12"/>
        <v>-0.1853805</v>
      </c>
      <c r="D402">
        <f t="shared" si="13"/>
        <v>-73.59072327044025</v>
      </c>
      <c r="G402" s="21">
        <v>0.23401849999999999</v>
      </c>
      <c r="H402" s="21">
        <v>-0.1853805</v>
      </c>
    </row>
    <row r="403" spans="1:8" x14ac:dyDescent="0.15">
      <c r="A403" s="21">
        <v>7.8320309999999997E-3</v>
      </c>
      <c r="B403" s="21">
        <f t="shared" si="12"/>
        <v>-0.1507529</v>
      </c>
      <c r="D403">
        <f t="shared" si="13"/>
        <v>-59.774245283018864</v>
      </c>
      <c r="G403" s="21">
        <v>0.1900821</v>
      </c>
      <c r="H403" s="21">
        <v>-0.1507529</v>
      </c>
    </row>
    <row r="404" spans="1:8" x14ac:dyDescent="0.15">
      <c r="A404" s="21">
        <v>7.8515630000000006E-3</v>
      </c>
      <c r="B404" s="21">
        <f t="shared" si="12"/>
        <v>-0.11085059999999999</v>
      </c>
      <c r="D404">
        <f t="shared" si="13"/>
        <v>-43.855251572327042</v>
      </c>
      <c r="G404" s="21">
        <v>0.13945969999999999</v>
      </c>
      <c r="H404" s="21">
        <v>-0.11085059999999999</v>
      </c>
    </row>
    <row r="405" spans="1:8" x14ac:dyDescent="0.15">
      <c r="A405" s="21">
        <v>7.8710940000000004E-3</v>
      </c>
      <c r="B405" s="21">
        <f t="shared" si="12"/>
        <v>-6.6290370000000001E-2</v>
      </c>
      <c r="D405">
        <f t="shared" si="13"/>
        <v>-26.059937106918238</v>
      </c>
      <c r="G405" s="21">
        <v>8.2870600000000003E-2</v>
      </c>
      <c r="H405" s="21">
        <v>-6.6290370000000001E-2</v>
      </c>
    </row>
    <row r="406" spans="1:8" x14ac:dyDescent="0.15">
      <c r="A406" s="21">
        <v>7.8906250000000001E-3</v>
      </c>
      <c r="B406" s="21">
        <f t="shared" si="12"/>
        <v>-2.0276990000000002E-2</v>
      </c>
      <c r="D406">
        <f t="shared" si="13"/>
        <v>-7.6926698113207541</v>
      </c>
      <c r="G406" s="21">
        <v>2.4462689999999999E-2</v>
      </c>
      <c r="H406" s="21">
        <v>-2.0276990000000002E-2</v>
      </c>
    </row>
    <row r="407" spans="1:8" x14ac:dyDescent="0.15">
      <c r="A407" s="21">
        <v>7.9101559999999998E-3</v>
      </c>
      <c r="B407" s="21">
        <f t="shared" si="12"/>
        <v>2.5956360000000001E-2</v>
      </c>
      <c r="D407">
        <f t="shared" si="13"/>
        <v>10.951216981132076</v>
      </c>
      <c r="G407" s="21">
        <v>-3.4824870000000001E-2</v>
      </c>
      <c r="H407" s="21">
        <v>2.5956360000000001E-2</v>
      </c>
    </row>
    <row r="408" spans="1:8" x14ac:dyDescent="0.15">
      <c r="A408" s="21">
        <v>7.9296880000000007E-3</v>
      </c>
      <c r="B408" s="21">
        <f t="shared" si="12"/>
        <v>7.1284689999999998E-2</v>
      </c>
      <c r="D408">
        <f t="shared" si="13"/>
        <v>29.154528301886788</v>
      </c>
      <c r="G408" s="21">
        <v>-9.2711399999999999E-2</v>
      </c>
      <c r="H408" s="21">
        <v>7.1284689999999998E-2</v>
      </c>
    </row>
    <row r="409" spans="1:8" x14ac:dyDescent="0.15">
      <c r="A409" s="21">
        <v>7.9492190000000004E-3</v>
      </c>
      <c r="B409" s="21">
        <f t="shared" si="12"/>
        <v>0.1139954</v>
      </c>
      <c r="D409">
        <f t="shared" si="13"/>
        <v>46.276729559748432</v>
      </c>
      <c r="G409" s="21">
        <v>-0.14716000000000001</v>
      </c>
      <c r="H409" s="21">
        <v>0.1139954</v>
      </c>
    </row>
    <row r="410" spans="1:8" x14ac:dyDescent="0.15">
      <c r="A410" s="21">
        <v>7.9687500000000001E-3</v>
      </c>
      <c r="B410" s="21">
        <f t="shared" si="12"/>
        <v>0.153614</v>
      </c>
      <c r="D410">
        <f t="shared" si="13"/>
        <v>62.227327044025159</v>
      </c>
      <c r="G410" s="21">
        <v>-0.1978829</v>
      </c>
      <c r="H410" s="21">
        <v>0.153614</v>
      </c>
    </row>
    <row r="411" spans="1:8" x14ac:dyDescent="0.15">
      <c r="A411" s="21">
        <v>7.9882809999999999E-3</v>
      </c>
      <c r="B411" s="21">
        <f t="shared" si="12"/>
        <v>0.18737999999999999</v>
      </c>
      <c r="D411">
        <f t="shared" si="13"/>
        <v>75.702421383647788</v>
      </c>
      <c r="G411" s="21">
        <v>-0.24073369999999999</v>
      </c>
      <c r="H411" s="21">
        <v>0.18737999999999999</v>
      </c>
    </row>
    <row r="412" spans="1:8" x14ac:dyDescent="0.15">
      <c r="A412" s="21">
        <v>8.0078119999999996E-3</v>
      </c>
      <c r="B412" s="21">
        <f t="shared" si="12"/>
        <v>0.21453459999999999</v>
      </c>
      <c r="D412">
        <f t="shared" si="13"/>
        <v>86.660817610062878</v>
      </c>
      <c r="G412" s="21">
        <v>-0.27558139999999998</v>
      </c>
      <c r="H412" s="21">
        <v>0.21453459999999999</v>
      </c>
    </row>
    <row r="413" spans="1:8" x14ac:dyDescent="0.15">
      <c r="A413" s="21">
        <v>8.0273440000000005E-3</v>
      </c>
      <c r="B413" s="21">
        <f t="shared" si="12"/>
        <v>0.23536029999999999</v>
      </c>
      <c r="D413">
        <f t="shared" si="13"/>
        <v>95.119559748427662</v>
      </c>
      <c r="G413" s="21">
        <v>-0.30248019999999998</v>
      </c>
      <c r="H413" s="21">
        <v>0.23536029999999999</v>
      </c>
    </row>
    <row r="414" spans="1:8" x14ac:dyDescent="0.15">
      <c r="A414" s="21">
        <v>8.0468750000000002E-3</v>
      </c>
      <c r="B414" s="21">
        <f t="shared" si="12"/>
        <v>0.24736379999999999</v>
      </c>
      <c r="D414">
        <f t="shared" si="13"/>
        <v>99.871635220125768</v>
      </c>
      <c r="G414" s="21">
        <v>-0.31759179999999998</v>
      </c>
      <c r="H414" s="21">
        <v>0.24736379999999999</v>
      </c>
    </row>
    <row r="415" spans="1:8" x14ac:dyDescent="0.15">
      <c r="A415" s="21">
        <v>8.0664059999999999E-3</v>
      </c>
      <c r="B415" s="21">
        <f t="shared" si="12"/>
        <v>0.25123430000000002</v>
      </c>
      <c r="D415">
        <f t="shared" si="13"/>
        <v>101.49757861635219</v>
      </c>
      <c r="G415" s="21">
        <v>-0.3227623</v>
      </c>
      <c r="H415" s="21">
        <v>0.25123430000000002</v>
      </c>
    </row>
    <row r="416" spans="1:8" x14ac:dyDescent="0.15">
      <c r="A416" s="21">
        <v>8.0859369999999996E-3</v>
      </c>
      <c r="B416" s="21">
        <f t="shared" si="12"/>
        <v>0.2474664</v>
      </c>
      <c r="D416">
        <f t="shared" si="13"/>
        <v>100.09194968553459</v>
      </c>
      <c r="G416" s="21">
        <v>-0.31829239999999998</v>
      </c>
      <c r="H416" s="21">
        <v>0.2474664</v>
      </c>
    </row>
    <row r="417" spans="1:8" x14ac:dyDescent="0.15">
      <c r="A417" s="21">
        <v>8.1054690000000006E-3</v>
      </c>
      <c r="B417" s="21">
        <f t="shared" si="12"/>
        <v>0.23452609999999999</v>
      </c>
      <c r="D417">
        <f t="shared" si="13"/>
        <v>94.870723270440237</v>
      </c>
      <c r="G417" s="21">
        <v>-0.30168889999999998</v>
      </c>
      <c r="H417" s="21">
        <v>0.23452609999999999</v>
      </c>
    </row>
    <row r="418" spans="1:8" x14ac:dyDescent="0.15">
      <c r="A418" s="21">
        <v>8.1250000000000003E-3</v>
      </c>
      <c r="B418" s="21">
        <f t="shared" si="12"/>
        <v>0.21419070000000001</v>
      </c>
      <c r="D418">
        <f t="shared" si="13"/>
        <v>86.743584905660384</v>
      </c>
      <c r="G418" s="21">
        <v>-0.2758446</v>
      </c>
      <c r="H418" s="21">
        <v>0.21419070000000001</v>
      </c>
    </row>
    <row r="419" spans="1:8" x14ac:dyDescent="0.15">
      <c r="A419" s="21">
        <v>8.144531E-3</v>
      </c>
      <c r="B419" s="21">
        <f t="shared" si="12"/>
        <v>0.1866941</v>
      </c>
      <c r="D419">
        <f t="shared" si="13"/>
        <v>75.727138364779861</v>
      </c>
      <c r="G419" s="21">
        <v>-0.24081230000000001</v>
      </c>
      <c r="H419" s="21">
        <v>0.1866941</v>
      </c>
    </row>
    <row r="420" spans="1:8" x14ac:dyDescent="0.15">
      <c r="A420" s="21">
        <v>8.1640619999999997E-3</v>
      </c>
      <c r="B420" s="21">
        <f t="shared" si="12"/>
        <v>0.15184829999999999</v>
      </c>
      <c r="D420">
        <f t="shared" si="13"/>
        <v>61.753176100628927</v>
      </c>
      <c r="G420" s="21">
        <v>-0.1963751</v>
      </c>
      <c r="H420" s="21">
        <v>0.15184829999999999</v>
      </c>
    </row>
    <row r="421" spans="1:8" x14ac:dyDescent="0.15">
      <c r="A421" s="21">
        <v>8.1835940000000006E-3</v>
      </c>
      <c r="B421" s="21">
        <f t="shared" si="12"/>
        <v>0.1122565</v>
      </c>
      <c r="D421">
        <f t="shared" si="13"/>
        <v>45.972106918238985</v>
      </c>
      <c r="G421" s="21">
        <v>-0.1461913</v>
      </c>
      <c r="H421" s="21">
        <v>0.1122565</v>
      </c>
    </row>
    <row r="422" spans="1:8" x14ac:dyDescent="0.15">
      <c r="A422" s="21">
        <v>8.2031250000000003E-3</v>
      </c>
      <c r="B422" s="21">
        <f t="shared" si="12"/>
        <v>6.8608390000000005E-2</v>
      </c>
      <c r="D422">
        <f t="shared" si="13"/>
        <v>28.439638364779874</v>
      </c>
      <c r="G422" s="21">
        <v>-9.0438050000000006E-2</v>
      </c>
      <c r="H422" s="21">
        <v>6.8608390000000005E-2</v>
      </c>
    </row>
    <row r="423" spans="1:8" x14ac:dyDescent="0.15">
      <c r="A423" s="21">
        <v>8.2226560000000001E-3</v>
      </c>
      <c r="B423" s="21">
        <f t="shared" si="12"/>
        <v>2.2633750000000001E-2</v>
      </c>
      <c r="D423">
        <f t="shared" si="13"/>
        <v>10.004069182389935</v>
      </c>
      <c r="G423" s="21">
        <v>-3.1812939999999998E-2</v>
      </c>
      <c r="H423" s="21">
        <v>2.2633750000000001E-2</v>
      </c>
    </row>
    <row r="424" spans="1:8" x14ac:dyDescent="0.15">
      <c r="A424" s="21">
        <v>8.2421869999999998E-3</v>
      </c>
      <c r="B424" s="21">
        <f t="shared" si="12"/>
        <v>-2.342965E-2</v>
      </c>
      <c r="D424">
        <f t="shared" si="13"/>
        <v>-8.3683805031446532</v>
      </c>
      <c r="G424" s="21">
        <v>2.6611449999999998E-2</v>
      </c>
      <c r="H424" s="21">
        <v>-2.342965E-2</v>
      </c>
    </row>
    <row r="425" spans="1:8" x14ac:dyDescent="0.15">
      <c r="A425" s="21">
        <v>8.2617190000000007E-3</v>
      </c>
      <c r="B425" s="21">
        <f t="shared" si="12"/>
        <v>-6.9532629999999998E-2</v>
      </c>
      <c r="D425">
        <f t="shared" si="13"/>
        <v>-26.898421383647797</v>
      </c>
      <c r="G425" s="21">
        <v>8.5536979999999999E-2</v>
      </c>
      <c r="H425" s="21">
        <v>-6.9532629999999998E-2</v>
      </c>
    </row>
    <row r="426" spans="1:8" x14ac:dyDescent="0.15">
      <c r="A426" s="21">
        <v>8.2812500000000004E-3</v>
      </c>
      <c r="B426" s="21">
        <f t="shared" si="12"/>
        <v>-0.1130449</v>
      </c>
      <c r="D426">
        <f t="shared" si="13"/>
        <v>-44.329622641509431</v>
      </c>
      <c r="G426" s="21">
        <v>0.14096819999999999</v>
      </c>
      <c r="H426" s="21">
        <v>-0.1130449</v>
      </c>
    </row>
    <row r="427" spans="1:8" x14ac:dyDescent="0.15">
      <c r="A427" s="21">
        <v>8.3007810000000001E-3</v>
      </c>
      <c r="B427" s="21">
        <f t="shared" si="12"/>
        <v>-0.15187410000000001</v>
      </c>
      <c r="D427">
        <f t="shared" si="13"/>
        <v>-59.87921383647798</v>
      </c>
      <c r="G427" s="21">
        <v>0.1904159</v>
      </c>
      <c r="H427" s="21">
        <v>-0.15187410000000001</v>
      </c>
    </row>
    <row r="428" spans="1:8" x14ac:dyDescent="0.15">
      <c r="A428" s="21">
        <v>8.3203119999999998E-3</v>
      </c>
      <c r="B428" s="21">
        <f t="shared" si="12"/>
        <v>-0.1862829</v>
      </c>
      <c r="D428">
        <f t="shared" si="13"/>
        <v>-73.768364779874204</v>
      </c>
      <c r="G428" s="21">
        <v>0.2345834</v>
      </c>
      <c r="H428" s="21">
        <v>-0.1862829</v>
      </c>
    </row>
    <row r="429" spans="1:8" x14ac:dyDescent="0.15">
      <c r="A429" s="21">
        <v>8.3398440000000008E-3</v>
      </c>
      <c r="B429" s="21">
        <f t="shared" si="12"/>
        <v>-0.2142452</v>
      </c>
      <c r="D429">
        <f t="shared" si="13"/>
        <v>-84.963773584905653</v>
      </c>
      <c r="G429" s="21">
        <v>0.2701848</v>
      </c>
      <c r="H429" s="21">
        <v>-0.2142452</v>
      </c>
    </row>
    <row r="430" spans="1:8" x14ac:dyDescent="0.15">
      <c r="A430" s="21">
        <v>8.3593750000000005E-3</v>
      </c>
      <c r="B430" s="21">
        <f t="shared" si="12"/>
        <v>-0.23463719999999999</v>
      </c>
      <c r="D430">
        <f t="shared" si="13"/>
        <v>-93.11666666666666</v>
      </c>
      <c r="G430" s="21">
        <v>0.29611100000000001</v>
      </c>
      <c r="H430" s="21">
        <v>-0.23463719999999999</v>
      </c>
    </row>
    <row r="431" spans="1:8" x14ac:dyDescent="0.15">
      <c r="A431" s="21">
        <v>8.3789060000000002E-3</v>
      </c>
      <c r="B431" s="21">
        <f t="shared" si="12"/>
        <v>-0.24785860000000001</v>
      </c>
      <c r="D431">
        <f t="shared" si="13"/>
        <v>-98.478207547169816</v>
      </c>
      <c r="G431" s="21">
        <v>0.31316070000000001</v>
      </c>
      <c r="H431" s="21">
        <v>-0.24785860000000001</v>
      </c>
    </row>
    <row r="432" spans="1:8" x14ac:dyDescent="0.15">
      <c r="A432" s="21">
        <v>8.3984369999999999E-3</v>
      </c>
      <c r="B432" s="21">
        <f t="shared" si="12"/>
        <v>-0.2526313</v>
      </c>
      <c r="D432">
        <f t="shared" si="13"/>
        <v>-100.46135220125787</v>
      </c>
      <c r="G432" s="21">
        <v>0.3194671</v>
      </c>
      <c r="H432" s="21">
        <v>-0.2526313</v>
      </c>
    </row>
    <row r="433" spans="1:8" x14ac:dyDescent="0.15">
      <c r="A433" s="21">
        <v>8.4179690000000008E-3</v>
      </c>
      <c r="B433" s="21">
        <f t="shared" si="12"/>
        <v>-0.2488089</v>
      </c>
      <c r="D433">
        <f t="shared" si="13"/>
        <v>-99.028993710691807</v>
      </c>
      <c r="G433" s="21">
        <v>0.31491219999999998</v>
      </c>
      <c r="H433" s="21">
        <v>-0.2488089</v>
      </c>
    </row>
    <row r="434" spans="1:8" x14ac:dyDescent="0.15">
      <c r="A434" s="21">
        <v>8.4375000000000006E-3</v>
      </c>
      <c r="B434" s="21">
        <f t="shared" si="12"/>
        <v>-0.23681070000000001</v>
      </c>
      <c r="D434">
        <f t="shared" si="13"/>
        <v>-94.221006289308178</v>
      </c>
      <c r="G434" s="21">
        <v>0.29962280000000002</v>
      </c>
      <c r="H434" s="21">
        <v>-0.23681070000000001</v>
      </c>
    </row>
    <row r="435" spans="1:8" x14ac:dyDescent="0.15">
      <c r="A435" s="21">
        <v>8.4570310000000003E-3</v>
      </c>
      <c r="B435" s="21">
        <f t="shared" si="12"/>
        <v>-0.21663180000000001</v>
      </c>
      <c r="D435">
        <f t="shared" si="13"/>
        <v>-86.144056603773592</v>
      </c>
      <c r="G435" s="21">
        <v>0.27393810000000002</v>
      </c>
      <c r="H435" s="21">
        <v>-0.21663180000000001</v>
      </c>
    </row>
    <row r="436" spans="1:8" x14ac:dyDescent="0.15">
      <c r="A436" s="21">
        <v>8.476562E-3</v>
      </c>
      <c r="B436" s="21">
        <f t="shared" si="12"/>
        <v>-0.18944900000000001</v>
      </c>
      <c r="D436">
        <f t="shared" si="13"/>
        <v>-75.339842767295593</v>
      </c>
      <c r="G436" s="21">
        <v>0.23958070000000001</v>
      </c>
      <c r="H436" s="21">
        <v>-0.18944900000000001</v>
      </c>
    </row>
    <row r="437" spans="1:8" x14ac:dyDescent="0.15">
      <c r="A437" s="21">
        <v>8.4960939999999992E-3</v>
      </c>
      <c r="B437" s="21">
        <f t="shared" si="12"/>
        <v>-0.1554054</v>
      </c>
      <c r="D437">
        <f t="shared" si="13"/>
        <v>-61.649339622641499</v>
      </c>
      <c r="G437" s="21">
        <v>0.19604489999999999</v>
      </c>
      <c r="H437" s="21">
        <v>-0.1554054</v>
      </c>
    </row>
    <row r="438" spans="1:8" x14ac:dyDescent="0.15">
      <c r="A438" s="21">
        <v>8.5156250000000006E-3</v>
      </c>
      <c r="B438" s="21">
        <f t="shared" si="12"/>
        <v>-0.11576309999999999</v>
      </c>
      <c r="D438">
        <f t="shared" si="13"/>
        <v>-45.843584905660379</v>
      </c>
      <c r="G438" s="21">
        <v>0.14578260000000001</v>
      </c>
      <c r="H438" s="21">
        <v>-0.11576309999999999</v>
      </c>
    </row>
    <row r="439" spans="1:8" x14ac:dyDescent="0.15">
      <c r="A439" s="21">
        <v>8.5351560000000003E-3</v>
      </c>
      <c r="B439" s="21">
        <f t="shared" si="12"/>
        <v>-7.3090390000000005E-2</v>
      </c>
      <c r="D439">
        <f t="shared" si="13"/>
        <v>-28.812468553459116</v>
      </c>
      <c r="G439" s="21">
        <v>9.1623650000000001E-2</v>
      </c>
      <c r="H439" s="21">
        <v>-7.3090390000000005E-2</v>
      </c>
    </row>
    <row r="440" spans="1:8" x14ac:dyDescent="0.15">
      <c r="A440" s="21">
        <v>8.5546870000000001E-3</v>
      </c>
      <c r="B440" s="21">
        <f t="shared" si="12"/>
        <v>-2.7274860000000001E-2</v>
      </c>
      <c r="D440">
        <f t="shared" si="13"/>
        <v>-10.297628930817609</v>
      </c>
      <c r="G440" s="21">
        <v>3.2746459999999998E-2</v>
      </c>
      <c r="H440" s="21">
        <v>-2.7274860000000001E-2</v>
      </c>
    </row>
    <row r="441" spans="1:8" x14ac:dyDescent="0.15">
      <c r="A441" s="21">
        <v>8.5742189999999992E-3</v>
      </c>
      <c r="B441" s="21">
        <f t="shared" si="12"/>
        <v>1.993495E-2</v>
      </c>
      <c r="D441">
        <f t="shared" si="13"/>
        <v>8.5773459119496849</v>
      </c>
      <c r="G441" s="21">
        <v>-2.7275959999999998E-2</v>
      </c>
      <c r="H441" s="21">
        <v>1.993495E-2</v>
      </c>
    </row>
    <row r="442" spans="1:8" x14ac:dyDescent="0.15">
      <c r="A442" s="21">
        <v>8.5937500000000007E-3</v>
      </c>
      <c r="B442" s="21">
        <f t="shared" si="12"/>
        <v>6.534442E-2</v>
      </c>
      <c r="D442">
        <f t="shared" si="13"/>
        <v>26.703094339622641</v>
      </c>
      <c r="G442" s="21">
        <v>-8.4915840000000006E-2</v>
      </c>
      <c r="H442" s="21">
        <v>6.534442E-2</v>
      </c>
    </row>
    <row r="443" spans="1:8" x14ac:dyDescent="0.15">
      <c r="A443" s="21">
        <v>8.6132810000000004E-3</v>
      </c>
      <c r="B443" s="21">
        <f t="shared" si="12"/>
        <v>0.108622</v>
      </c>
      <c r="D443">
        <f t="shared" si="13"/>
        <v>44.09352201257861</v>
      </c>
      <c r="G443" s="21">
        <v>-0.14021739999999999</v>
      </c>
      <c r="H443" s="21">
        <v>0.108622</v>
      </c>
    </row>
    <row r="444" spans="1:8" x14ac:dyDescent="0.15">
      <c r="A444" s="21">
        <v>8.6328120000000001E-3</v>
      </c>
      <c r="B444" s="21">
        <f t="shared" si="12"/>
        <v>0.1484248</v>
      </c>
      <c r="D444">
        <f t="shared" si="13"/>
        <v>60.096006289308171</v>
      </c>
      <c r="G444" s="21">
        <v>-0.19110530000000001</v>
      </c>
      <c r="H444" s="21">
        <v>0.1484248</v>
      </c>
    </row>
    <row r="445" spans="1:8" x14ac:dyDescent="0.15">
      <c r="A445" s="21">
        <v>8.6523439999999993E-3</v>
      </c>
      <c r="B445" s="21">
        <f t="shared" si="12"/>
        <v>0.1828813</v>
      </c>
      <c r="D445">
        <f t="shared" si="13"/>
        <v>74.011572327044021</v>
      </c>
      <c r="G445" s="21">
        <v>-0.2353568</v>
      </c>
      <c r="H445" s="21">
        <v>0.1828813</v>
      </c>
    </row>
    <row r="446" spans="1:8" x14ac:dyDescent="0.15">
      <c r="A446" s="21">
        <v>8.6718750000000008E-3</v>
      </c>
      <c r="B446" s="21">
        <f t="shared" si="12"/>
        <v>0.211562</v>
      </c>
      <c r="D446">
        <f t="shared" si="13"/>
        <v>85.457767295597478</v>
      </c>
      <c r="G446" s="21">
        <v>-0.27175569999999999</v>
      </c>
      <c r="H446" s="21">
        <v>0.211562</v>
      </c>
    </row>
    <row r="447" spans="1:8" x14ac:dyDescent="0.15">
      <c r="A447" s="21">
        <v>8.6914060000000005E-3</v>
      </c>
      <c r="B447" s="21">
        <f t="shared" si="12"/>
        <v>0.23309830000000001</v>
      </c>
      <c r="D447">
        <f t="shared" si="13"/>
        <v>94.048270440251557</v>
      </c>
      <c r="G447" s="21">
        <v>-0.29907349999999999</v>
      </c>
      <c r="H447" s="21">
        <v>0.23309830000000001</v>
      </c>
    </row>
    <row r="448" spans="1:8" x14ac:dyDescent="0.15">
      <c r="A448" s="21">
        <v>8.7109370000000002E-3</v>
      </c>
      <c r="B448" s="21">
        <f t="shared" si="12"/>
        <v>0.246277</v>
      </c>
      <c r="D448">
        <f t="shared" si="13"/>
        <v>99.46682389937105</v>
      </c>
      <c r="G448" s="21">
        <v>-0.31630449999999999</v>
      </c>
      <c r="H448" s="21">
        <v>0.246277</v>
      </c>
    </row>
    <row r="449" spans="1:8" x14ac:dyDescent="0.15">
      <c r="A449" s="21">
        <v>8.7304689999999994E-3</v>
      </c>
      <c r="B449" s="21">
        <f t="shared" si="12"/>
        <v>0.2512124</v>
      </c>
      <c r="D449">
        <f t="shared" si="13"/>
        <v>101.50169811320754</v>
      </c>
      <c r="G449" s="21">
        <v>-0.32277539999999999</v>
      </c>
      <c r="H449" s="21">
        <v>0.2512124</v>
      </c>
    </row>
    <row r="450" spans="1:8" x14ac:dyDescent="0.15">
      <c r="A450" s="21">
        <v>8.7500000000000008E-3</v>
      </c>
      <c r="B450" s="21">
        <f t="shared" si="12"/>
        <v>0.2482027</v>
      </c>
      <c r="D450">
        <f t="shared" si="13"/>
        <v>100.29235849056602</v>
      </c>
      <c r="G450" s="21">
        <v>-0.31892969999999998</v>
      </c>
      <c r="H450" s="21">
        <v>0.2482027</v>
      </c>
    </row>
    <row r="451" spans="1:8" x14ac:dyDescent="0.15">
      <c r="A451" s="21">
        <v>8.7695310000000005E-3</v>
      </c>
      <c r="B451" s="21">
        <f t="shared" ref="B451:B513" si="14">H451</f>
        <v>0.2371404</v>
      </c>
      <c r="D451">
        <f t="shared" ref="D451:D513" si="15">G451*-1000/3.18</f>
        <v>95.893805031446533</v>
      </c>
      <c r="G451" s="21">
        <v>-0.3049423</v>
      </c>
      <c r="H451" s="21">
        <v>0.2371404</v>
      </c>
    </row>
    <row r="452" spans="1:8" x14ac:dyDescent="0.15">
      <c r="A452" s="21">
        <v>8.7890620000000003E-3</v>
      </c>
      <c r="B452" s="21">
        <f t="shared" si="14"/>
        <v>0.21755360000000001</v>
      </c>
      <c r="D452">
        <f t="shared" si="15"/>
        <v>88.070660377358493</v>
      </c>
      <c r="G452" s="21">
        <v>-0.2800647</v>
      </c>
      <c r="H452" s="21">
        <v>0.21755360000000001</v>
      </c>
    </row>
    <row r="453" spans="1:8" x14ac:dyDescent="0.15">
      <c r="A453" s="21">
        <v>8.8085939999999995E-3</v>
      </c>
      <c r="B453" s="21">
        <f t="shared" si="14"/>
        <v>0.19026650000000001</v>
      </c>
      <c r="D453">
        <f t="shared" si="15"/>
        <v>77.168050314465404</v>
      </c>
      <c r="G453" s="21">
        <v>-0.24539440000000001</v>
      </c>
      <c r="H453" s="21">
        <v>0.19026650000000001</v>
      </c>
    </row>
    <row r="454" spans="1:8" x14ac:dyDescent="0.15">
      <c r="A454" s="21">
        <v>8.8281249999999992E-3</v>
      </c>
      <c r="B454" s="21">
        <f t="shared" si="14"/>
        <v>0.15678020000000001</v>
      </c>
      <c r="D454">
        <f t="shared" si="15"/>
        <v>63.78135220125786</v>
      </c>
      <c r="G454" s="21">
        <v>-0.2028247</v>
      </c>
      <c r="H454" s="21">
        <v>0.15678020000000001</v>
      </c>
    </row>
    <row r="455" spans="1:8" x14ac:dyDescent="0.15">
      <c r="A455" s="21">
        <v>8.8476560000000006E-3</v>
      </c>
      <c r="B455" s="21">
        <f t="shared" si="14"/>
        <v>0.1178396</v>
      </c>
      <c r="D455">
        <f t="shared" si="15"/>
        <v>48.182264150943396</v>
      </c>
      <c r="G455" s="21">
        <v>-0.15321960000000001</v>
      </c>
      <c r="H455" s="21">
        <v>0.1178396</v>
      </c>
    </row>
    <row r="456" spans="1:8" x14ac:dyDescent="0.15">
      <c r="A456" s="21">
        <v>8.8671879999999998E-3</v>
      </c>
      <c r="B456" s="21">
        <f t="shared" si="14"/>
        <v>7.4967930000000002E-2</v>
      </c>
      <c r="D456">
        <f t="shared" si="15"/>
        <v>31.016933962264147</v>
      </c>
      <c r="G456" s="21">
        <v>-9.8633849999999995E-2</v>
      </c>
      <c r="H456" s="21">
        <v>7.4967930000000002E-2</v>
      </c>
    </row>
    <row r="457" spans="1:8" x14ac:dyDescent="0.15">
      <c r="A457" s="21">
        <v>8.8867189999999995E-3</v>
      </c>
      <c r="B457" s="21">
        <f t="shared" si="14"/>
        <v>2.9345389999999999E-2</v>
      </c>
      <c r="D457">
        <f t="shared" si="15"/>
        <v>12.733754716981133</v>
      </c>
      <c r="G457" s="21">
        <v>-4.0493340000000003E-2</v>
      </c>
      <c r="H457" s="21">
        <v>2.9345389999999999E-2</v>
      </c>
    </row>
    <row r="458" spans="1:8" x14ac:dyDescent="0.15">
      <c r="A458" s="21">
        <v>8.9062499999999992E-3</v>
      </c>
      <c r="B458" s="21">
        <f t="shared" si="14"/>
        <v>-1.7704660000000001E-2</v>
      </c>
      <c r="D458">
        <f t="shared" si="15"/>
        <v>-6.1147515723270436</v>
      </c>
      <c r="G458" s="21">
        <v>1.9444909999999999E-2</v>
      </c>
      <c r="H458" s="21">
        <v>-1.7704660000000001E-2</v>
      </c>
    </row>
    <row r="459" spans="1:8" x14ac:dyDescent="0.15">
      <c r="A459" s="21">
        <v>8.9257810000000007E-3</v>
      </c>
      <c r="B459" s="21">
        <f t="shared" si="14"/>
        <v>-6.3376340000000003E-2</v>
      </c>
      <c r="D459">
        <f t="shared" si="15"/>
        <v>-24.396169811320753</v>
      </c>
      <c r="G459" s="21">
        <v>7.7579819999999994E-2</v>
      </c>
      <c r="H459" s="21">
        <v>-6.3376340000000003E-2</v>
      </c>
    </row>
    <row r="460" spans="1:8" x14ac:dyDescent="0.15">
      <c r="A460" s="21">
        <v>8.9453129999999999E-3</v>
      </c>
      <c r="B460" s="21">
        <f t="shared" si="14"/>
        <v>-0.1069618</v>
      </c>
      <c r="D460">
        <f t="shared" si="15"/>
        <v>-41.938679245283019</v>
      </c>
      <c r="G460" s="21">
        <v>0.13336500000000001</v>
      </c>
      <c r="H460" s="21">
        <v>-0.1069618</v>
      </c>
    </row>
    <row r="461" spans="1:8" x14ac:dyDescent="0.15">
      <c r="A461" s="21">
        <v>8.9648439999999996E-3</v>
      </c>
      <c r="B461" s="21">
        <f t="shared" si="14"/>
        <v>-0.14735329999999999</v>
      </c>
      <c r="D461">
        <f t="shared" si="15"/>
        <v>-58.136163522012581</v>
      </c>
      <c r="G461" s="21">
        <v>0.18487300000000001</v>
      </c>
      <c r="H461" s="21">
        <v>-0.14735329999999999</v>
      </c>
    </row>
    <row r="462" spans="1:8" x14ac:dyDescent="0.15">
      <c r="A462" s="21">
        <v>8.9843749999999993E-3</v>
      </c>
      <c r="B462" s="21">
        <f t="shared" si="14"/>
        <v>-0.1816026</v>
      </c>
      <c r="D462">
        <f t="shared" si="15"/>
        <v>-71.794433962264151</v>
      </c>
      <c r="G462" s="21">
        <v>0.22830629999999999</v>
      </c>
      <c r="H462" s="21">
        <v>-0.1816026</v>
      </c>
    </row>
    <row r="463" spans="1:8" x14ac:dyDescent="0.15">
      <c r="A463" s="21">
        <v>9.0039060000000008E-3</v>
      </c>
      <c r="B463" s="21">
        <f t="shared" si="14"/>
        <v>-0.2101961</v>
      </c>
      <c r="D463">
        <f t="shared" si="15"/>
        <v>-83.406226415094338</v>
      </c>
      <c r="G463" s="21">
        <v>0.26523180000000002</v>
      </c>
      <c r="H463" s="21">
        <v>-0.2101961</v>
      </c>
    </row>
    <row r="464" spans="1:8" x14ac:dyDescent="0.15">
      <c r="A464" s="21">
        <v>9.0234379999999999E-3</v>
      </c>
      <c r="B464" s="21">
        <f t="shared" si="14"/>
        <v>-0.23265939999999999</v>
      </c>
      <c r="D464">
        <f t="shared" si="15"/>
        <v>-92.529150943396232</v>
      </c>
      <c r="G464" s="21">
        <v>0.29424270000000002</v>
      </c>
      <c r="H464" s="21">
        <v>-0.23265939999999999</v>
      </c>
    </row>
    <row r="465" spans="1:8" x14ac:dyDescent="0.15">
      <c r="A465" s="21">
        <v>9.0429689999999997E-3</v>
      </c>
      <c r="B465" s="21">
        <f t="shared" si="14"/>
        <v>-0.2463477</v>
      </c>
      <c r="D465">
        <f t="shared" si="15"/>
        <v>-97.899371069182379</v>
      </c>
      <c r="G465" s="21">
        <v>0.31131999999999999</v>
      </c>
      <c r="H465" s="21">
        <v>-0.2463477</v>
      </c>
    </row>
    <row r="466" spans="1:8" x14ac:dyDescent="0.15">
      <c r="A466" s="21">
        <v>9.0624999999999994E-3</v>
      </c>
      <c r="B466" s="21">
        <f t="shared" si="14"/>
        <v>-0.25250309999999998</v>
      </c>
      <c r="D466">
        <f t="shared" si="15"/>
        <v>-100.4074213836478</v>
      </c>
      <c r="G466" s="21">
        <v>0.31929560000000001</v>
      </c>
      <c r="H466" s="21">
        <v>-0.25250309999999998</v>
      </c>
    </row>
    <row r="467" spans="1:8" x14ac:dyDescent="0.15">
      <c r="A467" s="21">
        <v>9.0820310000000008E-3</v>
      </c>
      <c r="B467" s="21">
        <f t="shared" si="14"/>
        <v>-0.2506507</v>
      </c>
      <c r="D467">
        <f t="shared" si="15"/>
        <v>-99.744811320754707</v>
      </c>
      <c r="G467" s="21">
        <v>0.31718849999999998</v>
      </c>
      <c r="H467" s="21">
        <v>-0.2506507</v>
      </c>
    </row>
    <row r="468" spans="1:8" x14ac:dyDescent="0.15">
      <c r="A468" s="21">
        <v>9.101563E-3</v>
      </c>
      <c r="B468" s="21">
        <f t="shared" si="14"/>
        <v>-0.23875150000000001</v>
      </c>
      <c r="D468">
        <f t="shared" si="15"/>
        <v>-94.90477987421383</v>
      </c>
      <c r="G468" s="21">
        <v>0.30179719999999999</v>
      </c>
      <c r="H468" s="21">
        <v>-0.23875150000000001</v>
      </c>
    </row>
    <row r="469" spans="1:8" x14ac:dyDescent="0.15">
      <c r="A469" s="21">
        <v>9.1210939999999997E-3</v>
      </c>
      <c r="B469" s="21">
        <f t="shared" si="14"/>
        <v>-0.21940770000000001</v>
      </c>
      <c r="D469">
        <f t="shared" si="15"/>
        <v>-87.261918238993701</v>
      </c>
      <c r="G469" s="21">
        <v>0.27749289999999999</v>
      </c>
      <c r="H469" s="21">
        <v>-0.21940770000000001</v>
      </c>
    </row>
    <row r="470" spans="1:8" x14ac:dyDescent="0.15">
      <c r="A470" s="21">
        <v>9.1406249999999994E-3</v>
      </c>
      <c r="B470" s="21">
        <f t="shared" si="14"/>
        <v>-0.1934295</v>
      </c>
      <c r="D470">
        <f t="shared" si="15"/>
        <v>-76.938679245283012</v>
      </c>
      <c r="G470" s="21">
        <v>0.24466499999999999</v>
      </c>
      <c r="H470" s="21">
        <v>-0.1934295</v>
      </c>
    </row>
    <row r="471" spans="1:8" x14ac:dyDescent="0.15">
      <c r="A471" s="21">
        <v>9.1601559999999992E-3</v>
      </c>
      <c r="B471" s="21">
        <f t="shared" si="14"/>
        <v>-0.16023950000000001</v>
      </c>
      <c r="D471">
        <f t="shared" si="15"/>
        <v>-63.600566037735845</v>
      </c>
      <c r="G471" s="21">
        <v>0.20224980000000001</v>
      </c>
      <c r="H471" s="21">
        <v>-0.16023950000000001</v>
      </c>
    </row>
    <row r="472" spans="1:8" x14ac:dyDescent="0.15">
      <c r="A472" s="21">
        <v>9.1796880000000001E-3</v>
      </c>
      <c r="B472" s="21">
        <f t="shared" si="14"/>
        <v>-0.1220128</v>
      </c>
      <c r="D472">
        <f t="shared" si="15"/>
        <v>-48.322578616352196</v>
      </c>
      <c r="G472" s="21">
        <v>0.15366579999999999</v>
      </c>
      <c r="H472" s="21">
        <v>-0.1220128</v>
      </c>
    </row>
    <row r="473" spans="1:8" x14ac:dyDescent="0.15">
      <c r="A473" s="21">
        <v>9.1992189999999998E-3</v>
      </c>
      <c r="B473" s="21">
        <f t="shared" si="14"/>
        <v>-7.9347970000000004E-2</v>
      </c>
      <c r="D473">
        <f t="shared" si="15"/>
        <v>-31.20130188679245</v>
      </c>
      <c r="G473" s="21">
        <v>9.9220139999999998E-2</v>
      </c>
      <c r="H473" s="21">
        <v>-7.9347970000000004E-2</v>
      </c>
    </row>
    <row r="474" spans="1:8" x14ac:dyDescent="0.15">
      <c r="A474" s="21">
        <v>9.2187499999999995E-3</v>
      </c>
      <c r="B474" s="21">
        <f t="shared" si="14"/>
        <v>-3.3468810000000002E-2</v>
      </c>
      <c r="D474">
        <f t="shared" si="15"/>
        <v>-12.880833333333333</v>
      </c>
      <c r="G474" s="21">
        <v>4.0961049999999999E-2</v>
      </c>
      <c r="H474" s="21">
        <v>-3.3468810000000002E-2</v>
      </c>
    </row>
    <row r="475" spans="1:8" x14ac:dyDescent="0.15">
      <c r="A475" s="21">
        <v>9.2382809999999992E-3</v>
      </c>
      <c r="B475" s="21">
        <f t="shared" si="14"/>
        <v>1.325834E-2</v>
      </c>
      <c r="D475">
        <f t="shared" si="15"/>
        <v>5.8134402515723274</v>
      </c>
      <c r="G475" s="21">
        <v>-1.8486740000000002E-2</v>
      </c>
      <c r="H475" s="21">
        <v>1.325834E-2</v>
      </c>
    </row>
    <row r="476" spans="1:8" x14ac:dyDescent="0.15">
      <c r="A476" s="21">
        <v>9.2578130000000002E-3</v>
      </c>
      <c r="B476" s="21">
        <f t="shared" si="14"/>
        <v>5.97397E-2</v>
      </c>
      <c r="D476">
        <f t="shared" si="15"/>
        <v>24.544484276729559</v>
      </c>
      <c r="G476" s="21">
        <v>-7.8051460000000003E-2</v>
      </c>
      <c r="H476" s="21">
        <v>5.97397E-2</v>
      </c>
    </row>
    <row r="477" spans="1:8" x14ac:dyDescent="0.15">
      <c r="A477" s="21">
        <v>9.2773439999999999E-3</v>
      </c>
      <c r="B477" s="21">
        <f t="shared" si="14"/>
        <v>0.1032042</v>
      </c>
      <c r="D477">
        <f t="shared" si="15"/>
        <v>41.882138364779877</v>
      </c>
      <c r="G477" s="21">
        <v>-0.1331852</v>
      </c>
      <c r="H477" s="21">
        <v>0.1032042</v>
      </c>
    </row>
    <row r="478" spans="1:8" x14ac:dyDescent="0.15">
      <c r="A478" s="21">
        <v>9.2968749999999996E-3</v>
      </c>
      <c r="B478" s="21">
        <f t="shared" si="14"/>
        <v>0.14255860000000001</v>
      </c>
      <c r="D478">
        <f t="shared" si="15"/>
        <v>57.69188679245282</v>
      </c>
      <c r="G478" s="21">
        <v>-0.18346019999999999</v>
      </c>
      <c r="H478" s="21">
        <v>0.14255860000000001</v>
      </c>
    </row>
    <row r="479" spans="1:8" x14ac:dyDescent="0.15">
      <c r="A479" s="21">
        <v>9.3164059999999993E-3</v>
      </c>
      <c r="B479" s="21">
        <f t="shared" si="14"/>
        <v>0.1783458</v>
      </c>
      <c r="D479">
        <f t="shared" si="15"/>
        <v>72.150408805031446</v>
      </c>
      <c r="G479" s="21">
        <v>-0.22943830000000001</v>
      </c>
      <c r="H479" s="21">
        <v>0.1783458</v>
      </c>
    </row>
    <row r="480" spans="1:8" x14ac:dyDescent="0.15">
      <c r="A480" s="21">
        <v>9.3359380000000002E-3</v>
      </c>
      <c r="B480" s="21">
        <f t="shared" si="14"/>
        <v>0.2078122</v>
      </c>
      <c r="D480">
        <f t="shared" si="15"/>
        <v>83.898207547169804</v>
      </c>
      <c r="G480" s="21">
        <v>-0.26679629999999999</v>
      </c>
      <c r="H480" s="21">
        <v>0.2078122</v>
      </c>
    </row>
    <row r="481" spans="1:8" x14ac:dyDescent="0.15">
      <c r="A481" s="21">
        <v>9.3554689999999999E-3</v>
      </c>
      <c r="B481" s="21">
        <f t="shared" si="14"/>
        <v>0.22992399999999999</v>
      </c>
      <c r="D481">
        <f t="shared" si="15"/>
        <v>92.864716981132077</v>
      </c>
      <c r="G481" s="21">
        <v>-0.29530980000000001</v>
      </c>
      <c r="H481" s="21">
        <v>0.22992399999999999</v>
      </c>
    </row>
    <row r="482" spans="1:8" x14ac:dyDescent="0.15">
      <c r="A482" s="21">
        <v>9.3749999999999997E-3</v>
      </c>
      <c r="B482" s="21">
        <f t="shared" si="14"/>
        <v>0.24483340000000001</v>
      </c>
      <c r="D482">
        <f t="shared" si="15"/>
        <v>98.932547169811315</v>
      </c>
      <c r="G482" s="21">
        <v>-0.31460549999999998</v>
      </c>
      <c r="H482" s="21">
        <v>0.24483340000000001</v>
      </c>
    </row>
    <row r="483" spans="1:8" x14ac:dyDescent="0.15">
      <c r="A483" s="21">
        <v>9.3945309999999994E-3</v>
      </c>
      <c r="B483" s="21">
        <f t="shared" si="14"/>
        <v>0.25074089999999999</v>
      </c>
      <c r="D483">
        <f t="shared" si="15"/>
        <v>101.24764150943396</v>
      </c>
      <c r="G483" s="21">
        <v>-0.32196750000000002</v>
      </c>
      <c r="H483" s="21">
        <v>0.25074089999999999</v>
      </c>
    </row>
    <row r="484" spans="1:8" x14ac:dyDescent="0.15">
      <c r="A484" s="21">
        <v>9.4140630000000003E-3</v>
      </c>
      <c r="B484" s="21">
        <f t="shared" si="14"/>
        <v>0.24843290000000001</v>
      </c>
      <c r="D484">
        <f t="shared" si="15"/>
        <v>100.37889937106918</v>
      </c>
      <c r="G484" s="21">
        <v>-0.31920490000000001</v>
      </c>
      <c r="H484" s="21">
        <v>0.24843290000000001</v>
      </c>
    </row>
    <row r="485" spans="1:8" x14ac:dyDescent="0.15">
      <c r="A485" s="21">
        <v>9.433594E-3</v>
      </c>
      <c r="B485" s="21">
        <f t="shared" si="14"/>
        <v>0.23820240000000001</v>
      </c>
      <c r="D485">
        <f t="shared" si="15"/>
        <v>96.29669811320754</v>
      </c>
      <c r="G485" s="21">
        <v>-0.30622349999999998</v>
      </c>
      <c r="H485" s="21">
        <v>0.23820240000000001</v>
      </c>
    </row>
    <row r="486" spans="1:8" x14ac:dyDescent="0.15">
      <c r="A486" s="21">
        <v>9.4531249999999997E-3</v>
      </c>
      <c r="B486" s="21">
        <f t="shared" si="14"/>
        <v>0.2194197</v>
      </c>
      <c r="D486">
        <f t="shared" si="15"/>
        <v>88.827672955974833</v>
      </c>
      <c r="G486" s="21">
        <v>-0.282472</v>
      </c>
      <c r="H486" s="21">
        <v>0.2194197</v>
      </c>
    </row>
    <row r="487" spans="1:8" x14ac:dyDescent="0.15">
      <c r="A487" s="21">
        <v>9.4726559999999994E-3</v>
      </c>
      <c r="B487" s="21">
        <f t="shared" si="14"/>
        <v>0.1938955</v>
      </c>
      <c r="D487">
        <f t="shared" si="15"/>
        <v>78.68663522012578</v>
      </c>
      <c r="G487" s="21">
        <v>-0.25022349999999999</v>
      </c>
      <c r="H487" s="21">
        <v>0.1938955</v>
      </c>
    </row>
    <row r="488" spans="1:8" x14ac:dyDescent="0.15">
      <c r="A488" s="21">
        <v>9.4921880000000004E-3</v>
      </c>
      <c r="B488" s="21">
        <f t="shared" si="14"/>
        <v>0.1615404</v>
      </c>
      <c r="D488">
        <f t="shared" si="15"/>
        <v>65.584905660377359</v>
      </c>
      <c r="G488" s="21">
        <v>-0.20856</v>
      </c>
      <c r="H488" s="21">
        <v>0.1615404</v>
      </c>
    </row>
    <row r="489" spans="1:8" x14ac:dyDescent="0.15">
      <c r="A489" s="21">
        <v>9.5117190000000001E-3</v>
      </c>
      <c r="B489" s="21">
        <f t="shared" si="14"/>
        <v>0.12289799999999999</v>
      </c>
      <c r="D489">
        <f t="shared" si="15"/>
        <v>50.13666666666667</v>
      </c>
      <c r="G489" s="21">
        <v>-0.15943460000000001</v>
      </c>
      <c r="H489" s="21">
        <v>0.12289799999999999</v>
      </c>
    </row>
    <row r="490" spans="1:8" x14ac:dyDescent="0.15">
      <c r="A490" s="21">
        <v>9.5312499999999998E-3</v>
      </c>
      <c r="B490" s="21">
        <f t="shared" si="14"/>
        <v>8.0437300000000003E-2</v>
      </c>
      <c r="D490">
        <f t="shared" si="15"/>
        <v>33.277421383647798</v>
      </c>
      <c r="G490" s="21">
        <v>-0.10582220000000001</v>
      </c>
      <c r="H490" s="21">
        <v>8.0437300000000003E-2</v>
      </c>
    </row>
    <row r="491" spans="1:8" x14ac:dyDescent="0.15">
      <c r="A491" s="21">
        <v>9.5507809999999995E-3</v>
      </c>
      <c r="B491" s="21">
        <f t="shared" si="14"/>
        <v>3.4427220000000001E-2</v>
      </c>
      <c r="D491">
        <f t="shared" si="15"/>
        <v>14.725226415094339</v>
      </c>
      <c r="G491" s="21">
        <v>-4.6826220000000002E-2</v>
      </c>
      <c r="H491" s="21">
        <v>3.4427220000000001E-2</v>
      </c>
    </row>
    <row r="492" spans="1:8" x14ac:dyDescent="0.15">
      <c r="A492" s="21">
        <v>9.5703130000000004E-3</v>
      </c>
      <c r="B492" s="21">
        <f t="shared" si="14"/>
        <v>-1.2577319999999999E-2</v>
      </c>
      <c r="D492">
        <f t="shared" si="15"/>
        <v>-4.0946572327044022</v>
      </c>
      <c r="G492" s="21">
        <v>1.302101E-2</v>
      </c>
      <c r="H492" s="21">
        <v>-1.2577319999999999E-2</v>
      </c>
    </row>
    <row r="493" spans="1:8" x14ac:dyDescent="0.15">
      <c r="A493" s="21">
        <v>9.5898440000000001E-3</v>
      </c>
      <c r="B493" s="21">
        <f t="shared" si="14"/>
        <v>-5.7494860000000002E-2</v>
      </c>
      <c r="D493">
        <f t="shared" si="15"/>
        <v>-21.996474842767295</v>
      </c>
      <c r="G493" s="21">
        <v>6.9948789999999997E-2</v>
      </c>
      <c r="H493" s="21">
        <v>-5.7494860000000002E-2</v>
      </c>
    </row>
    <row r="494" spans="1:8" x14ac:dyDescent="0.15">
      <c r="A494" s="21">
        <v>9.6093749999999999E-3</v>
      </c>
      <c r="B494" s="21">
        <f t="shared" si="14"/>
        <v>-0.1011826</v>
      </c>
      <c r="D494">
        <f t="shared" si="15"/>
        <v>-39.587578616352197</v>
      </c>
      <c r="G494" s="21">
        <v>0.12588849999999999</v>
      </c>
      <c r="H494" s="21">
        <v>-0.1011826</v>
      </c>
    </row>
    <row r="495" spans="1:8" x14ac:dyDescent="0.15">
      <c r="A495" s="21">
        <v>9.6289059999999996E-3</v>
      </c>
      <c r="B495" s="21">
        <f t="shared" si="14"/>
        <v>-0.14228009999999999</v>
      </c>
      <c r="D495">
        <f t="shared" si="15"/>
        <v>-56.087106918238987</v>
      </c>
      <c r="G495" s="21">
        <v>0.17835699999999999</v>
      </c>
      <c r="H495" s="21">
        <v>-0.14228009999999999</v>
      </c>
    </row>
    <row r="496" spans="1:8" x14ac:dyDescent="0.15">
      <c r="A496" s="21">
        <v>9.6484380000000005E-3</v>
      </c>
      <c r="B496" s="21">
        <f t="shared" si="14"/>
        <v>-0.17776330000000001</v>
      </c>
      <c r="D496">
        <f t="shared" si="15"/>
        <v>-70.29286163522012</v>
      </c>
      <c r="G496" s="21">
        <v>0.22353129999999999</v>
      </c>
      <c r="H496" s="21">
        <v>-0.17776330000000001</v>
      </c>
    </row>
    <row r="497" spans="1:8" x14ac:dyDescent="0.15">
      <c r="A497" s="21">
        <v>9.6679690000000002E-3</v>
      </c>
      <c r="B497" s="21">
        <f t="shared" si="14"/>
        <v>-0.20741319999999999</v>
      </c>
      <c r="D497">
        <f t="shared" si="15"/>
        <v>-82.209056603773575</v>
      </c>
      <c r="G497" s="21">
        <v>0.26142480000000001</v>
      </c>
      <c r="H497" s="21">
        <v>-0.20741319999999999</v>
      </c>
    </row>
    <row r="498" spans="1:8" x14ac:dyDescent="0.15">
      <c r="A498" s="21">
        <v>9.6874999999999999E-3</v>
      </c>
      <c r="B498" s="21">
        <f t="shared" si="14"/>
        <v>-0.23055890000000001</v>
      </c>
      <c r="D498">
        <f t="shared" si="15"/>
        <v>-91.586446540880488</v>
      </c>
      <c r="G498" s="21">
        <v>0.29124489999999997</v>
      </c>
      <c r="H498" s="21">
        <v>-0.23055890000000001</v>
      </c>
    </row>
    <row r="499" spans="1:8" x14ac:dyDescent="0.15">
      <c r="A499" s="21">
        <v>9.7070309999999996E-3</v>
      </c>
      <c r="B499" s="21">
        <f t="shared" si="14"/>
        <v>-0.24545690000000001</v>
      </c>
      <c r="D499">
        <f t="shared" si="15"/>
        <v>-97.579276729559766</v>
      </c>
      <c r="G499" s="21">
        <v>0.31030210000000003</v>
      </c>
      <c r="H499" s="21">
        <v>-0.24545690000000001</v>
      </c>
    </row>
    <row r="500" spans="1:8" x14ac:dyDescent="0.15">
      <c r="A500" s="21">
        <v>9.7265630000000006E-3</v>
      </c>
      <c r="B500" s="21">
        <f t="shared" si="14"/>
        <v>-0.25194689999999997</v>
      </c>
      <c r="D500">
        <f t="shared" si="15"/>
        <v>-100.12408805031447</v>
      </c>
      <c r="G500" s="21">
        <v>0.31839460000000003</v>
      </c>
      <c r="H500" s="21">
        <v>-0.25194689999999997</v>
      </c>
    </row>
    <row r="501" spans="1:8" x14ac:dyDescent="0.15">
      <c r="A501" s="21">
        <v>9.7460940000000003E-3</v>
      </c>
      <c r="B501" s="21">
        <f t="shared" si="14"/>
        <v>-0.2506755</v>
      </c>
      <c r="D501">
        <f t="shared" si="15"/>
        <v>-99.73959119496854</v>
      </c>
      <c r="G501" s="21">
        <v>0.31717190000000001</v>
      </c>
      <c r="H501" s="21">
        <v>-0.2506755</v>
      </c>
    </row>
    <row r="502" spans="1:8" x14ac:dyDescent="0.15">
      <c r="A502" s="21">
        <v>9.765625E-3</v>
      </c>
      <c r="B502" s="21">
        <f t="shared" si="14"/>
        <v>-0.2411655</v>
      </c>
      <c r="D502">
        <f t="shared" si="15"/>
        <v>-96.031572327044017</v>
      </c>
      <c r="G502" s="21">
        <v>0.3053804</v>
      </c>
      <c r="H502" s="21">
        <v>-0.2411655</v>
      </c>
    </row>
    <row r="503" spans="1:8" x14ac:dyDescent="0.15">
      <c r="A503" s="21">
        <v>9.7851559999999997E-3</v>
      </c>
      <c r="B503" s="21">
        <f t="shared" si="14"/>
        <v>-0.22297110000000001</v>
      </c>
      <c r="D503">
        <f t="shared" si="15"/>
        <v>-88.689056603773565</v>
      </c>
      <c r="G503" s="21">
        <v>0.28203119999999998</v>
      </c>
      <c r="H503" s="21">
        <v>-0.22297110000000001</v>
      </c>
    </row>
    <row r="504" spans="1:8" x14ac:dyDescent="0.15">
      <c r="A504" s="21">
        <v>9.8046880000000006E-3</v>
      </c>
      <c r="B504" s="21">
        <f t="shared" si="14"/>
        <v>-0.19732369999999999</v>
      </c>
      <c r="D504">
        <f t="shared" si="15"/>
        <v>-78.465691823899363</v>
      </c>
      <c r="G504" s="21">
        <v>0.24952089999999999</v>
      </c>
      <c r="H504" s="21">
        <v>-0.19732369999999999</v>
      </c>
    </row>
    <row r="505" spans="1:8" x14ac:dyDescent="0.15">
      <c r="A505" s="21">
        <v>9.8242190000000004E-3</v>
      </c>
      <c r="B505" s="21">
        <f t="shared" si="14"/>
        <v>-0.16508700000000001</v>
      </c>
      <c r="D505">
        <f t="shared" si="15"/>
        <v>-65.629811320754712</v>
      </c>
      <c r="G505" s="21">
        <v>0.20870279999999999</v>
      </c>
      <c r="H505" s="21">
        <v>-0.16508700000000001</v>
      </c>
    </row>
    <row r="506" spans="1:8" x14ac:dyDescent="0.15">
      <c r="A506" s="21">
        <v>9.8437500000000001E-3</v>
      </c>
      <c r="B506" s="21">
        <f t="shared" si="14"/>
        <v>-0.12678400000000001</v>
      </c>
      <c r="D506">
        <f t="shared" si="15"/>
        <v>-50.243270440251564</v>
      </c>
      <c r="G506" s="21">
        <v>0.15977359999999999</v>
      </c>
      <c r="H506" s="21">
        <v>-0.12678400000000001</v>
      </c>
    </row>
    <row r="507" spans="1:8" x14ac:dyDescent="0.15">
      <c r="A507" s="21">
        <v>9.8632809999999998E-3</v>
      </c>
      <c r="B507" s="21">
        <f t="shared" si="14"/>
        <v>-8.4463919999999998E-2</v>
      </c>
      <c r="D507">
        <f t="shared" si="15"/>
        <v>-33.283176100628928</v>
      </c>
      <c r="G507" s="21">
        <v>0.1058405</v>
      </c>
      <c r="H507" s="21">
        <v>-8.4463919999999998E-2</v>
      </c>
    </row>
    <row r="508" spans="1:8" x14ac:dyDescent="0.15">
      <c r="A508" s="21">
        <v>9.8828130000000007E-3</v>
      </c>
      <c r="B508" s="21">
        <f t="shared" si="14"/>
        <v>-3.9604840000000002E-2</v>
      </c>
      <c r="D508">
        <f t="shared" si="15"/>
        <v>-15.31635220125786</v>
      </c>
      <c r="G508" s="21">
        <v>4.8705999999999999E-2</v>
      </c>
      <c r="H508" s="21">
        <v>-3.9604840000000002E-2</v>
      </c>
    </row>
    <row r="509" spans="1:8" x14ac:dyDescent="0.15">
      <c r="A509" s="21">
        <v>9.9023440000000004E-3</v>
      </c>
      <c r="B509" s="21">
        <f t="shared" si="14"/>
        <v>6.8351569999999997E-3</v>
      </c>
      <c r="D509">
        <f t="shared" si="15"/>
        <v>3.3378742138364776</v>
      </c>
      <c r="G509" s="21">
        <v>-1.0614439999999999E-2</v>
      </c>
      <c r="H509" s="21">
        <v>6.8351569999999997E-3</v>
      </c>
    </row>
    <row r="510" spans="1:8" x14ac:dyDescent="0.15">
      <c r="A510" s="21">
        <v>9.9218750000000001E-3</v>
      </c>
      <c r="B510" s="21">
        <f t="shared" si="14"/>
        <v>5.3047570000000002E-2</v>
      </c>
      <c r="D510">
        <f t="shared" si="15"/>
        <v>21.881191823899368</v>
      </c>
      <c r="G510" s="21">
        <v>-6.9582190000000002E-2</v>
      </c>
      <c r="H510" s="21">
        <v>5.3047570000000002E-2</v>
      </c>
    </row>
    <row r="511" spans="1:8" x14ac:dyDescent="0.15">
      <c r="A511" s="21">
        <v>9.9414059999999999E-3</v>
      </c>
      <c r="B511" s="21">
        <f t="shared" si="14"/>
        <v>9.7718349999999995E-2</v>
      </c>
      <c r="D511">
        <f t="shared" si="15"/>
        <v>39.820943396226419</v>
      </c>
      <c r="G511" s="21">
        <v>-0.12663060000000001</v>
      </c>
      <c r="H511" s="21">
        <v>9.7718349999999995E-2</v>
      </c>
    </row>
    <row r="512" spans="1:8" x14ac:dyDescent="0.15">
      <c r="A512" s="21">
        <v>9.9609380000000008E-3</v>
      </c>
      <c r="B512" s="21">
        <f t="shared" si="14"/>
        <v>0.13873489999999999</v>
      </c>
      <c r="D512">
        <f t="shared" si="15"/>
        <v>56.211352201257853</v>
      </c>
      <c r="G512" s="21">
        <v>-0.1787521</v>
      </c>
      <c r="H512" s="21">
        <v>0.13873489999999999</v>
      </c>
    </row>
    <row r="513" spans="1:8" x14ac:dyDescent="0.15">
      <c r="A513" s="21">
        <v>9.9804690000000005E-3</v>
      </c>
      <c r="B513" s="21">
        <f t="shared" si="14"/>
        <v>0.174322</v>
      </c>
      <c r="D513">
        <f t="shared" si="15"/>
        <v>70.406729559748413</v>
      </c>
      <c r="G513" s="21">
        <v>-0.22389339999999999</v>
      </c>
      <c r="H513" s="21">
        <v>0.174322</v>
      </c>
    </row>
    <row r="514" spans="1:8" x14ac:dyDescent="0.15">
      <c r="A514" s="21">
        <v>0.01</v>
      </c>
      <c r="B514" s="21">
        <f t="shared" ref="B514:B577" si="16">H514</f>
        <v>0.20460629999999999</v>
      </c>
      <c r="D514">
        <f t="shared" ref="D514:D577" si="17">G514*-1000/3.18</f>
        <v>82.692232704402514</v>
      </c>
      <c r="G514" s="21">
        <v>-0.26296130000000001</v>
      </c>
      <c r="H514" s="21">
        <v>0.20460629999999999</v>
      </c>
    </row>
    <row r="515" spans="1:8" x14ac:dyDescent="0.15">
      <c r="A515" s="21">
        <v>1.001953E-2</v>
      </c>
      <c r="B515" s="21">
        <f t="shared" si="16"/>
        <v>0.22790669999999999</v>
      </c>
      <c r="D515">
        <f t="shared" si="17"/>
        <v>92.095943396226403</v>
      </c>
      <c r="G515" s="21">
        <v>-0.29286509999999999</v>
      </c>
      <c r="H515" s="21">
        <v>0.22790669999999999</v>
      </c>
    </row>
    <row r="516" spans="1:8" x14ac:dyDescent="0.15">
      <c r="A516" s="21">
        <v>1.0039060000000001E-2</v>
      </c>
      <c r="B516" s="21">
        <f t="shared" si="16"/>
        <v>0.24296599999999999</v>
      </c>
      <c r="D516">
        <f t="shared" si="17"/>
        <v>98.045408805031443</v>
      </c>
      <c r="G516" s="21">
        <v>-0.31178440000000002</v>
      </c>
      <c r="H516" s="21">
        <v>0.24296599999999999</v>
      </c>
    </row>
    <row r="517" spans="1:8" x14ac:dyDescent="0.15">
      <c r="A517" s="21">
        <v>1.0058589999999999E-2</v>
      </c>
      <c r="B517" s="21">
        <f t="shared" si="16"/>
        <v>0.25079950000000001</v>
      </c>
      <c r="D517">
        <f t="shared" si="17"/>
        <v>101.27707547169811</v>
      </c>
      <c r="G517" s="21">
        <v>-0.32206109999999999</v>
      </c>
      <c r="H517" s="21">
        <v>0.25079950000000001</v>
      </c>
    </row>
    <row r="518" spans="1:8" x14ac:dyDescent="0.15">
      <c r="A518" s="21">
        <v>1.0078129999999999E-2</v>
      </c>
      <c r="B518" s="21">
        <f t="shared" si="16"/>
        <v>0.25032650000000001</v>
      </c>
      <c r="D518">
        <f t="shared" si="17"/>
        <v>101.16292452830189</v>
      </c>
      <c r="G518" s="21">
        <v>-0.32169809999999999</v>
      </c>
      <c r="H518" s="21">
        <v>0.25032650000000001</v>
      </c>
    </row>
    <row r="519" spans="1:8" x14ac:dyDescent="0.15">
      <c r="A519" s="21">
        <v>1.009766E-2</v>
      </c>
      <c r="B519" s="21">
        <f t="shared" si="16"/>
        <v>0.2405312</v>
      </c>
      <c r="D519">
        <f t="shared" si="17"/>
        <v>97.202955974842752</v>
      </c>
      <c r="G519" s="21">
        <v>-0.30910539999999997</v>
      </c>
      <c r="H519" s="21">
        <v>0.2405312</v>
      </c>
    </row>
    <row r="520" spans="1:8" x14ac:dyDescent="0.15">
      <c r="A520" s="21">
        <v>1.011719E-2</v>
      </c>
      <c r="B520" s="21">
        <f t="shared" si="16"/>
        <v>0.22300529999999999</v>
      </c>
      <c r="D520">
        <f t="shared" si="17"/>
        <v>90.219339622641513</v>
      </c>
      <c r="G520" s="21">
        <v>-0.28689750000000003</v>
      </c>
      <c r="H520" s="21">
        <v>0.22300529999999999</v>
      </c>
    </row>
    <row r="521" spans="1:8" x14ac:dyDescent="0.15">
      <c r="A521" s="21">
        <v>1.013672E-2</v>
      </c>
      <c r="B521" s="21">
        <f t="shared" si="16"/>
        <v>0.19825570000000001</v>
      </c>
      <c r="D521">
        <f t="shared" si="17"/>
        <v>80.326132075471691</v>
      </c>
      <c r="G521" s="21">
        <v>-0.25543709999999997</v>
      </c>
      <c r="H521" s="21">
        <v>0.19825570000000001</v>
      </c>
    </row>
    <row r="522" spans="1:8" x14ac:dyDescent="0.15">
      <c r="A522" s="21">
        <v>1.015625E-2</v>
      </c>
      <c r="B522" s="21">
        <f t="shared" si="16"/>
        <v>0.16626669999999999</v>
      </c>
      <c r="D522">
        <f t="shared" si="17"/>
        <v>67.500125786163522</v>
      </c>
      <c r="G522" s="21">
        <v>-0.21465039999999999</v>
      </c>
      <c r="H522" s="21">
        <v>0.16626669999999999</v>
      </c>
    </row>
    <row r="523" spans="1:8" x14ac:dyDescent="0.15">
      <c r="A523" s="21">
        <v>1.0175780000000001E-2</v>
      </c>
      <c r="B523" s="21">
        <f t="shared" si="16"/>
        <v>0.1285665</v>
      </c>
      <c r="D523">
        <f t="shared" si="17"/>
        <v>52.445754716981128</v>
      </c>
      <c r="G523" s="21">
        <v>-0.1667775</v>
      </c>
      <c r="H523" s="21">
        <v>0.1285665</v>
      </c>
    </row>
    <row r="524" spans="1:8" x14ac:dyDescent="0.15">
      <c r="A524" s="21">
        <v>1.0195310000000001E-2</v>
      </c>
      <c r="B524" s="21">
        <f t="shared" si="16"/>
        <v>8.6447129999999997E-2</v>
      </c>
      <c r="D524">
        <f t="shared" si="17"/>
        <v>35.636666666666663</v>
      </c>
      <c r="G524" s="21">
        <v>-0.1133246</v>
      </c>
      <c r="H524" s="21">
        <v>8.6447129999999997E-2</v>
      </c>
    </row>
    <row r="525" spans="1:8" x14ac:dyDescent="0.15">
      <c r="A525" s="21">
        <v>1.0214839999999999E-2</v>
      </c>
      <c r="B525" s="21">
        <f t="shared" si="16"/>
        <v>4.1274169999999999E-2</v>
      </c>
      <c r="D525">
        <f t="shared" si="17"/>
        <v>17.544930817610062</v>
      </c>
      <c r="G525" s="21">
        <v>-5.5792880000000003E-2</v>
      </c>
      <c r="H525" s="21">
        <v>4.1274169999999999E-2</v>
      </c>
    </row>
    <row r="526" spans="1:8" x14ac:dyDescent="0.15">
      <c r="A526" s="21">
        <v>1.023438E-2</v>
      </c>
      <c r="B526" s="21">
        <f t="shared" si="16"/>
        <v>-5.5195610000000001E-3</v>
      </c>
      <c r="D526">
        <f t="shared" si="17"/>
        <v>-1.2464273584905659</v>
      </c>
      <c r="G526" s="21">
        <v>3.9636389999999997E-3</v>
      </c>
      <c r="H526" s="21">
        <v>-5.5195610000000001E-3</v>
      </c>
    </row>
    <row r="527" spans="1:8" x14ac:dyDescent="0.15">
      <c r="A527" s="21">
        <v>1.025391E-2</v>
      </c>
      <c r="B527" s="21">
        <f t="shared" si="16"/>
        <v>-5.2163189999999998E-2</v>
      </c>
      <c r="D527">
        <f t="shared" si="17"/>
        <v>-19.949113207547168</v>
      </c>
      <c r="G527" s="21">
        <v>6.3438179999999997E-2</v>
      </c>
      <c r="H527" s="21">
        <v>-5.2163189999999998E-2</v>
      </c>
    </row>
    <row r="528" spans="1:8" x14ac:dyDescent="0.15">
      <c r="A528" s="21">
        <v>1.027344E-2</v>
      </c>
      <c r="B528" s="21">
        <f t="shared" si="16"/>
        <v>-9.6031229999999995E-2</v>
      </c>
      <c r="D528">
        <f t="shared" si="17"/>
        <v>-37.430125786163522</v>
      </c>
      <c r="G528" s="21">
        <v>0.1190278</v>
      </c>
      <c r="H528" s="21">
        <v>-9.6031229999999995E-2</v>
      </c>
    </row>
    <row r="529" spans="1:8" x14ac:dyDescent="0.15">
      <c r="A529" s="21">
        <v>1.029297E-2</v>
      </c>
      <c r="B529" s="21">
        <f t="shared" si="16"/>
        <v>-0.13658989999999999</v>
      </c>
      <c r="D529">
        <f t="shared" si="17"/>
        <v>-53.689402515723273</v>
      </c>
      <c r="G529" s="21">
        <v>0.1707323</v>
      </c>
      <c r="H529" s="21">
        <v>-0.13658989999999999</v>
      </c>
    </row>
    <row r="530" spans="1:8" x14ac:dyDescent="0.15">
      <c r="A530" s="21">
        <v>1.03125E-2</v>
      </c>
      <c r="B530" s="21">
        <f t="shared" si="16"/>
        <v>-0.17329729999999999</v>
      </c>
      <c r="D530">
        <f t="shared" si="17"/>
        <v>-68.58254716981132</v>
      </c>
      <c r="G530" s="21">
        <v>0.21809249999999999</v>
      </c>
      <c r="H530" s="21">
        <v>-0.17329729999999999</v>
      </c>
    </row>
    <row r="531" spans="1:8" x14ac:dyDescent="0.15">
      <c r="A531" s="21">
        <v>1.0332030000000001E-2</v>
      </c>
      <c r="B531" s="21">
        <f t="shared" si="16"/>
        <v>-0.20378270000000001</v>
      </c>
      <c r="D531">
        <f t="shared" si="17"/>
        <v>-80.801100628930811</v>
      </c>
      <c r="G531" s="21">
        <v>0.2569475</v>
      </c>
      <c r="H531" s="21">
        <v>-0.20378270000000001</v>
      </c>
    </row>
    <row r="532" spans="1:8" x14ac:dyDescent="0.15">
      <c r="A532" s="21">
        <v>1.0351559999999999E-2</v>
      </c>
      <c r="B532" s="21">
        <f t="shared" si="16"/>
        <v>-0.22760169999999999</v>
      </c>
      <c r="D532">
        <f t="shared" si="17"/>
        <v>-90.307264150943396</v>
      </c>
      <c r="G532" s="21">
        <v>0.28717710000000002</v>
      </c>
      <c r="H532" s="21">
        <v>-0.22760169999999999</v>
      </c>
    </row>
    <row r="533" spans="1:8" x14ac:dyDescent="0.15">
      <c r="A533" s="21">
        <v>1.0371089999999999E-2</v>
      </c>
      <c r="B533" s="21">
        <f t="shared" si="16"/>
        <v>-0.2441227</v>
      </c>
      <c r="D533">
        <f t="shared" si="17"/>
        <v>-97.013962264150948</v>
      </c>
      <c r="G533" s="21">
        <v>0.30850440000000001</v>
      </c>
      <c r="H533" s="21">
        <v>-0.2441227</v>
      </c>
    </row>
    <row r="534" spans="1:8" x14ac:dyDescent="0.15">
      <c r="A534" s="21">
        <v>1.039063E-2</v>
      </c>
      <c r="B534" s="21">
        <f t="shared" si="16"/>
        <v>-0.25173889999999999</v>
      </c>
      <c r="D534">
        <f t="shared" si="17"/>
        <v>-100.10075471698113</v>
      </c>
      <c r="G534" s="21">
        <v>0.3183204</v>
      </c>
      <c r="H534" s="21">
        <v>-0.25173889999999999</v>
      </c>
    </row>
    <row r="535" spans="1:8" x14ac:dyDescent="0.15">
      <c r="A535" s="21">
        <v>1.041016E-2</v>
      </c>
      <c r="B535" s="21">
        <f t="shared" si="16"/>
        <v>-0.25115789999999999</v>
      </c>
      <c r="D535">
        <f t="shared" si="17"/>
        <v>-99.936163522012563</v>
      </c>
      <c r="G535" s="21">
        <v>0.317797</v>
      </c>
      <c r="H535" s="21">
        <v>-0.25115789999999999</v>
      </c>
    </row>
    <row r="536" spans="1:8" x14ac:dyDescent="0.15">
      <c r="A536" s="21">
        <v>1.042969E-2</v>
      </c>
      <c r="B536" s="21">
        <f t="shared" si="16"/>
        <v>-0.24255560000000001</v>
      </c>
      <c r="D536">
        <f t="shared" si="17"/>
        <v>-96.533805031446548</v>
      </c>
      <c r="G536" s="21">
        <v>0.30697750000000001</v>
      </c>
      <c r="H536" s="21">
        <v>-0.24255560000000001</v>
      </c>
    </row>
    <row r="537" spans="1:8" x14ac:dyDescent="0.15">
      <c r="A537" s="21">
        <v>1.044922E-2</v>
      </c>
      <c r="B537" s="21">
        <f t="shared" si="16"/>
        <v>-0.22550790000000001</v>
      </c>
      <c r="D537">
        <f t="shared" si="17"/>
        <v>-89.748647798742141</v>
      </c>
      <c r="G537" s="21">
        <v>0.28540070000000001</v>
      </c>
      <c r="H537" s="21">
        <v>-0.22550790000000001</v>
      </c>
    </row>
    <row r="538" spans="1:8" x14ac:dyDescent="0.15">
      <c r="A538" s="21">
        <v>1.0468750000000001E-2</v>
      </c>
      <c r="B538" s="21">
        <f t="shared" si="16"/>
        <v>-0.20115279999999999</v>
      </c>
      <c r="D538">
        <f t="shared" si="17"/>
        <v>-80.045031446540875</v>
      </c>
      <c r="G538" s="21">
        <v>0.25454320000000002</v>
      </c>
      <c r="H538" s="21">
        <v>-0.20115279999999999</v>
      </c>
    </row>
    <row r="539" spans="1:8" x14ac:dyDescent="0.15">
      <c r="A539" s="21">
        <v>1.0488280000000001E-2</v>
      </c>
      <c r="B539" s="21">
        <f t="shared" si="16"/>
        <v>-0.169714</v>
      </c>
      <c r="D539">
        <f t="shared" si="17"/>
        <v>-67.335660377358479</v>
      </c>
      <c r="G539" s="21">
        <v>0.2141274</v>
      </c>
      <c r="H539" s="21">
        <v>-0.169714</v>
      </c>
    </row>
    <row r="540" spans="1:8" x14ac:dyDescent="0.15">
      <c r="A540" s="21">
        <v>1.0507809999999999E-2</v>
      </c>
      <c r="B540" s="21">
        <f t="shared" si="16"/>
        <v>-0.13228380000000001</v>
      </c>
      <c r="D540">
        <f t="shared" si="17"/>
        <v>-52.37537735849056</v>
      </c>
      <c r="G540" s="21">
        <v>0.1665537</v>
      </c>
      <c r="H540" s="21">
        <v>-0.13228380000000001</v>
      </c>
    </row>
    <row r="541" spans="1:8" x14ac:dyDescent="0.15">
      <c r="A541" s="21">
        <v>1.052734E-2</v>
      </c>
      <c r="B541" s="21">
        <f t="shared" si="16"/>
        <v>-9.0730859999999997E-2</v>
      </c>
      <c r="D541">
        <f t="shared" si="17"/>
        <v>-35.871823899371066</v>
      </c>
      <c r="G541" s="21">
        <v>0.1140724</v>
      </c>
      <c r="H541" s="21">
        <v>-9.0730859999999997E-2</v>
      </c>
    </row>
    <row r="542" spans="1:8" x14ac:dyDescent="0.15">
      <c r="A542" s="21">
        <v>1.054688E-2</v>
      </c>
      <c r="B542" s="21">
        <f t="shared" si="16"/>
        <v>-4.5405929999999997E-2</v>
      </c>
      <c r="D542">
        <f t="shared" si="17"/>
        <v>-17.666842767295595</v>
      </c>
      <c r="G542" s="21">
        <v>5.6180559999999997E-2</v>
      </c>
      <c r="H542" s="21">
        <v>-4.5405929999999997E-2</v>
      </c>
    </row>
    <row r="543" spans="1:8" x14ac:dyDescent="0.15">
      <c r="A543" s="21">
        <v>1.056641E-2</v>
      </c>
      <c r="B543" s="21">
        <f t="shared" si="16"/>
        <v>1.10838E-3</v>
      </c>
      <c r="D543">
        <f t="shared" si="17"/>
        <v>1.0093660377358491</v>
      </c>
      <c r="G543" s="21">
        <v>-3.2097839999999998E-3</v>
      </c>
      <c r="H543" s="21">
        <v>1.10838E-3</v>
      </c>
    </row>
    <row r="544" spans="1:8" x14ac:dyDescent="0.15">
      <c r="A544" s="21">
        <v>1.058594E-2</v>
      </c>
      <c r="B544" s="21">
        <f t="shared" si="16"/>
        <v>4.6727339999999999E-2</v>
      </c>
      <c r="D544">
        <f t="shared" si="17"/>
        <v>19.334569182389938</v>
      </c>
      <c r="G544" s="21">
        <v>-6.1483929999999999E-2</v>
      </c>
      <c r="H544" s="21">
        <v>4.6727339999999999E-2</v>
      </c>
    </row>
    <row r="545" spans="1:8" x14ac:dyDescent="0.15">
      <c r="A545" s="21">
        <v>1.0605470000000001E-2</v>
      </c>
      <c r="B545" s="21">
        <f t="shared" si="16"/>
        <v>9.156831E-2</v>
      </c>
      <c r="D545">
        <f t="shared" si="17"/>
        <v>37.308773584905659</v>
      </c>
      <c r="G545" s="21">
        <v>-0.11864189999999999</v>
      </c>
      <c r="H545" s="21">
        <v>9.156831E-2</v>
      </c>
    </row>
    <row r="546" spans="1:8" x14ac:dyDescent="0.15">
      <c r="A546" s="21">
        <v>1.0625000000000001E-2</v>
      </c>
      <c r="B546" s="21">
        <f t="shared" si="16"/>
        <v>0.13318840000000001</v>
      </c>
      <c r="D546">
        <f t="shared" si="17"/>
        <v>53.941572327044021</v>
      </c>
      <c r="G546" s="21">
        <v>-0.1715342</v>
      </c>
      <c r="H546" s="21">
        <v>0.13318840000000001</v>
      </c>
    </row>
    <row r="547" spans="1:8" x14ac:dyDescent="0.15">
      <c r="A547" s="21">
        <v>1.0644529999999999E-2</v>
      </c>
      <c r="B547" s="21">
        <f t="shared" si="16"/>
        <v>0.1697922</v>
      </c>
      <c r="D547">
        <f t="shared" si="17"/>
        <v>68.687484276729549</v>
      </c>
      <c r="G547" s="21">
        <v>-0.21842619999999999</v>
      </c>
      <c r="H547" s="21">
        <v>0.1697922</v>
      </c>
    </row>
    <row r="548" spans="1:8" x14ac:dyDescent="0.15">
      <c r="A548" s="21">
        <v>1.066406E-2</v>
      </c>
      <c r="B548" s="21">
        <f t="shared" si="16"/>
        <v>0.20084640000000001</v>
      </c>
      <c r="D548">
        <f t="shared" si="17"/>
        <v>81.183742138364778</v>
      </c>
      <c r="G548" s="21">
        <v>-0.25816430000000001</v>
      </c>
      <c r="H548" s="21">
        <v>0.20084640000000001</v>
      </c>
    </row>
    <row r="549" spans="1:8" x14ac:dyDescent="0.15">
      <c r="A549" s="21">
        <v>1.068359E-2</v>
      </c>
      <c r="B549" s="21">
        <f t="shared" si="16"/>
        <v>0.22491739999999999</v>
      </c>
      <c r="D549">
        <f t="shared" si="17"/>
        <v>90.884622641509438</v>
      </c>
      <c r="G549" s="21">
        <v>-0.28901310000000002</v>
      </c>
      <c r="H549" s="21">
        <v>0.22491739999999999</v>
      </c>
    </row>
    <row r="550" spans="1:8" x14ac:dyDescent="0.15">
      <c r="A550" s="21">
        <v>1.070313E-2</v>
      </c>
      <c r="B550" s="21">
        <f t="shared" si="16"/>
        <v>0.24156710000000001</v>
      </c>
      <c r="D550">
        <f t="shared" si="17"/>
        <v>97.572138364779875</v>
      </c>
      <c r="G550" s="21">
        <v>-0.31027939999999998</v>
      </c>
      <c r="H550" s="21">
        <v>0.24156710000000001</v>
      </c>
    </row>
    <row r="551" spans="1:8" x14ac:dyDescent="0.15">
      <c r="A551" s="21">
        <v>1.072266E-2</v>
      </c>
      <c r="B551" s="21">
        <f t="shared" si="16"/>
        <v>0.24996460000000001</v>
      </c>
      <c r="D551">
        <f t="shared" si="17"/>
        <v>100.86251572327043</v>
      </c>
      <c r="G551" s="21">
        <v>-0.32074279999999999</v>
      </c>
      <c r="H551" s="21">
        <v>0.24996460000000001</v>
      </c>
    </row>
    <row r="552" spans="1:8" x14ac:dyDescent="0.15">
      <c r="A552" s="21">
        <v>1.074219E-2</v>
      </c>
      <c r="B552" s="21">
        <f t="shared" si="16"/>
        <v>0.25002200000000002</v>
      </c>
      <c r="D552">
        <f t="shared" si="17"/>
        <v>100.99355345911948</v>
      </c>
      <c r="G552" s="21">
        <v>-0.32115949999999999</v>
      </c>
      <c r="H552" s="21">
        <v>0.25002200000000002</v>
      </c>
    </row>
    <row r="553" spans="1:8" x14ac:dyDescent="0.15">
      <c r="A553" s="21">
        <v>1.0761720000000001E-2</v>
      </c>
      <c r="B553" s="21">
        <f t="shared" si="16"/>
        <v>0.2424761</v>
      </c>
      <c r="D553">
        <f t="shared" si="17"/>
        <v>98.058050314465419</v>
      </c>
      <c r="G553" s="21">
        <v>-0.31182460000000001</v>
      </c>
      <c r="H553" s="21">
        <v>0.2424761</v>
      </c>
    </row>
    <row r="554" spans="1:8" x14ac:dyDescent="0.15">
      <c r="A554" s="21">
        <v>1.0781249999999999E-2</v>
      </c>
      <c r="B554" s="21">
        <f t="shared" si="16"/>
        <v>0.22607079999999999</v>
      </c>
      <c r="D554">
        <f t="shared" si="17"/>
        <v>91.421069182389928</v>
      </c>
      <c r="G554" s="21">
        <v>-0.29071900000000001</v>
      </c>
      <c r="H554" s="21">
        <v>0.22607079999999999</v>
      </c>
    </row>
    <row r="555" spans="1:8" x14ac:dyDescent="0.15">
      <c r="A555" s="21">
        <v>1.0800779999999999E-2</v>
      </c>
      <c r="B555" s="21">
        <f t="shared" si="16"/>
        <v>0.20134859999999999</v>
      </c>
      <c r="D555">
        <f t="shared" si="17"/>
        <v>81.560754716981137</v>
      </c>
      <c r="G555" s="21">
        <v>-0.25936320000000002</v>
      </c>
      <c r="H555" s="21">
        <v>0.20134859999999999</v>
      </c>
    </row>
    <row r="556" spans="1:8" x14ac:dyDescent="0.15">
      <c r="A556" s="21">
        <v>1.082031E-2</v>
      </c>
      <c r="B556" s="21">
        <f t="shared" si="16"/>
        <v>0.1706328</v>
      </c>
      <c r="D556">
        <f t="shared" si="17"/>
        <v>69.305125786163529</v>
      </c>
      <c r="G556" s="21">
        <v>-0.22039030000000001</v>
      </c>
      <c r="H556" s="21">
        <v>0.1706328</v>
      </c>
    </row>
    <row r="557" spans="1:8" x14ac:dyDescent="0.15">
      <c r="A557" s="21">
        <v>1.083984E-2</v>
      </c>
      <c r="B557" s="21">
        <f t="shared" si="16"/>
        <v>0.1338715</v>
      </c>
      <c r="D557">
        <f t="shared" si="17"/>
        <v>54.587987421383644</v>
      </c>
      <c r="G557" s="21">
        <v>-0.17358979999999999</v>
      </c>
      <c r="H557" s="21">
        <v>0.1338715</v>
      </c>
    </row>
    <row r="558" spans="1:8" x14ac:dyDescent="0.15">
      <c r="A558" s="21">
        <v>1.085938E-2</v>
      </c>
      <c r="B558" s="21">
        <f t="shared" si="16"/>
        <v>9.1941759999999997E-2</v>
      </c>
      <c r="D558">
        <f t="shared" si="17"/>
        <v>37.782075471698114</v>
      </c>
      <c r="G558" s="21">
        <v>-0.120147</v>
      </c>
      <c r="H558" s="21">
        <v>9.1941759999999997E-2</v>
      </c>
    </row>
    <row r="559" spans="1:8" x14ac:dyDescent="0.15">
      <c r="A559" s="21">
        <v>1.087891E-2</v>
      </c>
      <c r="B559" s="21">
        <f t="shared" si="16"/>
        <v>4.7186789999999999E-2</v>
      </c>
      <c r="D559">
        <f t="shared" si="17"/>
        <v>19.827990566037737</v>
      </c>
      <c r="G559" s="21">
        <v>-6.3053010000000007E-2</v>
      </c>
      <c r="H559" s="21">
        <v>4.7186789999999999E-2</v>
      </c>
    </row>
    <row r="560" spans="1:8" x14ac:dyDescent="0.15">
      <c r="A560" s="21">
        <v>1.0898440000000001E-2</v>
      </c>
      <c r="B560" s="21">
        <f t="shared" si="16"/>
        <v>6.9869789999999995E-4</v>
      </c>
      <c r="D560">
        <f t="shared" si="17"/>
        <v>1.3074119496855345</v>
      </c>
      <c r="G560" s="21">
        <v>-4.1575700000000002E-3</v>
      </c>
      <c r="H560" s="21">
        <v>6.9869789999999995E-4</v>
      </c>
    </row>
    <row r="561" spans="1:8" x14ac:dyDescent="0.15">
      <c r="A561" s="21">
        <v>1.0917970000000001E-2</v>
      </c>
      <c r="B561" s="21">
        <f t="shared" si="16"/>
        <v>-4.5747610000000001E-2</v>
      </c>
      <c r="D561">
        <f t="shared" si="17"/>
        <v>-17.313267295597484</v>
      </c>
      <c r="G561" s="21">
        <v>5.5056189999999998E-2</v>
      </c>
      <c r="H561" s="21">
        <v>-4.5747610000000001E-2</v>
      </c>
    </row>
    <row r="562" spans="1:8" x14ac:dyDescent="0.15">
      <c r="A562" s="21">
        <v>1.0937499999999999E-2</v>
      </c>
      <c r="B562" s="21">
        <f t="shared" si="16"/>
        <v>-9.0384690000000004E-2</v>
      </c>
      <c r="D562">
        <f t="shared" si="17"/>
        <v>-35.302358490566036</v>
      </c>
      <c r="G562" s="21">
        <v>0.1122615</v>
      </c>
      <c r="H562" s="21">
        <v>-9.0384690000000004E-2</v>
      </c>
    </row>
    <row r="563" spans="1:8" x14ac:dyDescent="0.15">
      <c r="A563" s="21">
        <v>1.095703E-2</v>
      </c>
      <c r="B563" s="21">
        <f t="shared" si="16"/>
        <v>-0.13180210000000001</v>
      </c>
      <c r="D563">
        <f t="shared" si="17"/>
        <v>-51.817672955974835</v>
      </c>
      <c r="G563" s="21">
        <v>0.16478019999999999</v>
      </c>
      <c r="H563" s="21">
        <v>-0.13180210000000001</v>
      </c>
    </row>
    <row r="564" spans="1:8" x14ac:dyDescent="0.15">
      <c r="A564" s="21">
        <v>1.097656E-2</v>
      </c>
      <c r="B564" s="21">
        <f t="shared" si="16"/>
        <v>-0.16847019999999999</v>
      </c>
      <c r="D564">
        <f t="shared" si="17"/>
        <v>-66.547327044025153</v>
      </c>
      <c r="G564" s="21">
        <v>0.21162049999999999</v>
      </c>
      <c r="H564" s="21">
        <v>-0.16847019999999999</v>
      </c>
    </row>
    <row r="565" spans="1:8" x14ac:dyDescent="0.15">
      <c r="A565" s="21">
        <v>1.099609E-2</v>
      </c>
      <c r="B565" s="21">
        <f t="shared" si="16"/>
        <v>-0.20015740000000001</v>
      </c>
      <c r="D565">
        <f t="shared" si="17"/>
        <v>-79.362515723270434</v>
      </c>
      <c r="G565" s="21">
        <v>0.25237280000000001</v>
      </c>
      <c r="H565" s="21">
        <v>-0.20015740000000001</v>
      </c>
    </row>
    <row r="566" spans="1:8" x14ac:dyDescent="0.15">
      <c r="A566" s="21">
        <v>1.101562E-2</v>
      </c>
      <c r="B566" s="21">
        <f t="shared" si="16"/>
        <v>-0.22524659999999999</v>
      </c>
      <c r="D566">
        <f t="shared" si="17"/>
        <v>-89.396132075471712</v>
      </c>
      <c r="G566" s="21">
        <v>0.28427970000000002</v>
      </c>
      <c r="H566" s="21">
        <v>-0.22524659999999999</v>
      </c>
    </row>
    <row r="567" spans="1:8" x14ac:dyDescent="0.15">
      <c r="A567" s="21">
        <v>1.103516E-2</v>
      </c>
      <c r="B567" s="21">
        <f t="shared" si="16"/>
        <v>-0.24195</v>
      </c>
      <c r="D567">
        <f t="shared" si="17"/>
        <v>-96.083301886792441</v>
      </c>
      <c r="G567" s="21">
        <v>0.30554490000000001</v>
      </c>
      <c r="H567" s="21">
        <v>-0.24195</v>
      </c>
    </row>
    <row r="568" spans="1:8" x14ac:dyDescent="0.15">
      <c r="A568" s="21">
        <v>1.1054690000000001E-2</v>
      </c>
      <c r="B568" s="21">
        <f t="shared" si="16"/>
        <v>-0.25100050000000002</v>
      </c>
      <c r="D568">
        <f t="shared" si="17"/>
        <v>-99.761540880503148</v>
      </c>
      <c r="G568" s="21">
        <v>0.31724170000000002</v>
      </c>
      <c r="H568" s="21">
        <v>-0.25100050000000002</v>
      </c>
    </row>
    <row r="569" spans="1:8" x14ac:dyDescent="0.15">
      <c r="A569" s="21">
        <v>1.1074219999999999E-2</v>
      </c>
      <c r="B569" s="21">
        <f t="shared" si="16"/>
        <v>-0.25197609999999998</v>
      </c>
      <c r="D569">
        <f t="shared" si="17"/>
        <v>-100.28855345911951</v>
      </c>
      <c r="G569" s="21">
        <v>0.31891760000000002</v>
      </c>
      <c r="H569" s="21">
        <v>-0.25197609999999998</v>
      </c>
    </row>
    <row r="570" spans="1:8" x14ac:dyDescent="0.15">
      <c r="A570" s="21">
        <v>1.1093749999999999E-2</v>
      </c>
      <c r="B570" s="21">
        <f t="shared" si="16"/>
        <v>-0.2441575</v>
      </c>
      <c r="D570">
        <f t="shared" si="17"/>
        <v>-97.201320754716974</v>
      </c>
      <c r="G570" s="21">
        <v>0.30910019999999999</v>
      </c>
      <c r="H570" s="21">
        <v>-0.2441575</v>
      </c>
    </row>
    <row r="571" spans="1:8" x14ac:dyDescent="0.15">
      <c r="A571" s="21">
        <v>1.111328E-2</v>
      </c>
      <c r="B571" s="21">
        <f t="shared" si="16"/>
        <v>-0.2283242</v>
      </c>
      <c r="D571">
        <f t="shared" si="17"/>
        <v>-90.78694968553458</v>
      </c>
      <c r="G571" s="21">
        <v>0.28870249999999997</v>
      </c>
      <c r="H571" s="21">
        <v>-0.2283242</v>
      </c>
    </row>
    <row r="572" spans="1:8" x14ac:dyDescent="0.15">
      <c r="A572" s="21">
        <v>1.113281E-2</v>
      </c>
      <c r="B572" s="21">
        <f t="shared" si="16"/>
        <v>-0.20476259999999999</v>
      </c>
      <c r="D572">
        <f t="shared" si="17"/>
        <v>-81.464465408805012</v>
      </c>
      <c r="G572" s="21">
        <v>0.25905699999999998</v>
      </c>
      <c r="H572" s="21">
        <v>-0.20476259999999999</v>
      </c>
    </row>
    <row r="573" spans="1:8" x14ac:dyDescent="0.15">
      <c r="A573" s="21">
        <v>1.115234E-2</v>
      </c>
      <c r="B573" s="21">
        <f t="shared" si="16"/>
        <v>-0.1742457</v>
      </c>
      <c r="D573">
        <f t="shared" si="17"/>
        <v>-69.325534591194966</v>
      </c>
      <c r="G573" s="21">
        <v>0.22045519999999999</v>
      </c>
      <c r="H573" s="21">
        <v>-0.1742457</v>
      </c>
    </row>
    <row r="574" spans="1:8" x14ac:dyDescent="0.15">
      <c r="A574" s="21">
        <v>1.117187E-2</v>
      </c>
      <c r="B574" s="21">
        <f t="shared" si="16"/>
        <v>-0.1375284</v>
      </c>
      <c r="D574">
        <f t="shared" si="17"/>
        <v>-54.534402515723265</v>
      </c>
      <c r="G574" s="21">
        <v>0.1734194</v>
      </c>
      <c r="H574" s="21">
        <v>-0.1375284</v>
      </c>
    </row>
    <row r="575" spans="1:8" x14ac:dyDescent="0.15">
      <c r="A575" s="21">
        <v>1.1191410000000001E-2</v>
      </c>
      <c r="B575" s="21">
        <f t="shared" si="16"/>
        <v>-9.5777619999999994E-2</v>
      </c>
      <c r="D575">
        <f t="shared" si="17"/>
        <v>-37.855251572327042</v>
      </c>
      <c r="G575" s="21">
        <v>0.12037970000000001</v>
      </c>
      <c r="H575" s="21">
        <v>-9.5777619999999994E-2</v>
      </c>
    </row>
    <row r="576" spans="1:8" x14ac:dyDescent="0.15">
      <c r="A576" s="21">
        <v>1.1210940000000001E-2</v>
      </c>
      <c r="B576" s="21">
        <f t="shared" si="16"/>
        <v>-5.1668720000000001E-2</v>
      </c>
      <c r="D576">
        <f t="shared" si="17"/>
        <v>-20.212122641509435</v>
      </c>
      <c r="G576" s="21">
        <v>6.427455E-2</v>
      </c>
      <c r="H576" s="21">
        <v>-5.1668720000000001E-2</v>
      </c>
    </row>
    <row r="577" spans="1:8" x14ac:dyDescent="0.15">
      <c r="A577" s="21">
        <v>1.1230469999999999E-2</v>
      </c>
      <c r="B577" s="21">
        <f t="shared" si="16"/>
        <v>-5.704186E-3</v>
      </c>
      <c r="D577">
        <f t="shared" si="17"/>
        <v>-1.6936330188679245</v>
      </c>
      <c r="G577" s="21">
        <v>5.3857530000000001E-3</v>
      </c>
      <c r="H577" s="21">
        <v>-5.704186E-3</v>
      </c>
    </row>
    <row r="578" spans="1:8" x14ac:dyDescent="0.15">
      <c r="A578" s="21">
        <v>1.125E-2</v>
      </c>
      <c r="B578" s="21">
        <f t="shared" ref="B578:B641" si="18">H578</f>
        <v>4.1305700000000001E-2</v>
      </c>
      <c r="D578">
        <f t="shared" ref="D578:D641" si="19">G578*-1000/3.18</f>
        <v>17.14516037735849</v>
      </c>
      <c r="G578" s="21">
        <v>-5.4521609999999998E-2</v>
      </c>
      <c r="H578" s="21">
        <v>4.1305700000000001E-2</v>
      </c>
    </row>
    <row r="579" spans="1:8" x14ac:dyDescent="0.15">
      <c r="A579" s="21">
        <v>1.126953E-2</v>
      </c>
      <c r="B579" s="21">
        <f t="shared" si="18"/>
        <v>8.6096510000000001E-2</v>
      </c>
      <c r="D579">
        <f t="shared" si="19"/>
        <v>35.038207547169812</v>
      </c>
      <c r="G579" s="21">
        <v>-0.11142150000000001</v>
      </c>
      <c r="H579" s="21">
        <v>8.6096510000000001E-2</v>
      </c>
    </row>
    <row r="580" spans="1:8" x14ac:dyDescent="0.15">
      <c r="A580" s="21">
        <v>1.128906E-2</v>
      </c>
      <c r="B580" s="21">
        <f t="shared" si="18"/>
        <v>0.12796060000000001</v>
      </c>
      <c r="D580">
        <f t="shared" si="19"/>
        <v>51.851289308176099</v>
      </c>
      <c r="G580" s="21">
        <v>-0.16488710000000001</v>
      </c>
      <c r="H580" s="21">
        <v>0.12796060000000001</v>
      </c>
    </row>
    <row r="581" spans="1:8" x14ac:dyDescent="0.15">
      <c r="A581" s="21">
        <v>1.130859E-2</v>
      </c>
      <c r="B581" s="21">
        <f t="shared" si="18"/>
        <v>0.16585569999999999</v>
      </c>
      <c r="D581">
        <f t="shared" si="19"/>
        <v>67.147389937106908</v>
      </c>
      <c r="G581" s="21">
        <v>-0.21352869999999999</v>
      </c>
      <c r="H581" s="21">
        <v>0.16585569999999999</v>
      </c>
    </row>
    <row r="582" spans="1:8" x14ac:dyDescent="0.15">
      <c r="A582" s="21">
        <v>1.1328120000000001E-2</v>
      </c>
      <c r="B582" s="21">
        <f t="shared" si="18"/>
        <v>0.19696540000000001</v>
      </c>
      <c r="D582">
        <f t="shared" si="19"/>
        <v>79.660786163522019</v>
      </c>
      <c r="G582" s="21">
        <v>-0.25332130000000003</v>
      </c>
      <c r="H582" s="21">
        <v>0.19696540000000001</v>
      </c>
    </row>
    <row r="583" spans="1:8" x14ac:dyDescent="0.15">
      <c r="A583" s="21">
        <v>1.1347660000000001E-2</v>
      </c>
      <c r="B583" s="21">
        <f t="shared" si="18"/>
        <v>0.22157660000000001</v>
      </c>
      <c r="D583">
        <f t="shared" si="19"/>
        <v>89.503805031446532</v>
      </c>
      <c r="G583" s="21">
        <v>-0.28462209999999999</v>
      </c>
      <c r="H583" s="21">
        <v>0.22157660000000001</v>
      </c>
    </row>
    <row r="584" spans="1:8" x14ac:dyDescent="0.15">
      <c r="A584" s="21">
        <v>1.1367189999999999E-2</v>
      </c>
      <c r="B584" s="21">
        <f t="shared" si="18"/>
        <v>0.2396915</v>
      </c>
      <c r="D584">
        <f t="shared" si="19"/>
        <v>96.805251572327052</v>
      </c>
      <c r="G584" s="21">
        <v>-0.30784070000000002</v>
      </c>
      <c r="H584" s="21">
        <v>0.2396915</v>
      </c>
    </row>
    <row r="585" spans="1:8" x14ac:dyDescent="0.15">
      <c r="A585" s="21">
        <v>1.1386719999999999E-2</v>
      </c>
      <c r="B585" s="21">
        <f t="shared" si="18"/>
        <v>0.24957180000000001</v>
      </c>
      <c r="D585">
        <f t="shared" si="19"/>
        <v>100.80213836477988</v>
      </c>
      <c r="G585" s="21">
        <v>-0.32055080000000002</v>
      </c>
      <c r="H585" s="21">
        <v>0.24957180000000001</v>
      </c>
    </row>
    <row r="586" spans="1:8" x14ac:dyDescent="0.15">
      <c r="A586" s="21">
        <v>1.140625E-2</v>
      </c>
      <c r="B586" s="21">
        <f t="shared" si="18"/>
        <v>0.250863</v>
      </c>
      <c r="D586">
        <f t="shared" si="19"/>
        <v>101.33641509433961</v>
      </c>
      <c r="G586" s="21">
        <v>-0.32224979999999998</v>
      </c>
      <c r="H586" s="21">
        <v>0.250863</v>
      </c>
    </row>
    <row r="587" spans="1:8" x14ac:dyDescent="0.15">
      <c r="A587" s="21">
        <v>1.142578E-2</v>
      </c>
      <c r="B587" s="21">
        <f t="shared" si="18"/>
        <v>0.24362059999999999</v>
      </c>
      <c r="D587">
        <f t="shared" si="19"/>
        <v>98.497358490566029</v>
      </c>
      <c r="G587" s="21">
        <v>-0.31322159999999999</v>
      </c>
      <c r="H587" s="21">
        <v>0.24362059999999999</v>
      </c>
    </row>
    <row r="588" spans="1:8" x14ac:dyDescent="0.15">
      <c r="A588" s="21">
        <v>1.144531E-2</v>
      </c>
      <c r="B588" s="21">
        <f t="shared" si="18"/>
        <v>0.22850880000000001</v>
      </c>
      <c r="D588">
        <f t="shared" si="19"/>
        <v>92.452515723270437</v>
      </c>
      <c r="G588" s="21">
        <v>-0.29399900000000001</v>
      </c>
      <c r="H588" s="21">
        <v>0.22850880000000001</v>
      </c>
    </row>
    <row r="589" spans="1:8" x14ac:dyDescent="0.15">
      <c r="A589" s="21">
        <v>1.146484E-2</v>
      </c>
      <c r="B589" s="21">
        <f t="shared" si="18"/>
        <v>0.20551269999999999</v>
      </c>
      <c r="D589">
        <f t="shared" si="19"/>
        <v>83.183522012578621</v>
      </c>
      <c r="G589" s="21">
        <v>-0.26452360000000003</v>
      </c>
      <c r="H589" s="21">
        <v>0.20551269999999999</v>
      </c>
    </row>
    <row r="590" spans="1:8" x14ac:dyDescent="0.15">
      <c r="A590" s="21">
        <v>1.1484370000000001E-2</v>
      </c>
      <c r="B590" s="21">
        <f t="shared" si="18"/>
        <v>0.17464279999999999</v>
      </c>
      <c r="D590">
        <f t="shared" si="19"/>
        <v>70.839182389937108</v>
      </c>
      <c r="G590" s="21">
        <v>-0.22526860000000001</v>
      </c>
      <c r="H590" s="21">
        <v>0.17464279999999999</v>
      </c>
    </row>
    <row r="591" spans="1:8" x14ac:dyDescent="0.15">
      <c r="A591" s="21">
        <v>1.1503909999999999E-2</v>
      </c>
      <c r="B591" s="21">
        <f t="shared" si="18"/>
        <v>0.138511</v>
      </c>
      <c r="D591">
        <f t="shared" si="19"/>
        <v>56.480220125786161</v>
      </c>
      <c r="G591" s="21">
        <v>-0.17960709999999999</v>
      </c>
      <c r="H591" s="21">
        <v>0.138511</v>
      </c>
    </row>
    <row r="592" spans="1:8" x14ac:dyDescent="0.15">
      <c r="A592" s="21">
        <v>1.1523439999999999E-2</v>
      </c>
      <c r="B592" s="21">
        <f t="shared" si="18"/>
        <v>9.8028660000000004E-2</v>
      </c>
      <c r="D592">
        <f t="shared" si="19"/>
        <v>40.295125786163517</v>
      </c>
      <c r="G592" s="21">
        <v>-0.12813849999999999</v>
      </c>
      <c r="H592" s="21">
        <v>9.8028660000000004E-2</v>
      </c>
    </row>
    <row r="593" spans="1:8" x14ac:dyDescent="0.15">
      <c r="A593" s="21">
        <v>1.154297E-2</v>
      </c>
      <c r="B593" s="21">
        <f t="shared" si="18"/>
        <v>5.3297820000000003E-2</v>
      </c>
      <c r="D593">
        <f t="shared" si="19"/>
        <v>22.289776729559748</v>
      </c>
      <c r="G593" s="21">
        <v>-7.0881490000000005E-2</v>
      </c>
      <c r="H593" s="21">
        <v>5.3297820000000003E-2</v>
      </c>
    </row>
    <row r="594" spans="1:8" x14ac:dyDescent="0.15">
      <c r="A594" s="21">
        <v>1.15625E-2</v>
      </c>
      <c r="B594" s="21">
        <f t="shared" si="18"/>
        <v>6.9042620000000004E-3</v>
      </c>
      <c r="D594">
        <f t="shared" si="19"/>
        <v>3.7050849056603767</v>
      </c>
      <c r="G594" s="21">
        <v>-1.178217E-2</v>
      </c>
      <c r="H594" s="21">
        <v>6.9042620000000004E-3</v>
      </c>
    </row>
    <row r="595" spans="1:8" x14ac:dyDescent="0.15">
      <c r="A595" s="21">
        <v>1.158203E-2</v>
      </c>
      <c r="B595" s="21">
        <f t="shared" si="18"/>
        <v>-3.956643E-2</v>
      </c>
      <c r="D595">
        <f t="shared" si="19"/>
        <v>-14.807798742138363</v>
      </c>
      <c r="G595" s="21">
        <v>4.70888E-2</v>
      </c>
      <c r="H595" s="21">
        <v>-3.956643E-2</v>
      </c>
    </row>
    <row r="596" spans="1:8" x14ac:dyDescent="0.15">
      <c r="A596" s="21">
        <v>1.160156E-2</v>
      </c>
      <c r="B596" s="21">
        <f t="shared" si="18"/>
        <v>-8.4864620000000002E-2</v>
      </c>
      <c r="D596">
        <f t="shared" si="19"/>
        <v>-32.949622641509436</v>
      </c>
      <c r="G596" s="21">
        <v>0.10477980000000001</v>
      </c>
      <c r="H596" s="21">
        <v>-8.4864620000000002E-2</v>
      </c>
    </row>
    <row r="597" spans="1:8" x14ac:dyDescent="0.15">
      <c r="A597" s="21">
        <v>1.1621090000000001E-2</v>
      </c>
      <c r="B597" s="21">
        <f t="shared" si="18"/>
        <v>-0.12672700000000001</v>
      </c>
      <c r="D597">
        <f t="shared" si="19"/>
        <v>-49.770031446540884</v>
      </c>
      <c r="G597" s="21">
        <v>0.15826870000000001</v>
      </c>
      <c r="H597" s="21">
        <v>-0.12672700000000001</v>
      </c>
    </row>
    <row r="598" spans="1:8" x14ac:dyDescent="0.15">
      <c r="A598" s="21">
        <v>1.1640620000000001E-2</v>
      </c>
      <c r="B598" s="21">
        <f t="shared" si="18"/>
        <v>-0.16399920000000001</v>
      </c>
      <c r="D598">
        <f t="shared" si="19"/>
        <v>-64.713396226415085</v>
      </c>
      <c r="G598" s="21">
        <v>0.20578859999999999</v>
      </c>
      <c r="H598" s="21">
        <v>-0.16399920000000001</v>
      </c>
    </row>
    <row r="599" spans="1:8" x14ac:dyDescent="0.15">
      <c r="A599" s="21">
        <v>1.1660159999999999E-2</v>
      </c>
      <c r="B599" s="21">
        <f t="shared" si="18"/>
        <v>-0.1959359</v>
      </c>
      <c r="D599">
        <f t="shared" si="19"/>
        <v>-77.587861635220122</v>
      </c>
      <c r="G599" s="21">
        <v>0.24672939999999999</v>
      </c>
      <c r="H599" s="21">
        <v>-0.1959359</v>
      </c>
    </row>
    <row r="600" spans="1:8" x14ac:dyDescent="0.15">
      <c r="A600" s="21">
        <v>1.167969E-2</v>
      </c>
      <c r="B600" s="21">
        <f t="shared" si="18"/>
        <v>-0.22182270000000001</v>
      </c>
      <c r="D600">
        <f t="shared" si="19"/>
        <v>-88.066635220125789</v>
      </c>
      <c r="G600" s="21">
        <v>0.28005190000000002</v>
      </c>
      <c r="H600" s="21">
        <v>-0.22182270000000001</v>
      </c>
    </row>
    <row r="601" spans="1:8" x14ac:dyDescent="0.15">
      <c r="A601" s="21">
        <v>1.169922E-2</v>
      </c>
      <c r="B601" s="21">
        <f t="shared" si="18"/>
        <v>-0.24072540000000001</v>
      </c>
      <c r="D601">
        <f t="shared" si="19"/>
        <v>-95.652327044025157</v>
      </c>
      <c r="G601" s="21">
        <v>0.30417440000000001</v>
      </c>
      <c r="H601" s="21">
        <v>-0.24072540000000001</v>
      </c>
    </row>
    <row r="602" spans="1:8" x14ac:dyDescent="0.15">
      <c r="A602" s="21">
        <v>1.171875E-2</v>
      </c>
      <c r="B602" s="21">
        <f t="shared" si="18"/>
        <v>-0.25083040000000001</v>
      </c>
      <c r="D602">
        <f t="shared" si="19"/>
        <v>-99.666886792452829</v>
      </c>
      <c r="G602" s="21">
        <v>0.31694070000000002</v>
      </c>
      <c r="H602" s="21">
        <v>-0.25083040000000001</v>
      </c>
    </row>
    <row r="603" spans="1:8" x14ac:dyDescent="0.15">
      <c r="A603" s="21">
        <v>1.173828E-2</v>
      </c>
      <c r="B603" s="21">
        <f t="shared" si="18"/>
        <v>-0.25213059999999998</v>
      </c>
      <c r="D603">
        <f t="shared" si="19"/>
        <v>-100.2698113207547</v>
      </c>
      <c r="G603" s="21">
        <v>0.31885799999999997</v>
      </c>
      <c r="H603" s="21">
        <v>-0.25213059999999998</v>
      </c>
    </row>
    <row r="604" spans="1:8" x14ac:dyDescent="0.15">
      <c r="A604" s="21">
        <v>1.175781E-2</v>
      </c>
      <c r="B604" s="21">
        <f t="shared" si="18"/>
        <v>-0.24557499999999999</v>
      </c>
      <c r="D604">
        <f t="shared" si="19"/>
        <v>-97.766698113207539</v>
      </c>
      <c r="G604" s="21">
        <v>0.31089810000000001</v>
      </c>
      <c r="H604" s="21">
        <v>-0.24557499999999999</v>
      </c>
    </row>
    <row r="605" spans="1:8" x14ac:dyDescent="0.15">
      <c r="A605" s="21">
        <v>1.1777340000000001E-2</v>
      </c>
      <c r="B605" s="21">
        <f t="shared" si="18"/>
        <v>-0.2307478</v>
      </c>
      <c r="D605">
        <f t="shared" si="19"/>
        <v>-91.802169811320752</v>
      </c>
      <c r="G605" s="21">
        <v>0.29193089999999999</v>
      </c>
      <c r="H605" s="21">
        <v>-0.2307478</v>
      </c>
    </row>
    <row r="606" spans="1:8" x14ac:dyDescent="0.15">
      <c r="A606" s="21">
        <v>1.1796879999999999E-2</v>
      </c>
      <c r="B606" s="21">
        <f t="shared" si="18"/>
        <v>-0.2084105</v>
      </c>
      <c r="D606">
        <f t="shared" si="19"/>
        <v>-82.852861635220123</v>
      </c>
      <c r="G606" s="21">
        <v>0.26347209999999999</v>
      </c>
      <c r="H606" s="21">
        <v>-0.2084105</v>
      </c>
    </row>
    <row r="607" spans="1:8" x14ac:dyDescent="0.15">
      <c r="A607" s="21">
        <v>1.1816409999999999E-2</v>
      </c>
      <c r="B607" s="21">
        <f t="shared" si="18"/>
        <v>-0.17931349999999999</v>
      </c>
      <c r="D607">
        <f t="shared" si="19"/>
        <v>-71.263647798742142</v>
      </c>
      <c r="G607" s="21">
        <v>0.2266184</v>
      </c>
      <c r="H607" s="21">
        <v>-0.17931349999999999</v>
      </c>
    </row>
    <row r="608" spans="1:8" x14ac:dyDescent="0.15">
      <c r="A608" s="21">
        <v>1.183594E-2</v>
      </c>
      <c r="B608" s="21">
        <f t="shared" si="18"/>
        <v>-0.1432852</v>
      </c>
      <c r="D608">
        <f t="shared" si="19"/>
        <v>-56.864811320754711</v>
      </c>
      <c r="G608" s="21">
        <v>0.18083009999999999</v>
      </c>
      <c r="H608" s="21">
        <v>-0.1432852</v>
      </c>
    </row>
    <row r="609" spans="1:8" x14ac:dyDescent="0.15">
      <c r="A609" s="21">
        <v>1.185547E-2</v>
      </c>
      <c r="B609" s="21">
        <f t="shared" si="18"/>
        <v>-0.10216550000000001</v>
      </c>
      <c r="D609">
        <f t="shared" si="19"/>
        <v>-40.43333333333333</v>
      </c>
      <c r="G609" s="21">
        <v>0.128578</v>
      </c>
      <c r="H609" s="21">
        <v>-0.10216550000000001</v>
      </c>
    </row>
    <row r="610" spans="1:8" x14ac:dyDescent="0.15">
      <c r="A610" s="21">
        <v>1.1875E-2</v>
      </c>
      <c r="B610" s="21">
        <f t="shared" si="18"/>
        <v>-5.7829560000000002E-2</v>
      </c>
      <c r="D610">
        <f t="shared" si="19"/>
        <v>-22.618229559748428</v>
      </c>
      <c r="G610" s="21">
        <v>7.1925970000000006E-2</v>
      </c>
      <c r="H610" s="21">
        <v>-5.7829560000000002E-2</v>
      </c>
    </row>
    <row r="611" spans="1:8" x14ac:dyDescent="0.15">
      <c r="A611" s="21">
        <v>1.189453E-2</v>
      </c>
      <c r="B611" s="21">
        <f t="shared" si="18"/>
        <v>-1.155574E-2</v>
      </c>
      <c r="D611">
        <f t="shared" si="19"/>
        <v>-4.0490974842767296</v>
      </c>
      <c r="G611" s="21">
        <v>1.287613E-2</v>
      </c>
      <c r="H611" s="21">
        <v>-1.155574E-2</v>
      </c>
    </row>
    <row r="612" spans="1:8" x14ac:dyDescent="0.15">
      <c r="A612" s="21">
        <v>1.1914060000000001E-2</v>
      </c>
      <c r="B612" s="21">
        <f t="shared" si="18"/>
        <v>3.4946240000000003E-2</v>
      </c>
      <c r="D612">
        <f t="shared" si="19"/>
        <v>14.561735849056603</v>
      </c>
      <c r="G612" s="21">
        <v>-4.6306319999999998E-2</v>
      </c>
      <c r="H612" s="21">
        <v>3.4946240000000003E-2</v>
      </c>
    </row>
    <row r="613" spans="1:8" x14ac:dyDescent="0.15">
      <c r="A613" s="21">
        <v>1.1933590000000001E-2</v>
      </c>
      <c r="B613" s="21">
        <f t="shared" si="18"/>
        <v>8.0400719999999995E-2</v>
      </c>
      <c r="D613">
        <f t="shared" si="19"/>
        <v>32.842295597484274</v>
      </c>
      <c r="G613" s="21">
        <v>-0.1044385</v>
      </c>
      <c r="H613" s="21">
        <v>8.0400719999999995E-2</v>
      </c>
    </row>
    <row r="614" spans="1:8" x14ac:dyDescent="0.15">
      <c r="A614" s="21">
        <v>1.1953129999999999E-2</v>
      </c>
      <c r="B614" s="21">
        <f t="shared" si="18"/>
        <v>0.12254470000000001</v>
      </c>
      <c r="D614">
        <f t="shared" si="19"/>
        <v>49.704119496855341</v>
      </c>
      <c r="G614" s="21">
        <v>-0.15805910000000001</v>
      </c>
      <c r="H614" s="21">
        <v>0.12254470000000001</v>
      </c>
    </row>
    <row r="615" spans="1:8" x14ac:dyDescent="0.15">
      <c r="A615" s="21">
        <v>1.197266E-2</v>
      </c>
      <c r="B615" s="21">
        <f t="shared" si="18"/>
        <v>0.15999060000000001</v>
      </c>
      <c r="D615">
        <f t="shared" si="19"/>
        <v>64.743301886792452</v>
      </c>
      <c r="G615" s="21">
        <v>-0.2058837</v>
      </c>
      <c r="H615" s="21">
        <v>0.15999060000000001</v>
      </c>
    </row>
    <row r="616" spans="1:8" x14ac:dyDescent="0.15">
      <c r="A616" s="21">
        <v>1.199219E-2</v>
      </c>
      <c r="B616" s="21">
        <f t="shared" si="18"/>
        <v>0.19281499999999999</v>
      </c>
      <c r="D616">
        <f t="shared" si="19"/>
        <v>78.01550314465409</v>
      </c>
      <c r="G616" s="21">
        <v>-0.24808930000000001</v>
      </c>
      <c r="H616" s="21">
        <v>0.19281499999999999</v>
      </c>
    </row>
    <row r="617" spans="1:8" x14ac:dyDescent="0.15">
      <c r="A617" s="21">
        <v>1.201172E-2</v>
      </c>
      <c r="B617" s="21">
        <f t="shared" si="18"/>
        <v>0.2192095</v>
      </c>
      <c r="D617">
        <f t="shared" si="19"/>
        <v>88.569685534591201</v>
      </c>
      <c r="G617" s="21">
        <v>-0.2816516</v>
      </c>
      <c r="H617" s="21">
        <v>0.2192095</v>
      </c>
    </row>
    <row r="618" spans="1:8" x14ac:dyDescent="0.15">
      <c r="A618" s="21">
        <v>1.203125E-2</v>
      </c>
      <c r="B618" s="21">
        <f t="shared" si="18"/>
        <v>0.2379204</v>
      </c>
      <c r="D618">
        <f t="shared" si="19"/>
        <v>96.085754716981128</v>
      </c>
      <c r="G618" s="21">
        <v>-0.30555270000000001</v>
      </c>
      <c r="H618" s="21">
        <v>0.2379204</v>
      </c>
    </row>
    <row r="619" spans="1:8" x14ac:dyDescent="0.15">
      <c r="A619" s="21">
        <v>1.2050780000000001E-2</v>
      </c>
      <c r="B619" s="21">
        <f t="shared" si="18"/>
        <v>0.2489133</v>
      </c>
      <c r="D619">
        <f t="shared" si="19"/>
        <v>100.53292452830189</v>
      </c>
      <c r="G619" s="21">
        <v>-0.3196947</v>
      </c>
      <c r="H619" s="21">
        <v>0.2489133</v>
      </c>
    </row>
    <row r="620" spans="1:8" x14ac:dyDescent="0.15">
      <c r="A620" s="21">
        <v>1.2070310000000001E-2</v>
      </c>
      <c r="B620" s="21">
        <f t="shared" si="18"/>
        <v>0.25103399999999998</v>
      </c>
      <c r="D620">
        <f t="shared" si="19"/>
        <v>101.41342767295598</v>
      </c>
      <c r="G620" s="21">
        <v>-0.32249470000000002</v>
      </c>
      <c r="H620" s="21">
        <v>0.25103399999999998</v>
      </c>
    </row>
    <row r="621" spans="1:8" x14ac:dyDescent="0.15">
      <c r="A621" s="21">
        <v>1.2089839999999999E-2</v>
      </c>
      <c r="B621" s="21">
        <f t="shared" si="18"/>
        <v>0.24466060000000001</v>
      </c>
      <c r="D621">
        <f t="shared" si="19"/>
        <v>98.940566037735834</v>
      </c>
      <c r="G621" s="21">
        <v>-0.31463099999999999</v>
      </c>
      <c r="H621" s="21">
        <v>0.24466060000000001</v>
      </c>
    </row>
    <row r="622" spans="1:8" x14ac:dyDescent="0.15">
      <c r="A622" s="21">
        <v>1.2109379999999999E-2</v>
      </c>
      <c r="B622" s="21">
        <f t="shared" si="18"/>
        <v>0.23079649999999999</v>
      </c>
      <c r="D622">
        <f t="shared" si="19"/>
        <v>93.370943396226409</v>
      </c>
      <c r="G622" s="21">
        <v>-0.29691960000000001</v>
      </c>
      <c r="H622" s="21">
        <v>0.23079649999999999</v>
      </c>
    </row>
    <row r="623" spans="1:8" x14ac:dyDescent="0.15">
      <c r="A623" s="21">
        <v>1.212891E-2</v>
      </c>
      <c r="B623" s="21">
        <f t="shared" si="18"/>
        <v>0.208868</v>
      </c>
      <c r="D623">
        <f t="shared" si="19"/>
        <v>84.548238993710669</v>
      </c>
      <c r="G623" s="21">
        <v>-0.26886339999999997</v>
      </c>
      <c r="H623" s="21">
        <v>0.208868</v>
      </c>
    </row>
    <row r="624" spans="1:8" x14ac:dyDescent="0.15">
      <c r="A624" s="21">
        <v>1.214844E-2</v>
      </c>
      <c r="B624" s="21">
        <f t="shared" si="18"/>
        <v>0.17956469999999999</v>
      </c>
      <c r="D624">
        <f t="shared" si="19"/>
        <v>72.838018867924518</v>
      </c>
      <c r="G624" s="21">
        <v>-0.23162489999999999</v>
      </c>
      <c r="H624" s="21">
        <v>0.17956469999999999</v>
      </c>
    </row>
    <row r="625" spans="1:8" x14ac:dyDescent="0.15">
      <c r="A625" s="21">
        <v>1.216797E-2</v>
      </c>
      <c r="B625" s="21">
        <f t="shared" si="18"/>
        <v>0.14403150000000001</v>
      </c>
      <c r="D625">
        <f t="shared" si="19"/>
        <v>58.600628930817606</v>
      </c>
      <c r="G625" s="21">
        <v>-0.18634999999999999</v>
      </c>
      <c r="H625" s="21">
        <v>0.14403150000000001</v>
      </c>
    </row>
    <row r="626" spans="1:8" x14ac:dyDescent="0.15">
      <c r="A626" s="21">
        <v>1.21875E-2</v>
      </c>
      <c r="B626" s="21">
        <f t="shared" si="18"/>
        <v>0.10311149999999999</v>
      </c>
      <c r="D626">
        <f t="shared" si="19"/>
        <v>42.235125786163522</v>
      </c>
      <c r="G626" s="21">
        <v>-0.1343077</v>
      </c>
      <c r="H626" s="21">
        <v>0.10311149999999999</v>
      </c>
    </row>
    <row r="627" spans="1:8" x14ac:dyDescent="0.15">
      <c r="A627" s="21">
        <v>1.2207030000000001E-2</v>
      </c>
      <c r="B627" s="21">
        <f t="shared" si="18"/>
        <v>5.9101059999999997E-2</v>
      </c>
      <c r="D627">
        <f t="shared" si="19"/>
        <v>24.649830188679243</v>
      </c>
      <c r="G627" s="21">
        <v>-7.8386460000000005E-2</v>
      </c>
      <c r="H627" s="21">
        <v>5.9101059999999997E-2</v>
      </c>
    </row>
    <row r="628" spans="1:8" x14ac:dyDescent="0.15">
      <c r="A628" s="21">
        <v>1.2226559999999999E-2</v>
      </c>
      <c r="B628" s="21">
        <f t="shared" si="18"/>
        <v>1.3040690000000001E-2</v>
      </c>
      <c r="D628">
        <f t="shared" si="19"/>
        <v>6.1398396226415093</v>
      </c>
      <c r="G628" s="21">
        <v>-1.9524690000000001E-2</v>
      </c>
      <c r="H628" s="21">
        <v>1.3040690000000001E-2</v>
      </c>
    </row>
    <row r="629" spans="1:8" x14ac:dyDescent="0.15">
      <c r="A629" s="21">
        <v>1.2246089999999999E-2</v>
      </c>
      <c r="B629" s="21">
        <f t="shared" si="18"/>
        <v>-3.4061220000000003E-2</v>
      </c>
      <c r="D629">
        <f t="shared" si="19"/>
        <v>-12.692811320754716</v>
      </c>
      <c r="G629" s="21">
        <v>4.0363139999999999E-2</v>
      </c>
      <c r="H629" s="21">
        <v>-3.4061220000000003E-2</v>
      </c>
    </row>
    <row r="630" spans="1:8" x14ac:dyDescent="0.15">
      <c r="A630" s="21">
        <v>1.226563E-2</v>
      </c>
      <c r="B630" s="21">
        <f t="shared" si="18"/>
        <v>-7.8949450000000004E-2</v>
      </c>
      <c r="D630">
        <f t="shared" si="19"/>
        <v>-30.578647798742136</v>
      </c>
      <c r="G630" s="21">
        <v>9.7240099999999996E-2</v>
      </c>
      <c r="H630" s="21">
        <v>-7.8949450000000004E-2</v>
      </c>
    </row>
    <row r="631" spans="1:8" x14ac:dyDescent="0.15">
      <c r="A631" s="21">
        <v>1.228516E-2</v>
      </c>
      <c r="B631" s="21">
        <f t="shared" si="18"/>
        <v>-0.12100760000000001</v>
      </c>
      <c r="D631">
        <f t="shared" si="19"/>
        <v>-47.507704402515721</v>
      </c>
      <c r="G631" s="21">
        <v>0.1510745</v>
      </c>
      <c r="H631" s="21">
        <v>-0.12100760000000001</v>
      </c>
    </row>
    <row r="632" spans="1:8" x14ac:dyDescent="0.15">
      <c r="A632" s="21">
        <v>1.230469E-2</v>
      </c>
      <c r="B632" s="21">
        <f t="shared" si="18"/>
        <v>-0.1597461</v>
      </c>
      <c r="D632">
        <f t="shared" si="19"/>
        <v>-63.08789308176101</v>
      </c>
      <c r="G632" s="21">
        <v>0.20061950000000001</v>
      </c>
      <c r="H632" s="21">
        <v>-0.1597461</v>
      </c>
    </row>
    <row r="633" spans="1:8" x14ac:dyDescent="0.15">
      <c r="A633" s="21">
        <v>1.232422E-2</v>
      </c>
      <c r="B633" s="21">
        <f t="shared" si="18"/>
        <v>-0.1923909</v>
      </c>
      <c r="D633">
        <f t="shared" si="19"/>
        <v>-76.154528301886785</v>
      </c>
      <c r="G633" s="21">
        <v>0.24217140000000001</v>
      </c>
      <c r="H633" s="21">
        <v>-0.1923909</v>
      </c>
    </row>
    <row r="634" spans="1:8" x14ac:dyDescent="0.15">
      <c r="A634" s="21">
        <v>1.2343750000000001E-2</v>
      </c>
      <c r="B634" s="21">
        <f t="shared" si="18"/>
        <v>-0.2189199</v>
      </c>
      <c r="D634">
        <f t="shared" si="19"/>
        <v>-86.827955974842752</v>
      </c>
      <c r="G634" s="21">
        <v>0.27611289999999999</v>
      </c>
      <c r="H634" s="21">
        <v>-0.2189199</v>
      </c>
    </row>
    <row r="635" spans="1:8" x14ac:dyDescent="0.15">
      <c r="A635" s="21">
        <v>1.2363280000000001E-2</v>
      </c>
      <c r="B635" s="21">
        <f t="shared" si="18"/>
        <v>-0.2387273</v>
      </c>
      <c r="D635">
        <f t="shared" si="19"/>
        <v>-94.869685534591198</v>
      </c>
      <c r="G635" s="21">
        <v>0.3016856</v>
      </c>
      <c r="H635" s="21">
        <v>-0.2387273</v>
      </c>
    </row>
    <row r="636" spans="1:8" x14ac:dyDescent="0.15">
      <c r="A636" s="21">
        <v>1.2382809999999999E-2</v>
      </c>
      <c r="B636" s="21">
        <f t="shared" si="18"/>
        <v>-0.24987210000000001</v>
      </c>
      <c r="D636">
        <f t="shared" si="19"/>
        <v>-99.404025157232709</v>
      </c>
      <c r="G636" s="21">
        <v>0.31610480000000002</v>
      </c>
      <c r="H636" s="21">
        <v>-0.24987210000000001</v>
      </c>
    </row>
    <row r="637" spans="1:8" x14ac:dyDescent="0.15">
      <c r="A637" s="21">
        <v>1.240234E-2</v>
      </c>
      <c r="B637" s="21">
        <f t="shared" si="18"/>
        <v>-0.2524749</v>
      </c>
      <c r="D637">
        <f t="shared" si="19"/>
        <v>-100.41062893081759</v>
      </c>
      <c r="G637" s="21">
        <v>0.31930579999999997</v>
      </c>
      <c r="H637" s="21">
        <v>-0.2524749</v>
      </c>
    </row>
    <row r="638" spans="1:8" x14ac:dyDescent="0.15">
      <c r="A638" s="21">
        <v>1.242188E-2</v>
      </c>
      <c r="B638" s="21">
        <f t="shared" si="18"/>
        <v>-0.24665899999999999</v>
      </c>
      <c r="D638">
        <f t="shared" si="19"/>
        <v>-98.160251572327041</v>
      </c>
      <c r="G638" s="21">
        <v>0.31214960000000003</v>
      </c>
      <c r="H638" s="21">
        <v>-0.24665899999999999</v>
      </c>
    </row>
    <row r="639" spans="1:8" x14ac:dyDescent="0.15">
      <c r="A639" s="21">
        <v>1.244141E-2</v>
      </c>
      <c r="B639" s="21">
        <f t="shared" si="18"/>
        <v>-0.23323179999999999</v>
      </c>
      <c r="D639">
        <f t="shared" si="19"/>
        <v>-92.903647798742142</v>
      </c>
      <c r="G639" s="21">
        <v>0.29543360000000002</v>
      </c>
      <c r="H639" s="21">
        <v>-0.23323179999999999</v>
      </c>
    </row>
    <row r="640" spans="1:8" x14ac:dyDescent="0.15">
      <c r="A640" s="21">
        <v>1.246094E-2</v>
      </c>
      <c r="B640" s="21">
        <f t="shared" si="18"/>
        <v>-0.2121478</v>
      </c>
      <c r="D640">
        <f t="shared" si="19"/>
        <v>-84.406289308176085</v>
      </c>
      <c r="G640" s="21">
        <v>0.26841199999999998</v>
      </c>
      <c r="H640" s="21">
        <v>-0.2121478</v>
      </c>
    </row>
    <row r="641" spans="1:8" x14ac:dyDescent="0.15">
      <c r="A641" s="21">
        <v>1.248047E-2</v>
      </c>
      <c r="B641" s="21">
        <f t="shared" si="18"/>
        <v>-0.18284410000000001</v>
      </c>
      <c r="D641">
        <f t="shared" si="19"/>
        <v>-72.670597484276726</v>
      </c>
      <c r="G641" s="21">
        <v>0.23109250000000001</v>
      </c>
      <c r="H641" s="21">
        <v>-0.18284410000000001</v>
      </c>
    </row>
    <row r="642" spans="1:8" x14ac:dyDescent="0.15">
      <c r="A642" s="21">
        <v>1.2500000000000001E-2</v>
      </c>
      <c r="B642" s="21">
        <f t="shared" ref="B642:B705" si="20">H642</f>
        <v>-0.14775379999999999</v>
      </c>
      <c r="D642">
        <f t="shared" ref="D642:D705" si="21">G642*-1000/3.18</f>
        <v>-58.70839622641509</v>
      </c>
      <c r="G642" s="21">
        <v>0.18669269999999999</v>
      </c>
      <c r="H642" s="21">
        <v>-0.14775379999999999</v>
      </c>
    </row>
    <row r="643" spans="1:8" x14ac:dyDescent="0.15">
      <c r="A643" s="21">
        <v>1.2519529999999999E-2</v>
      </c>
      <c r="B643" s="21">
        <f t="shared" si="20"/>
        <v>-0.1079937</v>
      </c>
      <c r="D643">
        <f t="shared" si="21"/>
        <v>-42.768396226415092</v>
      </c>
      <c r="G643" s="21">
        <v>0.1360035</v>
      </c>
      <c r="H643" s="21">
        <v>-0.1079937</v>
      </c>
    </row>
    <row r="644" spans="1:8" x14ac:dyDescent="0.15">
      <c r="A644" s="21">
        <v>1.2539059999999999E-2</v>
      </c>
      <c r="B644" s="21">
        <f t="shared" si="20"/>
        <v>-6.3677300000000006E-2</v>
      </c>
      <c r="D644">
        <f t="shared" si="21"/>
        <v>-24.919537735849055</v>
      </c>
      <c r="G644" s="21">
        <v>7.9244129999999996E-2</v>
      </c>
      <c r="H644" s="21">
        <v>-6.3677300000000006E-2</v>
      </c>
    </row>
    <row r="645" spans="1:8" x14ac:dyDescent="0.15">
      <c r="A645" s="21">
        <v>1.255859E-2</v>
      </c>
      <c r="B645" s="21">
        <f t="shared" si="20"/>
        <v>-1.771464E-2</v>
      </c>
      <c r="D645">
        <f t="shared" si="21"/>
        <v>-6.4974999999999996</v>
      </c>
      <c r="G645" s="21">
        <v>2.0662050000000001E-2</v>
      </c>
      <c r="H645" s="21">
        <v>-1.771464E-2</v>
      </c>
    </row>
    <row r="646" spans="1:8" x14ac:dyDescent="0.15">
      <c r="A646" s="21">
        <v>1.257813E-2</v>
      </c>
      <c r="B646" s="21">
        <f t="shared" si="20"/>
        <v>2.87116E-2</v>
      </c>
      <c r="D646">
        <f t="shared" si="21"/>
        <v>12.051122641509433</v>
      </c>
      <c r="G646" s="21">
        <v>-3.832257E-2</v>
      </c>
      <c r="H646" s="21">
        <v>2.87116E-2</v>
      </c>
    </row>
    <row r="647" spans="1:8" x14ac:dyDescent="0.15">
      <c r="A647" s="21">
        <v>1.259766E-2</v>
      </c>
      <c r="B647" s="21">
        <f t="shared" si="20"/>
        <v>7.4804679999999998E-2</v>
      </c>
      <c r="D647">
        <f t="shared" si="21"/>
        <v>30.521301886792454</v>
      </c>
      <c r="G647" s="21">
        <v>-9.7057740000000003E-2</v>
      </c>
      <c r="H647" s="21">
        <v>7.4804679999999998E-2</v>
      </c>
    </row>
    <row r="648" spans="1:8" x14ac:dyDescent="0.15">
      <c r="A648" s="21">
        <v>1.261719E-2</v>
      </c>
      <c r="B648" s="21">
        <f t="shared" si="20"/>
        <v>0.1171388</v>
      </c>
      <c r="D648">
        <f t="shared" si="21"/>
        <v>47.536446540880497</v>
      </c>
      <c r="G648" s="21">
        <v>-0.15116589999999999</v>
      </c>
      <c r="H648" s="21">
        <v>0.1171388</v>
      </c>
    </row>
    <row r="649" spans="1:8" x14ac:dyDescent="0.15">
      <c r="A649" s="21">
        <v>1.2636720000000001E-2</v>
      </c>
      <c r="B649" s="21">
        <f t="shared" si="20"/>
        <v>0.15531710000000001</v>
      </c>
      <c r="D649">
        <f t="shared" si="21"/>
        <v>62.89468553459119</v>
      </c>
      <c r="G649" s="21">
        <v>-0.20000509999999999</v>
      </c>
      <c r="H649" s="21">
        <v>0.15531710000000001</v>
      </c>
    </row>
    <row r="650" spans="1:8" x14ac:dyDescent="0.15">
      <c r="A650" s="21">
        <v>1.2656250000000001E-2</v>
      </c>
      <c r="B650" s="21">
        <f t="shared" si="20"/>
        <v>0.1891197</v>
      </c>
      <c r="D650">
        <f t="shared" si="21"/>
        <v>76.396383647798743</v>
      </c>
      <c r="G650" s="21">
        <v>-0.2429405</v>
      </c>
      <c r="H650" s="21">
        <v>0.1891197</v>
      </c>
    </row>
    <row r="651" spans="1:8" x14ac:dyDescent="0.15">
      <c r="A651" s="21">
        <v>1.2675779999999999E-2</v>
      </c>
      <c r="B651" s="21">
        <f t="shared" si="20"/>
        <v>0.21627350000000001</v>
      </c>
      <c r="D651">
        <f t="shared" si="21"/>
        <v>87.300786163522005</v>
      </c>
      <c r="G651" s="21">
        <v>-0.27761649999999999</v>
      </c>
      <c r="H651" s="21">
        <v>0.21627350000000001</v>
      </c>
    </row>
    <row r="652" spans="1:8" x14ac:dyDescent="0.15">
      <c r="A652" s="21">
        <v>1.269531E-2</v>
      </c>
      <c r="B652" s="21">
        <f t="shared" si="20"/>
        <v>0.2362534</v>
      </c>
      <c r="D652">
        <f t="shared" si="21"/>
        <v>95.39500000000001</v>
      </c>
      <c r="G652" s="21">
        <v>-0.30335610000000002</v>
      </c>
      <c r="H652" s="21">
        <v>0.2362534</v>
      </c>
    </row>
    <row r="653" spans="1:8" x14ac:dyDescent="0.15">
      <c r="A653" s="21">
        <v>1.271484E-2</v>
      </c>
      <c r="B653" s="21">
        <f t="shared" si="20"/>
        <v>0.24770919999999999</v>
      </c>
      <c r="D653">
        <f t="shared" si="21"/>
        <v>99.974748427672964</v>
      </c>
      <c r="G653" s="21">
        <v>-0.31791970000000003</v>
      </c>
      <c r="H653" s="21">
        <v>0.24770919999999999</v>
      </c>
    </row>
    <row r="654" spans="1:8" x14ac:dyDescent="0.15">
      <c r="A654" s="21">
        <v>1.273438E-2</v>
      </c>
      <c r="B654" s="21">
        <f t="shared" si="20"/>
        <v>0.25096350000000001</v>
      </c>
      <c r="D654">
        <f t="shared" si="21"/>
        <v>101.35465408805031</v>
      </c>
      <c r="G654" s="21">
        <v>-0.32230779999999998</v>
      </c>
      <c r="H654" s="21">
        <v>0.25096350000000001</v>
      </c>
    </row>
    <row r="655" spans="1:8" x14ac:dyDescent="0.15">
      <c r="A655" s="21">
        <v>1.275391E-2</v>
      </c>
      <c r="B655" s="21">
        <f t="shared" si="20"/>
        <v>0.246833</v>
      </c>
      <c r="D655">
        <f t="shared" si="21"/>
        <v>99.724245283018845</v>
      </c>
      <c r="G655" s="21">
        <v>-0.31712309999999999</v>
      </c>
      <c r="H655" s="21">
        <v>0.246833</v>
      </c>
    </row>
    <row r="656" spans="1:8" x14ac:dyDescent="0.15">
      <c r="A656" s="21">
        <v>1.277344E-2</v>
      </c>
      <c r="B656" s="21">
        <f t="shared" si="20"/>
        <v>0.23359640000000001</v>
      </c>
      <c r="D656">
        <f t="shared" si="21"/>
        <v>94.35849056603773</v>
      </c>
      <c r="G656" s="21">
        <v>-0.30005999999999999</v>
      </c>
      <c r="H656" s="21">
        <v>0.23359640000000001</v>
      </c>
    </row>
    <row r="657" spans="1:8" x14ac:dyDescent="0.15">
      <c r="A657" s="21">
        <v>1.2792970000000001E-2</v>
      </c>
      <c r="B657" s="21">
        <f t="shared" si="20"/>
        <v>0.21231269999999999</v>
      </c>
      <c r="D657">
        <f t="shared" si="21"/>
        <v>85.899811320754722</v>
      </c>
      <c r="G657" s="21">
        <v>-0.2731614</v>
      </c>
      <c r="H657" s="21">
        <v>0.21231269999999999</v>
      </c>
    </row>
    <row r="658" spans="1:8" x14ac:dyDescent="0.15">
      <c r="A658" s="21">
        <v>1.2812499999999999E-2</v>
      </c>
      <c r="B658" s="21">
        <f t="shared" si="20"/>
        <v>0.1838814</v>
      </c>
      <c r="D658">
        <f t="shared" si="21"/>
        <v>74.565943396226416</v>
      </c>
      <c r="G658" s="21">
        <v>-0.23711969999999999</v>
      </c>
      <c r="H658" s="21">
        <v>0.1838814</v>
      </c>
    </row>
    <row r="659" spans="1:8" x14ac:dyDescent="0.15">
      <c r="A659" s="21">
        <v>1.2832029999999999E-2</v>
      </c>
      <c r="B659" s="21">
        <f t="shared" si="20"/>
        <v>0.14860119999999999</v>
      </c>
      <c r="D659">
        <f t="shared" si="21"/>
        <v>60.429968553459119</v>
      </c>
      <c r="G659" s="21">
        <v>-0.19216730000000001</v>
      </c>
      <c r="H659" s="21">
        <v>0.14860119999999999</v>
      </c>
    </row>
    <row r="660" spans="1:8" x14ac:dyDescent="0.15">
      <c r="A660" s="21">
        <v>1.285156E-2</v>
      </c>
      <c r="B660" s="21">
        <f t="shared" si="20"/>
        <v>0.1088677</v>
      </c>
      <c r="D660">
        <f t="shared" si="21"/>
        <v>44.541226415094336</v>
      </c>
      <c r="G660" s="21">
        <v>-0.14164109999999999</v>
      </c>
      <c r="H660" s="21">
        <v>0.1088677</v>
      </c>
    </row>
    <row r="661" spans="1:8" x14ac:dyDescent="0.15">
      <c r="A661" s="21">
        <v>1.287109E-2</v>
      </c>
      <c r="B661" s="21">
        <f t="shared" si="20"/>
        <v>6.5384880000000006E-2</v>
      </c>
      <c r="D661">
        <f t="shared" si="21"/>
        <v>27.171525157232704</v>
      </c>
      <c r="G661" s="21">
        <v>-8.6405449999999995E-2</v>
      </c>
      <c r="H661" s="21">
        <v>6.5384880000000006E-2</v>
      </c>
    </row>
    <row r="662" spans="1:8" x14ac:dyDescent="0.15">
      <c r="A662" s="21">
        <v>1.289063E-2</v>
      </c>
      <c r="B662" s="21">
        <f t="shared" si="20"/>
        <v>1.9242479999999999E-2</v>
      </c>
      <c r="D662">
        <f t="shared" si="21"/>
        <v>8.7340125786163512</v>
      </c>
      <c r="G662" s="21">
        <v>-2.7774159999999999E-2</v>
      </c>
      <c r="H662" s="21">
        <v>1.9242479999999999E-2</v>
      </c>
    </row>
    <row r="663" spans="1:8" x14ac:dyDescent="0.15">
      <c r="A663" s="21">
        <v>1.291016E-2</v>
      </c>
      <c r="B663" s="21">
        <f t="shared" si="20"/>
        <v>-2.7436350000000002E-2</v>
      </c>
      <c r="D663">
        <f t="shared" si="21"/>
        <v>-10.000292452830188</v>
      </c>
      <c r="G663" s="21">
        <v>3.1800929999999998E-2</v>
      </c>
      <c r="H663" s="21">
        <v>-2.7436350000000002E-2</v>
      </c>
    </row>
    <row r="664" spans="1:8" x14ac:dyDescent="0.15">
      <c r="A664" s="21">
        <v>1.2929690000000001E-2</v>
      </c>
      <c r="B664" s="21">
        <f t="shared" si="20"/>
        <v>-7.3278350000000006E-2</v>
      </c>
      <c r="D664">
        <f t="shared" si="21"/>
        <v>-28.423000000000002</v>
      </c>
      <c r="G664" s="21">
        <v>9.0385140000000003E-2</v>
      </c>
      <c r="H664" s="21">
        <v>-7.3278350000000006E-2</v>
      </c>
    </row>
    <row r="665" spans="1:8" x14ac:dyDescent="0.15">
      <c r="A665" s="21">
        <v>1.2949219999999999E-2</v>
      </c>
      <c r="B665" s="21">
        <f t="shared" si="20"/>
        <v>-0.1157994</v>
      </c>
      <c r="D665">
        <f t="shared" si="21"/>
        <v>-45.437924528301885</v>
      </c>
      <c r="G665" s="21">
        <v>0.1444926</v>
      </c>
      <c r="H665" s="21">
        <v>-0.1157994</v>
      </c>
    </row>
    <row r="666" spans="1:8" x14ac:dyDescent="0.15">
      <c r="A666" s="21">
        <v>1.2968749999999999E-2</v>
      </c>
      <c r="B666" s="21">
        <f t="shared" si="20"/>
        <v>-0.1542366</v>
      </c>
      <c r="D666">
        <f t="shared" si="21"/>
        <v>-60.900345911949685</v>
      </c>
      <c r="G666" s="21">
        <v>0.1936631</v>
      </c>
      <c r="H666" s="21">
        <v>-0.1542366</v>
      </c>
    </row>
    <row r="667" spans="1:8" x14ac:dyDescent="0.15">
      <c r="A667" s="21">
        <v>1.298828E-2</v>
      </c>
      <c r="B667" s="21">
        <f t="shared" si="20"/>
        <v>-0.18871969999999999</v>
      </c>
      <c r="D667">
        <f t="shared" si="21"/>
        <v>-74.799968553459109</v>
      </c>
      <c r="G667" s="21">
        <v>0.23786389999999999</v>
      </c>
      <c r="H667" s="21">
        <v>-0.18871969999999999</v>
      </c>
    </row>
    <row r="668" spans="1:8" x14ac:dyDescent="0.15">
      <c r="A668" s="21">
        <v>1.300781E-2</v>
      </c>
      <c r="B668" s="21">
        <f t="shared" si="20"/>
        <v>-0.216255</v>
      </c>
      <c r="D668">
        <f t="shared" si="21"/>
        <v>-85.795566037735853</v>
      </c>
      <c r="G668" s="21">
        <v>0.27282990000000001</v>
      </c>
      <c r="H668" s="21">
        <v>-0.216255</v>
      </c>
    </row>
    <row r="669" spans="1:8" x14ac:dyDescent="0.15">
      <c r="A669" s="21">
        <v>1.302734E-2</v>
      </c>
      <c r="B669" s="21">
        <f t="shared" si="20"/>
        <v>-0.23614460000000001</v>
      </c>
      <c r="D669">
        <f t="shared" si="21"/>
        <v>-93.849842767295598</v>
      </c>
      <c r="G669" s="21">
        <v>0.2984425</v>
      </c>
      <c r="H669" s="21">
        <v>-0.23614460000000001</v>
      </c>
    </row>
    <row r="670" spans="1:8" x14ac:dyDescent="0.15">
      <c r="A670" s="21">
        <v>1.304687E-2</v>
      </c>
      <c r="B670" s="21">
        <f t="shared" si="20"/>
        <v>-0.2489383</v>
      </c>
      <c r="D670">
        <f t="shared" si="21"/>
        <v>-99.045911949685532</v>
      </c>
      <c r="G670" s="21">
        <v>0.31496600000000002</v>
      </c>
      <c r="H670" s="21">
        <v>-0.2489383</v>
      </c>
    </row>
    <row r="671" spans="1:8" x14ac:dyDescent="0.15">
      <c r="A671" s="21">
        <v>1.3066410000000001E-2</v>
      </c>
      <c r="B671" s="21">
        <f t="shared" si="20"/>
        <v>-0.25257350000000001</v>
      </c>
      <c r="D671">
        <f t="shared" si="21"/>
        <v>-100.48050314465407</v>
      </c>
      <c r="G671" s="21">
        <v>0.31952799999999998</v>
      </c>
      <c r="H671" s="21">
        <v>-0.25257350000000001</v>
      </c>
    </row>
    <row r="672" spans="1:8" x14ac:dyDescent="0.15">
      <c r="A672" s="21">
        <v>1.3085940000000001E-2</v>
      </c>
      <c r="B672" s="21">
        <f t="shared" si="20"/>
        <v>-0.2480813</v>
      </c>
      <c r="D672">
        <f t="shared" si="21"/>
        <v>-98.756446540880503</v>
      </c>
      <c r="G672" s="21">
        <v>0.31404549999999998</v>
      </c>
      <c r="H672" s="21">
        <v>-0.2480813</v>
      </c>
    </row>
    <row r="673" spans="1:8" x14ac:dyDescent="0.15">
      <c r="A673" s="21">
        <v>1.3105469999999999E-2</v>
      </c>
      <c r="B673" s="21">
        <f t="shared" si="20"/>
        <v>-0.23610300000000001</v>
      </c>
      <c r="D673">
        <f t="shared" si="21"/>
        <v>-93.956415094339604</v>
      </c>
      <c r="G673" s="21">
        <v>0.29878139999999997</v>
      </c>
      <c r="H673" s="21">
        <v>-0.23610300000000001</v>
      </c>
    </row>
    <row r="674" spans="1:8" x14ac:dyDescent="0.15">
      <c r="A674" s="21">
        <v>1.3125E-2</v>
      </c>
      <c r="B674" s="21">
        <f t="shared" si="20"/>
        <v>-0.21534619999999999</v>
      </c>
      <c r="D674">
        <f t="shared" si="21"/>
        <v>-85.682830188679233</v>
      </c>
      <c r="G674" s="21">
        <v>0.27247139999999997</v>
      </c>
      <c r="H674" s="21">
        <v>-0.21534619999999999</v>
      </c>
    </row>
    <row r="675" spans="1:8" x14ac:dyDescent="0.15">
      <c r="A675" s="21">
        <v>1.314453E-2</v>
      </c>
      <c r="B675" s="21">
        <f t="shared" si="20"/>
        <v>-0.18742130000000001</v>
      </c>
      <c r="D675">
        <f t="shared" si="21"/>
        <v>-74.566949685534581</v>
      </c>
      <c r="G675" s="21">
        <v>0.2371229</v>
      </c>
      <c r="H675" s="21">
        <v>-0.18742130000000001</v>
      </c>
    </row>
    <row r="676" spans="1:8" x14ac:dyDescent="0.15">
      <c r="A676" s="21">
        <v>1.316406E-2</v>
      </c>
      <c r="B676" s="21">
        <f t="shared" si="20"/>
        <v>-0.1528832</v>
      </c>
      <c r="D676">
        <f t="shared" si="21"/>
        <v>-60.689056603773579</v>
      </c>
      <c r="G676" s="21">
        <v>0.1929912</v>
      </c>
      <c r="H676" s="21">
        <v>-0.1528832</v>
      </c>
    </row>
    <row r="677" spans="1:8" x14ac:dyDescent="0.15">
      <c r="A677" s="21">
        <v>1.318359E-2</v>
      </c>
      <c r="B677" s="21">
        <f t="shared" si="20"/>
        <v>-0.11296929999999999</v>
      </c>
      <c r="D677">
        <f t="shared" si="21"/>
        <v>-44.763805031446545</v>
      </c>
      <c r="G677" s="21">
        <v>0.1423489</v>
      </c>
      <c r="H677" s="21">
        <v>-0.11296929999999999</v>
      </c>
    </row>
    <row r="678" spans="1:8" x14ac:dyDescent="0.15">
      <c r="A678" s="21">
        <v>1.320312E-2</v>
      </c>
      <c r="B678" s="21">
        <f t="shared" si="20"/>
        <v>-7.0149690000000001E-2</v>
      </c>
      <c r="D678">
        <f t="shared" si="21"/>
        <v>-27.601635220125786</v>
      </c>
      <c r="G678" s="21">
        <v>8.7773199999999996E-2</v>
      </c>
      <c r="H678" s="21">
        <v>-7.0149690000000001E-2</v>
      </c>
    </row>
    <row r="679" spans="1:8" x14ac:dyDescent="0.15">
      <c r="A679" s="21">
        <v>1.3222660000000001E-2</v>
      </c>
      <c r="B679" s="21">
        <f t="shared" si="20"/>
        <v>-2.4214590000000001E-2</v>
      </c>
      <c r="D679">
        <f t="shared" si="21"/>
        <v>-9.0890597484276725</v>
      </c>
      <c r="G679" s="21">
        <v>2.8903209999999999E-2</v>
      </c>
      <c r="H679" s="21">
        <v>-2.4214590000000001E-2</v>
      </c>
    </row>
    <row r="680" spans="1:8" x14ac:dyDescent="0.15">
      <c r="A680" s="21">
        <v>1.3242189999999999E-2</v>
      </c>
      <c r="B680" s="21">
        <f t="shared" si="20"/>
        <v>2.2906139999999998E-2</v>
      </c>
      <c r="D680">
        <f t="shared" si="21"/>
        <v>9.7193867924528288</v>
      </c>
      <c r="G680" s="21">
        <v>-3.0907649999999998E-2</v>
      </c>
      <c r="H680" s="21">
        <v>2.2906139999999998E-2</v>
      </c>
    </row>
    <row r="681" spans="1:8" x14ac:dyDescent="0.15">
      <c r="A681" s="21">
        <v>1.3261719999999999E-2</v>
      </c>
      <c r="B681" s="21">
        <f t="shared" si="20"/>
        <v>6.8556690000000003E-2</v>
      </c>
      <c r="D681">
        <f t="shared" si="21"/>
        <v>27.934251572327039</v>
      </c>
      <c r="G681" s="21">
        <v>-8.8830919999999994E-2</v>
      </c>
      <c r="H681" s="21">
        <v>6.8556690000000003E-2</v>
      </c>
    </row>
    <row r="682" spans="1:8" x14ac:dyDescent="0.15">
      <c r="A682" s="21">
        <v>1.328125E-2</v>
      </c>
      <c r="B682" s="21">
        <f t="shared" si="20"/>
        <v>0.1120621</v>
      </c>
      <c r="D682">
        <f t="shared" si="21"/>
        <v>45.45716981132076</v>
      </c>
      <c r="G682" s="21">
        <v>-0.14455380000000001</v>
      </c>
      <c r="H682" s="21">
        <v>0.1120621</v>
      </c>
    </row>
    <row r="683" spans="1:8" x14ac:dyDescent="0.15">
      <c r="A683" s="21">
        <v>1.330078E-2</v>
      </c>
      <c r="B683" s="21">
        <f t="shared" si="20"/>
        <v>0.15112419999999999</v>
      </c>
      <c r="D683">
        <f t="shared" si="21"/>
        <v>61.165974842767291</v>
      </c>
      <c r="G683" s="21">
        <v>-0.19450780000000001</v>
      </c>
      <c r="H683" s="21">
        <v>0.15112419999999999</v>
      </c>
    </row>
    <row r="684" spans="1:8" x14ac:dyDescent="0.15">
      <c r="A684" s="21">
        <v>1.332031E-2</v>
      </c>
      <c r="B684" s="21">
        <f t="shared" si="20"/>
        <v>0.18466679999999999</v>
      </c>
      <c r="D684">
        <f t="shared" si="21"/>
        <v>74.624308176100627</v>
      </c>
      <c r="G684" s="21">
        <v>-0.2373053</v>
      </c>
      <c r="H684" s="21">
        <v>0.18466679999999999</v>
      </c>
    </row>
    <row r="685" spans="1:8" x14ac:dyDescent="0.15">
      <c r="A685" s="21">
        <v>1.333984E-2</v>
      </c>
      <c r="B685" s="21">
        <f t="shared" si="20"/>
        <v>0.21277989999999999</v>
      </c>
      <c r="D685">
        <f t="shared" si="21"/>
        <v>85.958396226415104</v>
      </c>
      <c r="G685" s="21">
        <v>-0.27334770000000003</v>
      </c>
      <c r="H685" s="21">
        <v>0.21277989999999999</v>
      </c>
    </row>
    <row r="686" spans="1:8" x14ac:dyDescent="0.15">
      <c r="A686" s="21">
        <v>1.3359370000000001E-2</v>
      </c>
      <c r="B686" s="21">
        <f t="shared" si="20"/>
        <v>0.23360610000000001</v>
      </c>
      <c r="D686">
        <f t="shared" si="21"/>
        <v>94.305566037735829</v>
      </c>
      <c r="G686" s="21">
        <v>-0.29989169999999998</v>
      </c>
      <c r="H686" s="21">
        <v>0.23360610000000001</v>
      </c>
    </row>
    <row r="687" spans="1:8" x14ac:dyDescent="0.15">
      <c r="A687" s="21">
        <v>1.3378910000000001E-2</v>
      </c>
      <c r="B687" s="21">
        <f t="shared" si="20"/>
        <v>0.24660499999999999</v>
      </c>
      <c r="D687">
        <f t="shared" si="21"/>
        <v>99.577924528301878</v>
      </c>
      <c r="G687" s="21">
        <v>-0.31665779999999999</v>
      </c>
      <c r="H687" s="21">
        <v>0.24660499999999999</v>
      </c>
    </row>
    <row r="688" spans="1:8" x14ac:dyDescent="0.15">
      <c r="A688" s="21">
        <v>1.3398439999999999E-2</v>
      </c>
      <c r="B688" s="21">
        <f t="shared" si="20"/>
        <v>0.25157800000000002</v>
      </c>
      <c r="D688">
        <f t="shared" si="21"/>
        <v>101.61930817610062</v>
      </c>
      <c r="G688" s="21">
        <v>-0.32314939999999998</v>
      </c>
      <c r="H688" s="21">
        <v>0.25157800000000002</v>
      </c>
    </row>
    <row r="689" spans="1:8" x14ac:dyDescent="0.15">
      <c r="A689" s="21">
        <v>1.341797E-2</v>
      </c>
      <c r="B689" s="21">
        <f t="shared" si="20"/>
        <v>0.24738679999999999</v>
      </c>
      <c r="D689">
        <f t="shared" si="21"/>
        <v>99.893396226415092</v>
      </c>
      <c r="G689" s="21">
        <v>-0.31766100000000003</v>
      </c>
      <c r="H689" s="21">
        <v>0.24738679999999999</v>
      </c>
    </row>
    <row r="690" spans="1:8" x14ac:dyDescent="0.15">
      <c r="A690" s="21">
        <v>1.34375E-2</v>
      </c>
      <c r="B690" s="21">
        <f t="shared" si="20"/>
        <v>0.23520730000000001</v>
      </c>
      <c r="D690">
        <f t="shared" si="21"/>
        <v>95.120031446540892</v>
      </c>
      <c r="G690" s="21">
        <v>-0.30248170000000002</v>
      </c>
      <c r="H690" s="21">
        <v>0.23520730000000001</v>
      </c>
    </row>
    <row r="691" spans="1:8" x14ac:dyDescent="0.15">
      <c r="A691" s="21">
        <v>1.345703E-2</v>
      </c>
      <c r="B691" s="21">
        <f t="shared" si="20"/>
        <v>0.21530340000000001</v>
      </c>
      <c r="D691">
        <f t="shared" si="21"/>
        <v>87.157578616352183</v>
      </c>
      <c r="G691" s="21">
        <v>-0.27716109999999999</v>
      </c>
      <c r="H691" s="21">
        <v>0.21530340000000001</v>
      </c>
    </row>
    <row r="692" spans="1:8" x14ac:dyDescent="0.15">
      <c r="A692" s="21">
        <v>1.347656E-2</v>
      </c>
      <c r="B692" s="21">
        <f t="shared" si="20"/>
        <v>0.18739610000000001</v>
      </c>
      <c r="D692">
        <f t="shared" si="21"/>
        <v>75.944779874213836</v>
      </c>
      <c r="G692" s="21">
        <v>-0.24150440000000001</v>
      </c>
      <c r="H692" s="21">
        <v>0.18739610000000001</v>
      </c>
    </row>
    <row r="693" spans="1:8" x14ac:dyDescent="0.15">
      <c r="A693" s="21">
        <v>1.3496090000000001E-2</v>
      </c>
      <c r="B693" s="21">
        <f t="shared" si="20"/>
        <v>0.153836</v>
      </c>
      <c r="D693">
        <f t="shared" si="21"/>
        <v>62.598679245283023</v>
      </c>
      <c r="G693" s="21">
        <v>-0.19906380000000001</v>
      </c>
      <c r="H693" s="21">
        <v>0.153836</v>
      </c>
    </row>
    <row r="694" spans="1:8" x14ac:dyDescent="0.15">
      <c r="A694" s="21">
        <v>1.3515620000000001E-2</v>
      </c>
      <c r="B694" s="21">
        <f t="shared" si="20"/>
        <v>0.11474380000000001</v>
      </c>
      <c r="D694">
        <f t="shared" si="21"/>
        <v>46.904591194968553</v>
      </c>
      <c r="G694" s="21">
        <v>-0.1491566</v>
      </c>
      <c r="H694" s="21">
        <v>0.11474380000000001</v>
      </c>
    </row>
    <row r="695" spans="1:8" x14ac:dyDescent="0.15">
      <c r="A695" s="21">
        <v>1.3535159999999999E-2</v>
      </c>
      <c r="B695" s="21">
        <f t="shared" si="20"/>
        <v>7.089811E-2</v>
      </c>
      <c r="D695">
        <f t="shared" si="21"/>
        <v>29.373811320754715</v>
      </c>
      <c r="G695" s="21">
        <v>-9.3408720000000001E-2</v>
      </c>
      <c r="H695" s="21">
        <v>7.089811E-2</v>
      </c>
    </row>
    <row r="696" spans="1:8" x14ac:dyDescent="0.15">
      <c r="A696" s="21">
        <v>1.3554689999999999E-2</v>
      </c>
      <c r="B696" s="21">
        <f t="shared" si="20"/>
        <v>2.5468310000000001E-2</v>
      </c>
      <c r="D696">
        <f t="shared" si="21"/>
        <v>11.233820754716982</v>
      </c>
      <c r="G696" s="21">
        <v>-3.572355E-2</v>
      </c>
      <c r="H696" s="21">
        <v>2.5468310000000001E-2</v>
      </c>
    </row>
    <row r="697" spans="1:8" x14ac:dyDescent="0.15">
      <c r="A697" s="21">
        <v>1.357422E-2</v>
      </c>
      <c r="B697" s="21">
        <f t="shared" si="20"/>
        <v>-2.1270549999999999E-2</v>
      </c>
      <c r="D697">
        <f t="shared" si="21"/>
        <v>-7.5775849056603759</v>
      </c>
      <c r="G697" s="21">
        <v>2.4096719999999999E-2</v>
      </c>
      <c r="H697" s="21">
        <v>-2.1270549999999999E-2</v>
      </c>
    </row>
    <row r="698" spans="1:8" x14ac:dyDescent="0.15">
      <c r="A698" s="21">
        <v>1.359375E-2</v>
      </c>
      <c r="B698" s="21">
        <f t="shared" si="20"/>
        <v>-6.7407439999999999E-2</v>
      </c>
      <c r="D698">
        <f t="shared" si="21"/>
        <v>-26.009952830188674</v>
      </c>
      <c r="G698" s="21">
        <v>8.2711649999999998E-2</v>
      </c>
      <c r="H698" s="21">
        <v>-6.7407439999999999E-2</v>
      </c>
    </row>
    <row r="699" spans="1:8" x14ac:dyDescent="0.15">
      <c r="A699" s="21">
        <v>1.361328E-2</v>
      </c>
      <c r="B699" s="21">
        <f t="shared" si="20"/>
        <v>-0.11020389999999999</v>
      </c>
      <c r="D699">
        <f t="shared" si="21"/>
        <v>-43.0787106918239</v>
      </c>
      <c r="G699" s="21">
        <v>0.13699030000000001</v>
      </c>
      <c r="H699" s="21">
        <v>-0.11020389999999999</v>
      </c>
    </row>
    <row r="700" spans="1:8" x14ac:dyDescent="0.15">
      <c r="A700" s="21">
        <v>1.363281E-2</v>
      </c>
      <c r="B700" s="21">
        <f t="shared" si="20"/>
        <v>-0.1496934</v>
      </c>
      <c r="D700">
        <f t="shared" si="21"/>
        <v>-58.996949685534588</v>
      </c>
      <c r="G700" s="21">
        <v>0.18761030000000001</v>
      </c>
      <c r="H700" s="21">
        <v>-0.1496934</v>
      </c>
    </row>
    <row r="701" spans="1:8" x14ac:dyDescent="0.15">
      <c r="A701" s="21">
        <v>1.3652340000000001E-2</v>
      </c>
      <c r="B701" s="21">
        <f t="shared" si="20"/>
        <v>-0.18417720000000001</v>
      </c>
      <c r="D701">
        <f t="shared" si="21"/>
        <v>-72.898050314465408</v>
      </c>
      <c r="G701" s="21">
        <v>0.23181579999999999</v>
      </c>
      <c r="H701" s="21">
        <v>-0.18417720000000001</v>
      </c>
    </row>
    <row r="702" spans="1:8" x14ac:dyDescent="0.15">
      <c r="A702" s="21">
        <v>1.3671880000000001E-2</v>
      </c>
      <c r="B702" s="21">
        <f t="shared" si="20"/>
        <v>-0.21249979999999999</v>
      </c>
      <c r="D702">
        <f t="shared" si="21"/>
        <v>-84.284213836477988</v>
      </c>
      <c r="G702" s="21">
        <v>0.26802379999999998</v>
      </c>
      <c r="H702" s="21">
        <v>-0.21249979999999999</v>
      </c>
    </row>
    <row r="703" spans="1:8" x14ac:dyDescent="0.15">
      <c r="A703" s="21">
        <v>1.3691409999999999E-2</v>
      </c>
      <c r="B703" s="21">
        <f t="shared" si="20"/>
        <v>-0.2343934</v>
      </c>
      <c r="D703">
        <f t="shared" si="21"/>
        <v>-93.100503144654084</v>
      </c>
      <c r="G703" s="21">
        <v>0.29605959999999998</v>
      </c>
      <c r="H703" s="21">
        <v>-0.2343934</v>
      </c>
    </row>
    <row r="704" spans="1:8" x14ac:dyDescent="0.15">
      <c r="A704" s="21">
        <v>1.371094E-2</v>
      </c>
      <c r="B704" s="21">
        <f t="shared" si="20"/>
        <v>-0.24766170000000001</v>
      </c>
      <c r="D704">
        <f t="shared" si="21"/>
        <v>-98.411194968553446</v>
      </c>
      <c r="G704" s="21">
        <v>0.31294759999999999</v>
      </c>
      <c r="H704" s="21">
        <v>-0.24766170000000001</v>
      </c>
    </row>
    <row r="705" spans="1:8" x14ac:dyDescent="0.15">
      <c r="A705" s="21">
        <v>1.373047E-2</v>
      </c>
      <c r="B705" s="21">
        <f t="shared" si="20"/>
        <v>-0.25240319999999999</v>
      </c>
      <c r="D705">
        <f t="shared" si="21"/>
        <v>-100.38650943396225</v>
      </c>
      <c r="G705" s="21">
        <v>0.31922909999999999</v>
      </c>
      <c r="H705" s="21">
        <v>-0.25240319999999999</v>
      </c>
    </row>
    <row r="706" spans="1:8" x14ac:dyDescent="0.15">
      <c r="A706" s="21">
        <v>1.375E-2</v>
      </c>
      <c r="B706" s="21">
        <f t="shared" ref="B706:B769" si="22">H706</f>
        <v>-0.24920339999999999</v>
      </c>
      <c r="D706">
        <f t="shared" ref="D706:D769" si="23">G706*-1000/3.18</f>
        <v>-99.195691823899367</v>
      </c>
      <c r="G706" s="21">
        <v>0.31544230000000001</v>
      </c>
      <c r="H706" s="21">
        <v>-0.24920339999999999</v>
      </c>
    </row>
    <row r="707" spans="1:8" x14ac:dyDescent="0.15">
      <c r="A707" s="21">
        <v>1.376953E-2</v>
      </c>
      <c r="B707" s="21">
        <f t="shared" si="22"/>
        <v>-0.2372862</v>
      </c>
      <c r="D707">
        <f t="shared" si="23"/>
        <v>-94.394119496855339</v>
      </c>
      <c r="G707" s="21">
        <v>0.30017329999999998</v>
      </c>
      <c r="H707" s="21">
        <v>-0.2372862</v>
      </c>
    </row>
    <row r="708" spans="1:8" x14ac:dyDescent="0.15">
      <c r="A708" s="21">
        <v>1.3789060000000001E-2</v>
      </c>
      <c r="B708" s="21">
        <f t="shared" si="22"/>
        <v>-0.21813879999999999</v>
      </c>
      <c r="D708">
        <f t="shared" si="23"/>
        <v>-86.791037735849045</v>
      </c>
      <c r="G708" s="21">
        <v>0.2759955</v>
      </c>
      <c r="H708" s="21">
        <v>-0.21813879999999999</v>
      </c>
    </row>
    <row r="709" spans="1:8" x14ac:dyDescent="0.15">
      <c r="A709" s="21">
        <v>1.3808590000000001E-2</v>
      </c>
      <c r="B709" s="21">
        <f t="shared" si="22"/>
        <v>-0.191833</v>
      </c>
      <c r="D709">
        <f t="shared" si="23"/>
        <v>-76.322641509433964</v>
      </c>
      <c r="G709" s="21">
        <v>0.24270600000000001</v>
      </c>
      <c r="H709" s="21">
        <v>-0.191833</v>
      </c>
    </row>
    <row r="710" spans="1:8" x14ac:dyDescent="0.15">
      <c r="A710" s="21">
        <v>1.3828129999999999E-2</v>
      </c>
      <c r="B710" s="21">
        <f t="shared" si="22"/>
        <v>-0.15782889999999999</v>
      </c>
      <c r="D710">
        <f t="shared" si="23"/>
        <v>-62.6511320754717</v>
      </c>
      <c r="G710" s="21">
        <v>0.19923060000000001</v>
      </c>
      <c r="H710" s="21">
        <v>-0.15782889999999999</v>
      </c>
    </row>
    <row r="711" spans="1:8" x14ac:dyDescent="0.15">
      <c r="A711" s="21">
        <v>1.3847659999999999E-2</v>
      </c>
      <c r="B711" s="21">
        <f t="shared" si="22"/>
        <v>-0.1186741</v>
      </c>
      <c r="D711">
        <f t="shared" si="23"/>
        <v>-46.977641509433951</v>
      </c>
      <c r="G711" s="21">
        <v>0.14938889999999999</v>
      </c>
      <c r="H711" s="21">
        <v>-0.1186741</v>
      </c>
    </row>
    <row r="712" spans="1:8" x14ac:dyDescent="0.15">
      <c r="A712" s="21">
        <v>1.386719E-2</v>
      </c>
      <c r="B712" s="21">
        <f t="shared" si="22"/>
        <v>-7.5653429999999994E-2</v>
      </c>
      <c r="D712">
        <f t="shared" si="23"/>
        <v>-29.751537735849059</v>
      </c>
      <c r="G712" s="21">
        <v>9.4609890000000002E-2</v>
      </c>
      <c r="H712" s="21">
        <v>-7.5653429999999994E-2</v>
      </c>
    </row>
    <row r="713" spans="1:8" x14ac:dyDescent="0.15">
      <c r="A713" s="21">
        <v>1.388672E-2</v>
      </c>
      <c r="B713" s="21">
        <f t="shared" si="22"/>
        <v>-2.997646E-2</v>
      </c>
      <c r="D713">
        <f t="shared" si="23"/>
        <v>-11.379135220125786</v>
      </c>
      <c r="G713" s="21">
        <v>3.618565E-2</v>
      </c>
      <c r="H713" s="21">
        <v>-2.997646E-2</v>
      </c>
    </row>
    <row r="714" spans="1:8" x14ac:dyDescent="0.15">
      <c r="A714" s="21">
        <v>1.390625E-2</v>
      </c>
      <c r="B714" s="21">
        <f t="shared" si="22"/>
        <v>1.6409880000000002E-2</v>
      </c>
      <c r="D714">
        <f t="shared" si="23"/>
        <v>7.2321415094339621</v>
      </c>
      <c r="G714" s="21">
        <v>-2.2998210000000002E-2</v>
      </c>
      <c r="H714" s="21">
        <v>1.6409880000000002E-2</v>
      </c>
    </row>
    <row r="715" spans="1:8" x14ac:dyDescent="0.15">
      <c r="A715" s="21">
        <v>1.392578E-2</v>
      </c>
      <c r="B715" s="21">
        <f t="shared" si="22"/>
        <v>6.2543370000000001E-2</v>
      </c>
      <c r="D715">
        <f t="shared" si="23"/>
        <v>25.673528301886794</v>
      </c>
      <c r="G715" s="21">
        <v>-8.1641820000000004E-2</v>
      </c>
      <c r="H715" s="21">
        <v>6.2543370000000001E-2</v>
      </c>
    </row>
    <row r="716" spans="1:8" x14ac:dyDescent="0.15">
      <c r="A716" s="21">
        <v>1.3945310000000001E-2</v>
      </c>
      <c r="B716" s="21">
        <f t="shared" si="22"/>
        <v>0.10610020000000001</v>
      </c>
      <c r="D716">
        <f t="shared" si="23"/>
        <v>43.130534591194966</v>
      </c>
      <c r="G716" s="21">
        <v>-0.1371551</v>
      </c>
      <c r="H716" s="21">
        <v>0.10610020000000001</v>
      </c>
    </row>
    <row r="717" spans="1:8" x14ac:dyDescent="0.15">
      <c r="A717" s="21">
        <v>1.3964839999999999E-2</v>
      </c>
      <c r="B717" s="21">
        <f t="shared" si="22"/>
        <v>0.14590359999999999</v>
      </c>
      <c r="D717">
        <f t="shared" si="23"/>
        <v>59.137672955974836</v>
      </c>
      <c r="G717" s="21">
        <v>-0.1880578</v>
      </c>
      <c r="H717" s="21">
        <v>0.14590359999999999</v>
      </c>
    </row>
    <row r="718" spans="1:8" x14ac:dyDescent="0.15">
      <c r="A718" s="21">
        <v>1.3984379999999999E-2</v>
      </c>
      <c r="B718" s="21">
        <f t="shared" si="22"/>
        <v>0.1811101</v>
      </c>
      <c r="D718">
        <f t="shared" si="23"/>
        <v>73.276509433962261</v>
      </c>
      <c r="G718" s="21">
        <v>-0.23301930000000001</v>
      </c>
      <c r="H718" s="21">
        <v>0.1811101</v>
      </c>
    </row>
    <row r="719" spans="1:8" x14ac:dyDescent="0.15">
      <c r="A719" s="21">
        <v>1.400391E-2</v>
      </c>
      <c r="B719" s="21">
        <f t="shared" si="22"/>
        <v>0.20954149999999999</v>
      </c>
      <c r="D719">
        <f t="shared" si="23"/>
        <v>84.687515723270437</v>
      </c>
      <c r="G719" s="21">
        <v>-0.2693063</v>
      </c>
      <c r="H719" s="21">
        <v>0.20954149999999999</v>
      </c>
    </row>
    <row r="720" spans="1:8" x14ac:dyDescent="0.15">
      <c r="A720" s="21">
        <v>1.402344E-2</v>
      </c>
      <c r="B720" s="21">
        <f t="shared" si="22"/>
        <v>0.2313462</v>
      </c>
      <c r="D720">
        <f t="shared" si="23"/>
        <v>93.454622641509431</v>
      </c>
      <c r="G720" s="21">
        <v>-0.2971857</v>
      </c>
      <c r="H720" s="21">
        <v>0.2313462</v>
      </c>
    </row>
    <row r="721" spans="1:8" x14ac:dyDescent="0.15">
      <c r="A721" s="21">
        <v>1.404297E-2</v>
      </c>
      <c r="B721" s="21">
        <f t="shared" si="22"/>
        <v>0.24578559999999999</v>
      </c>
      <c r="D721">
        <f t="shared" si="23"/>
        <v>99.25993710691823</v>
      </c>
      <c r="G721" s="21">
        <v>-0.3156466</v>
      </c>
      <c r="H721" s="21">
        <v>0.24578559999999999</v>
      </c>
    </row>
    <row r="722" spans="1:8" x14ac:dyDescent="0.15">
      <c r="A722" s="21">
        <v>1.40625E-2</v>
      </c>
      <c r="B722" s="21">
        <f t="shared" si="22"/>
        <v>0.25116739999999999</v>
      </c>
      <c r="D722">
        <f t="shared" si="23"/>
        <v>101.42855345911948</v>
      </c>
      <c r="G722" s="21">
        <v>-0.32254280000000002</v>
      </c>
      <c r="H722" s="21">
        <v>0.25116739999999999</v>
      </c>
    </row>
    <row r="723" spans="1:8" x14ac:dyDescent="0.15">
      <c r="A723" s="21">
        <v>1.4082030000000001E-2</v>
      </c>
      <c r="B723" s="21">
        <f t="shared" si="22"/>
        <v>0.24843670000000001</v>
      </c>
      <c r="D723">
        <f t="shared" si="23"/>
        <v>100.42088050314466</v>
      </c>
      <c r="G723" s="21">
        <v>-0.31933840000000002</v>
      </c>
      <c r="H723" s="21">
        <v>0.24843670000000001</v>
      </c>
    </row>
    <row r="724" spans="1:8" x14ac:dyDescent="0.15">
      <c r="A724" s="21">
        <v>1.4101560000000001E-2</v>
      </c>
      <c r="B724" s="21">
        <f t="shared" si="22"/>
        <v>0.23747289999999999</v>
      </c>
      <c r="D724">
        <f t="shared" si="23"/>
        <v>96.10116352201257</v>
      </c>
      <c r="G724" s="21">
        <v>-0.30560169999999998</v>
      </c>
      <c r="H724" s="21">
        <v>0.23747289999999999</v>
      </c>
    </row>
    <row r="725" spans="1:8" x14ac:dyDescent="0.15">
      <c r="A725" s="21">
        <v>1.4121089999999999E-2</v>
      </c>
      <c r="B725" s="21">
        <f t="shared" si="22"/>
        <v>0.21803610000000001</v>
      </c>
      <c r="D725">
        <f t="shared" si="23"/>
        <v>88.325534591194966</v>
      </c>
      <c r="G725" s="21">
        <v>-0.28087519999999999</v>
      </c>
      <c r="H725" s="21">
        <v>0.21803610000000001</v>
      </c>
    </row>
    <row r="726" spans="1:8" x14ac:dyDescent="0.15">
      <c r="A726" s="21">
        <v>1.414063E-2</v>
      </c>
      <c r="B726" s="21">
        <f t="shared" si="22"/>
        <v>0.19172239999999999</v>
      </c>
      <c r="D726">
        <f t="shared" si="23"/>
        <v>77.818836477987418</v>
      </c>
      <c r="G726" s="21">
        <v>-0.24746389999999999</v>
      </c>
      <c r="H726" s="21">
        <v>0.19172239999999999</v>
      </c>
    </row>
    <row r="727" spans="1:8" x14ac:dyDescent="0.15">
      <c r="A727" s="21">
        <v>1.416016E-2</v>
      </c>
      <c r="B727" s="21">
        <f t="shared" si="22"/>
        <v>0.15873490000000001</v>
      </c>
      <c r="D727">
        <f t="shared" si="23"/>
        <v>64.585094339622628</v>
      </c>
      <c r="G727" s="21">
        <v>-0.2053806</v>
      </c>
      <c r="H727" s="21">
        <v>0.15873490000000001</v>
      </c>
    </row>
    <row r="728" spans="1:8" x14ac:dyDescent="0.15">
      <c r="A728" s="21">
        <v>1.417969E-2</v>
      </c>
      <c r="B728" s="21">
        <f t="shared" si="22"/>
        <v>0.119884</v>
      </c>
      <c r="D728">
        <f t="shared" si="23"/>
        <v>49.055566037735836</v>
      </c>
      <c r="G728" s="21">
        <v>-0.15599669999999999</v>
      </c>
      <c r="H728" s="21">
        <v>0.119884</v>
      </c>
    </row>
    <row r="729" spans="1:8" x14ac:dyDescent="0.15">
      <c r="A729" s="21">
        <v>1.419922E-2</v>
      </c>
      <c r="B729" s="21">
        <f t="shared" si="22"/>
        <v>7.7045279999999994E-2</v>
      </c>
      <c r="D729">
        <f t="shared" si="23"/>
        <v>31.97578616352201</v>
      </c>
      <c r="G729" s="21">
        <v>-0.101683</v>
      </c>
      <c r="H729" s="21">
        <v>7.7045279999999994E-2</v>
      </c>
    </row>
    <row r="730" spans="1:8" x14ac:dyDescent="0.15">
      <c r="A730" s="21">
        <v>1.421875E-2</v>
      </c>
      <c r="B730" s="21">
        <f t="shared" si="22"/>
        <v>3.109789E-2</v>
      </c>
      <c r="D730">
        <f t="shared" si="23"/>
        <v>13.51025471698113</v>
      </c>
      <c r="G730" s="21">
        <v>-4.2962609999999998E-2</v>
      </c>
      <c r="H730" s="21">
        <v>3.109789E-2</v>
      </c>
    </row>
    <row r="731" spans="1:8" x14ac:dyDescent="0.15">
      <c r="A731" s="21">
        <v>1.4238280000000001E-2</v>
      </c>
      <c r="B731" s="21">
        <f t="shared" si="22"/>
        <v>-1.5690949999999999E-2</v>
      </c>
      <c r="D731">
        <f t="shared" si="23"/>
        <v>-5.2363710691823897</v>
      </c>
      <c r="G731" s="21">
        <v>1.6651659999999999E-2</v>
      </c>
      <c r="H731" s="21">
        <v>-1.5690949999999999E-2</v>
      </c>
    </row>
    <row r="732" spans="1:8" x14ac:dyDescent="0.15">
      <c r="A732" s="21">
        <v>1.4257809999999999E-2</v>
      </c>
      <c r="B732" s="21">
        <f t="shared" si="22"/>
        <v>-6.1269450000000003E-2</v>
      </c>
      <c r="D732">
        <f t="shared" si="23"/>
        <v>-23.44668553459119</v>
      </c>
      <c r="G732" s="21">
        <v>7.4560459999999995E-2</v>
      </c>
      <c r="H732" s="21">
        <v>-6.1269450000000003E-2</v>
      </c>
    </row>
    <row r="733" spans="1:8" x14ac:dyDescent="0.15">
      <c r="A733" s="21">
        <v>1.4277339999999999E-2</v>
      </c>
      <c r="B733" s="21">
        <f t="shared" si="22"/>
        <v>-0.10496560000000001</v>
      </c>
      <c r="D733">
        <f t="shared" si="23"/>
        <v>-41.021100628930817</v>
      </c>
      <c r="G733" s="21">
        <v>0.13044710000000001</v>
      </c>
      <c r="H733" s="21">
        <v>-0.10496560000000001</v>
      </c>
    </row>
    <row r="734" spans="1:8" x14ac:dyDescent="0.15">
      <c r="A734" s="21">
        <v>1.429688E-2</v>
      </c>
      <c r="B734" s="21">
        <f t="shared" si="22"/>
        <v>-0.14486589999999999</v>
      </c>
      <c r="D734">
        <f t="shared" si="23"/>
        <v>-57.049559748427676</v>
      </c>
      <c r="G734" s="21">
        <v>0.18141760000000001</v>
      </c>
      <c r="H734" s="21">
        <v>-0.14486589999999999</v>
      </c>
    </row>
    <row r="735" spans="1:8" x14ac:dyDescent="0.15">
      <c r="A735" s="21">
        <v>1.431641E-2</v>
      </c>
      <c r="B735" s="21">
        <f t="shared" si="22"/>
        <v>-0.17982219999999999</v>
      </c>
      <c r="D735">
        <f t="shared" si="23"/>
        <v>-71.108333333333334</v>
      </c>
      <c r="G735" s="21">
        <v>0.22612450000000001</v>
      </c>
      <c r="H735" s="21">
        <v>-0.17982219999999999</v>
      </c>
    </row>
    <row r="736" spans="1:8" x14ac:dyDescent="0.15">
      <c r="A736" s="21">
        <v>1.433594E-2</v>
      </c>
      <c r="B736" s="21">
        <f t="shared" si="22"/>
        <v>-0.2095651</v>
      </c>
      <c r="D736">
        <f t="shared" si="23"/>
        <v>-83.077201257861631</v>
      </c>
      <c r="G736" s="21">
        <v>0.26418550000000002</v>
      </c>
      <c r="H736" s="21">
        <v>-0.2095651</v>
      </c>
    </row>
    <row r="737" spans="1:8" x14ac:dyDescent="0.15">
      <c r="A737" s="21">
        <v>1.435547E-2</v>
      </c>
      <c r="B737" s="21">
        <f t="shared" si="22"/>
        <v>-0.23209669999999999</v>
      </c>
      <c r="D737">
        <f t="shared" si="23"/>
        <v>-92.096320754716984</v>
      </c>
      <c r="G737" s="21">
        <v>0.29286630000000002</v>
      </c>
      <c r="H737" s="21">
        <v>-0.23209669999999999</v>
      </c>
    </row>
    <row r="738" spans="1:8" x14ac:dyDescent="0.15">
      <c r="A738" s="21">
        <v>1.4375000000000001E-2</v>
      </c>
      <c r="B738" s="21">
        <f t="shared" si="22"/>
        <v>-0.24628</v>
      </c>
      <c r="D738">
        <f t="shared" si="23"/>
        <v>-97.847578616352195</v>
      </c>
      <c r="G738" s="21">
        <v>0.31115530000000002</v>
      </c>
      <c r="H738" s="21">
        <v>-0.24628</v>
      </c>
    </row>
    <row r="739" spans="1:8" x14ac:dyDescent="0.15">
      <c r="A739" s="21">
        <v>1.4394530000000001E-2</v>
      </c>
      <c r="B739" s="21">
        <f t="shared" si="22"/>
        <v>-0.25243510000000002</v>
      </c>
      <c r="D739">
        <f t="shared" si="23"/>
        <v>-100.38959119496855</v>
      </c>
      <c r="G739" s="21">
        <v>0.31923889999999999</v>
      </c>
      <c r="H739" s="21">
        <v>-0.25243510000000002</v>
      </c>
    </row>
    <row r="740" spans="1:8" x14ac:dyDescent="0.15">
      <c r="A740" s="21">
        <v>1.4414059999999999E-2</v>
      </c>
      <c r="B740" s="21">
        <f t="shared" si="22"/>
        <v>-0.25008960000000002</v>
      </c>
      <c r="D740">
        <f t="shared" si="23"/>
        <v>-99.493301886792452</v>
      </c>
      <c r="G740" s="21">
        <v>0.31638870000000002</v>
      </c>
      <c r="H740" s="21">
        <v>-0.25008960000000002</v>
      </c>
    </row>
    <row r="741" spans="1:8" x14ac:dyDescent="0.15">
      <c r="A741" s="21">
        <v>1.443359E-2</v>
      </c>
      <c r="B741" s="21">
        <f t="shared" si="22"/>
        <v>-0.23949899999999999</v>
      </c>
      <c r="D741">
        <f t="shared" si="23"/>
        <v>-95.290723270440239</v>
      </c>
      <c r="G741" s="21">
        <v>0.30302449999999997</v>
      </c>
      <c r="H741" s="21">
        <v>-0.23949899999999999</v>
      </c>
    </row>
    <row r="742" spans="1:8" x14ac:dyDescent="0.15">
      <c r="A742" s="21">
        <v>1.445313E-2</v>
      </c>
      <c r="B742" s="21">
        <f t="shared" si="22"/>
        <v>-0.22127160000000001</v>
      </c>
      <c r="D742">
        <f t="shared" si="23"/>
        <v>-87.989308176100621</v>
      </c>
      <c r="G742" s="21">
        <v>0.279806</v>
      </c>
      <c r="H742" s="21">
        <v>-0.22127160000000001</v>
      </c>
    </row>
    <row r="743" spans="1:8" x14ac:dyDescent="0.15">
      <c r="A743" s="21">
        <v>1.447266E-2</v>
      </c>
      <c r="B743" s="21">
        <f t="shared" si="22"/>
        <v>-0.1955848</v>
      </c>
      <c r="D743">
        <f t="shared" si="23"/>
        <v>-77.715283018867922</v>
      </c>
      <c r="G743" s="21">
        <v>0.24713460000000001</v>
      </c>
      <c r="H743" s="21">
        <v>-0.1955848</v>
      </c>
    </row>
    <row r="744" spans="1:8" x14ac:dyDescent="0.15">
      <c r="A744" s="21">
        <v>1.449219E-2</v>
      </c>
      <c r="B744" s="21">
        <f t="shared" si="22"/>
        <v>-0.1630228</v>
      </c>
      <c r="D744">
        <f t="shared" si="23"/>
        <v>-64.698522012578607</v>
      </c>
      <c r="G744" s="21">
        <v>0.20574129999999999</v>
      </c>
      <c r="H744" s="21">
        <v>-0.1630228</v>
      </c>
    </row>
    <row r="745" spans="1:8" x14ac:dyDescent="0.15">
      <c r="A745" s="21">
        <v>1.4511720000000001E-2</v>
      </c>
      <c r="B745" s="21">
        <f t="shared" si="22"/>
        <v>-0.1241879</v>
      </c>
      <c r="D745">
        <f t="shared" si="23"/>
        <v>-49.167735849056598</v>
      </c>
      <c r="G745" s="21">
        <v>0.1563534</v>
      </c>
      <c r="H745" s="21">
        <v>-0.1241879</v>
      </c>
    </row>
    <row r="746" spans="1:8" x14ac:dyDescent="0.15">
      <c r="A746" s="21">
        <v>1.4531250000000001E-2</v>
      </c>
      <c r="B746" s="21">
        <f t="shared" si="22"/>
        <v>-8.1246659999999998E-2</v>
      </c>
      <c r="D746">
        <f t="shared" si="23"/>
        <v>-32.006069182389936</v>
      </c>
      <c r="G746" s="21">
        <v>0.1017793</v>
      </c>
      <c r="H746" s="21">
        <v>-8.1246659999999998E-2</v>
      </c>
    </row>
    <row r="747" spans="1:8" x14ac:dyDescent="0.15">
      <c r="A747" s="21">
        <v>1.4550779999999999E-2</v>
      </c>
      <c r="B747" s="21">
        <f t="shared" si="22"/>
        <v>-3.6187370000000003E-2</v>
      </c>
      <c r="D747">
        <f t="shared" si="23"/>
        <v>-13.953600628930817</v>
      </c>
      <c r="G747" s="21">
        <v>4.4372450000000001E-2</v>
      </c>
      <c r="H747" s="21">
        <v>-3.6187370000000003E-2</v>
      </c>
    </row>
    <row r="748" spans="1:8" x14ac:dyDescent="0.15">
      <c r="A748" s="21">
        <v>1.457031E-2</v>
      </c>
      <c r="B748" s="21">
        <f t="shared" si="22"/>
        <v>1.040312E-2</v>
      </c>
      <c r="D748">
        <f t="shared" si="23"/>
        <v>4.7560314465408799</v>
      </c>
      <c r="G748" s="21">
        <v>-1.5124179999999999E-2</v>
      </c>
      <c r="H748" s="21">
        <v>1.040312E-2</v>
      </c>
    </row>
    <row r="749" spans="1:8" x14ac:dyDescent="0.15">
      <c r="A749" s="21">
        <v>1.458984E-2</v>
      </c>
      <c r="B749" s="21">
        <f t="shared" si="22"/>
        <v>5.6279460000000003E-2</v>
      </c>
      <c r="D749">
        <f t="shared" si="23"/>
        <v>23.156238993710687</v>
      </c>
      <c r="G749" s="21">
        <v>-7.3636839999999995E-2</v>
      </c>
      <c r="H749" s="21">
        <v>5.6279460000000003E-2</v>
      </c>
    </row>
    <row r="750" spans="1:8" x14ac:dyDescent="0.15">
      <c r="A750" s="21">
        <v>1.460938E-2</v>
      </c>
      <c r="B750" s="21">
        <f t="shared" si="22"/>
        <v>0.10006089999999999</v>
      </c>
      <c r="D750">
        <f t="shared" si="23"/>
        <v>40.693176100628932</v>
      </c>
      <c r="G750" s="21">
        <v>-0.1294043</v>
      </c>
      <c r="H750" s="21">
        <v>0.10006089999999999</v>
      </c>
    </row>
    <row r="751" spans="1:8" x14ac:dyDescent="0.15">
      <c r="A751" s="21">
        <v>1.462891E-2</v>
      </c>
      <c r="B751" s="21">
        <f t="shared" si="22"/>
        <v>0.1411308</v>
      </c>
      <c r="D751">
        <f t="shared" si="23"/>
        <v>57.162515723270431</v>
      </c>
      <c r="G751" s="21">
        <v>-0.18177679999999999</v>
      </c>
      <c r="H751" s="21">
        <v>0.1411308</v>
      </c>
    </row>
    <row r="752" spans="1:8" x14ac:dyDescent="0.15">
      <c r="A752" s="21">
        <v>1.464844E-2</v>
      </c>
      <c r="B752" s="21">
        <f t="shared" si="22"/>
        <v>0.1769048</v>
      </c>
      <c r="D752">
        <f t="shared" si="23"/>
        <v>71.500786163522008</v>
      </c>
      <c r="G752" s="21">
        <v>-0.22737250000000001</v>
      </c>
      <c r="H752" s="21">
        <v>0.1769048</v>
      </c>
    </row>
    <row r="753" spans="1:8" x14ac:dyDescent="0.15">
      <c r="A753" s="21">
        <v>1.4667970000000001E-2</v>
      </c>
      <c r="B753" s="21">
        <f t="shared" si="22"/>
        <v>0.20635229999999999</v>
      </c>
      <c r="D753">
        <f t="shared" si="23"/>
        <v>83.352704402515712</v>
      </c>
      <c r="G753" s="21">
        <v>-0.26506160000000001</v>
      </c>
      <c r="H753" s="21">
        <v>0.20635229999999999</v>
      </c>
    </row>
    <row r="754" spans="1:8" x14ac:dyDescent="0.15">
      <c r="A754" s="21">
        <v>1.4687499999999999E-2</v>
      </c>
      <c r="B754" s="21">
        <f t="shared" si="22"/>
        <v>0.22909379999999999</v>
      </c>
      <c r="D754">
        <f t="shared" si="23"/>
        <v>92.549842767295587</v>
      </c>
      <c r="G754" s="21">
        <v>-0.29430849999999997</v>
      </c>
      <c r="H754" s="21">
        <v>0.22909379999999999</v>
      </c>
    </row>
    <row r="755" spans="1:8" x14ac:dyDescent="0.15">
      <c r="A755" s="21">
        <v>1.4707029999999999E-2</v>
      </c>
      <c r="B755" s="21">
        <f t="shared" si="22"/>
        <v>0.2436509</v>
      </c>
      <c r="D755">
        <f t="shared" si="23"/>
        <v>98.374716981132067</v>
      </c>
      <c r="G755" s="21">
        <v>-0.31283159999999999</v>
      </c>
      <c r="H755" s="21">
        <v>0.2436509</v>
      </c>
    </row>
    <row r="756" spans="1:8" x14ac:dyDescent="0.15">
      <c r="A756" s="21">
        <v>1.472656E-2</v>
      </c>
      <c r="B756" s="21">
        <f t="shared" si="22"/>
        <v>0.25050660000000002</v>
      </c>
      <c r="D756">
        <f t="shared" si="23"/>
        <v>101.21188679245283</v>
      </c>
      <c r="G756" s="21">
        <v>-0.32185380000000002</v>
      </c>
      <c r="H756" s="21">
        <v>0.25050660000000002</v>
      </c>
    </row>
    <row r="757" spans="1:8" x14ac:dyDescent="0.15">
      <c r="A757" s="21">
        <v>1.474609E-2</v>
      </c>
      <c r="B757" s="21">
        <f t="shared" si="22"/>
        <v>0.2495957</v>
      </c>
      <c r="D757">
        <f t="shared" si="23"/>
        <v>100.90801886792453</v>
      </c>
      <c r="G757" s="21">
        <v>-0.32088749999999999</v>
      </c>
      <c r="H757" s="21">
        <v>0.2495957</v>
      </c>
    </row>
    <row r="758" spans="1:8" x14ac:dyDescent="0.15">
      <c r="A758" s="21">
        <v>1.476563E-2</v>
      </c>
      <c r="B758" s="21">
        <f t="shared" si="22"/>
        <v>0.2396442</v>
      </c>
      <c r="D758">
        <f t="shared" si="23"/>
        <v>96.825534591194952</v>
      </c>
      <c r="G758" s="21">
        <v>-0.30790519999999999</v>
      </c>
      <c r="H758" s="21">
        <v>0.2396442</v>
      </c>
    </row>
    <row r="759" spans="1:8" x14ac:dyDescent="0.15">
      <c r="A759" s="21">
        <v>1.478516E-2</v>
      </c>
      <c r="B759" s="21">
        <f t="shared" si="22"/>
        <v>0.2215886</v>
      </c>
      <c r="D759">
        <f t="shared" si="23"/>
        <v>89.677735849056603</v>
      </c>
      <c r="G759" s="21">
        <v>-0.28517520000000002</v>
      </c>
      <c r="H759" s="21">
        <v>0.2215886</v>
      </c>
    </row>
    <row r="760" spans="1:8" x14ac:dyDescent="0.15">
      <c r="A760" s="21">
        <v>1.4804690000000001E-2</v>
      </c>
      <c r="B760" s="21">
        <f t="shared" si="22"/>
        <v>0.1959272</v>
      </c>
      <c r="D760">
        <f t="shared" si="23"/>
        <v>79.440314465408804</v>
      </c>
      <c r="G760" s="21">
        <v>-0.25262020000000002</v>
      </c>
      <c r="H760" s="21">
        <v>0.1959272</v>
      </c>
    </row>
    <row r="761" spans="1:8" x14ac:dyDescent="0.15">
      <c r="A761" s="21">
        <v>1.4824220000000001E-2</v>
      </c>
      <c r="B761" s="21">
        <f t="shared" si="22"/>
        <v>0.1632053</v>
      </c>
      <c r="D761">
        <f t="shared" si="23"/>
        <v>66.324150943396234</v>
      </c>
      <c r="G761" s="21">
        <v>-0.21091080000000001</v>
      </c>
      <c r="H761" s="21">
        <v>0.1632053</v>
      </c>
    </row>
    <row r="762" spans="1:8" x14ac:dyDescent="0.15">
      <c r="A762" s="21">
        <v>1.4843749999999999E-2</v>
      </c>
      <c r="B762" s="21">
        <f t="shared" si="22"/>
        <v>0.1255067</v>
      </c>
      <c r="D762">
        <f t="shared" si="23"/>
        <v>51.316949685534581</v>
      </c>
      <c r="G762" s="21">
        <v>-0.1631879</v>
      </c>
      <c r="H762" s="21">
        <v>0.1255067</v>
      </c>
    </row>
    <row r="763" spans="1:8" x14ac:dyDescent="0.15">
      <c r="A763" s="21">
        <v>1.486328E-2</v>
      </c>
      <c r="B763" s="21">
        <f t="shared" si="22"/>
        <v>8.3242040000000003E-2</v>
      </c>
      <c r="D763">
        <f t="shared" si="23"/>
        <v>34.345503144654089</v>
      </c>
      <c r="G763" s="21">
        <v>-0.1092187</v>
      </c>
      <c r="H763" s="21">
        <v>8.3242040000000003E-2</v>
      </c>
    </row>
    <row r="764" spans="1:8" x14ac:dyDescent="0.15">
      <c r="A764" s="21">
        <v>1.488281E-2</v>
      </c>
      <c r="B764" s="21">
        <f t="shared" si="22"/>
        <v>3.7643179999999998E-2</v>
      </c>
      <c r="D764">
        <f t="shared" si="23"/>
        <v>16.060940251572326</v>
      </c>
      <c r="G764" s="21">
        <v>-5.1073790000000001E-2</v>
      </c>
      <c r="H764" s="21">
        <v>3.7643179999999998E-2</v>
      </c>
    </row>
    <row r="765" spans="1:8" x14ac:dyDescent="0.15">
      <c r="A765" s="21">
        <v>1.490234E-2</v>
      </c>
      <c r="B765" s="21">
        <f t="shared" si="22"/>
        <v>-8.7372920000000007E-3</v>
      </c>
      <c r="D765">
        <f t="shared" si="23"/>
        <v>-2.4784597484276727</v>
      </c>
      <c r="G765" s="21">
        <v>7.8815020000000003E-3</v>
      </c>
      <c r="H765" s="21">
        <v>-8.7372920000000007E-3</v>
      </c>
    </row>
    <row r="766" spans="1:8" x14ac:dyDescent="0.15">
      <c r="A766" s="21">
        <v>1.492188E-2</v>
      </c>
      <c r="B766" s="21">
        <f t="shared" si="22"/>
        <v>-5.4990240000000003E-2</v>
      </c>
      <c r="D766">
        <f t="shared" si="23"/>
        <v>-21.008952830188679</v>
      </c>
      <c r="G766" s="21">
        <v>6.6808469999999995E-2</v>
      </c>
      <c r="H766" s="21">
        <v>-5.4990240000000003E-2</v>
      </c>
    </row>
    <row r="767" spans="1:8" x14ac:dyDescent="0.15">
      <c r="A767" s="21">
        <v>1.494141E-2</v>
      </c>
      <c r="B767" s="21">
        <f t="shared" si="22"/>
        <v>-9.9296819999999994E-2</v>
      </c>
      <c r="D767">
        <f t="shared" si="23"/>
        <v>-38.79424528301886</v>
      </c>
      <c r="G767" s="21">
        <v>0.12336569999999999</v>
      </c>
      <c r="H767" s="21">
        <v>-9.9296819999999994E-2</v>
      </c>
    </row>
    <row r="768" spans="1:8" x14ac:dyDescent="0.15">
      <c r="A768" s="21">
        <v>1.4960940000000001E-2</v>
      </c>
      <c r="B768" s="21">
        <f t="shared" si="22"/>
        <v>-0.13971320000000001</v>
      </c>
      <c r="D768">
        <f t="shared" si="23"/>
        <v>-55.028207547169806</v>
      </c>
      <c r="G768" s="21">
        <v>0.1749897</v>
      </c>
      <c r="H768" s="21">
        <v>-0.13971320000000001</v>
      </c>
    </row>
    <row r="769" spans="1:8" x14ac:dyDescent="0.15">
      <c r="A769" s="21">
        <v>1.4980469999999999E-2</v>
      </c>
      <c r="B769" s="21">
        <f t="shared" si="22"/>
        <v>-0.17554629999999999</v>
      </c>
      <c r="D769">
        <f t="shared" si="23"/>
        <v>-69.416226415094343</v>
      </c>
      <c r="G769" s="21">
        <v>0.22074360000000001</v>
      </c>
      <c r="H769" s="21">
        <v>-0.17554629999999999</v>
      </c>
    </row>
    <row r="770" spans="1:8" x14ac:dyDescent="0.15">
      <c r="A770" s="21">
        <v>1.4999999999999999E-2</v>
      </c>
      <c r="B770" s="21">
        <f t="shared" ref="B770:B833" si="24">H770</f>
        <v>-0.20551420000000001</v>
      </c>
      <c r="D770">
        <f t="shared" ref="D770:D833" si="25">G770*-1000/3.18</f>
        <v>-81.512735849056611</v>
      </c>
      <c r="G770" s="21">
        <v>0.25921050000000001</v>
      </c>
      <c r="H770" s="21">
        <v>-0.20551420000000001</v>
      </c>
    </row>
    <row r="771" spans="1:8" x14ac:dyDescent="0.15">
      <c r="A771" s="21">
        <v>1.501953E-2</v>
      </c>
      <c r="B771" s="21">
        <f t="shared" si="24"/>
        <v>-0.22891510000000001</v>
      </c>
      <c r="D771">
        <f t="shared" si="25"/>
        <v>-90.931886792452829</v>
      </c>
      <c r="G771" s="21">
        <v>0.28916340000000001</v>
      </c>
      <c r="H771" s="21">
        <v>-0.22891510000000001</v>
      </c>
    </row>
    <row r="772" spans="1:8" x14ac:dyDescent="0.15">
      <c r="A772" s="21">
        <v>1.503906E-2</v>
      </c>
      <c r="B772" s="21">
        <f t="shared" si="24"/>
        <v>-0.24457429999999999</v>
      </c>
      <c r="D772">
        <f t="shared" si="25"/>
        <v>-97.247672955974849</v>
      </c>
      <c r="G772" s="21">
        <v>0.30924760000000001</v>
      </c>
      <c r="H772" s="21">
        <v>-0.24457429999999999</v>
      </c>
    </row>
    <row r="773" spans="1:8" x14ac:dyDescent="0.15">
      <c r="A773" s="21">
        <v>1.505859E-2</v>
      </c>
      <c r="B773" s="21">
        <f t="shared" si="24"/>
        <v>-0.25162879999999999</v>
      </c>
      <c r="D773">
        <f t="shared" si="25"/>
        <v>-100.12654088050314</v>
      </c>
      <c r="G773" s="21">
        <v>0.31840239999999997</v>
      </c>
      <c r="H773" s="21">
        <v>-0.25162879999999999</v>
      </c>
    </row>
    <row r="774" spans="1:8" x14ac:dyDescent="0.15">
      <c r="A774" s="21">
        <v>1.507812E-2</v>
      </c>
      <c r="B774" s="21">
        <f t="shared" si="24"/>
        <v>-0.25086370000000002</v>
      </c>
      <c r="D774">
        <f t="shared" si="25"/>
        <v>-99.85688679245284</v>
      </c>
      <c r="G774" s="21">
        <v>0.31754490000000002</v>
      </c>
      <c r="H774" s="21">
        <v>-0.25086370000000002</v>
      </c>
    </row>
    <row r="775" spans="1:8" x14ac:dyDescent="0.15">
      <c r="A775" s="21">
        <v>1.5097660000000001E-2</v>
      </c>
      <c r="B775" s="21">
        <f t="shared" si="24"/>
        <v>-0.24154320000000001</v>
      </c>
      <c r="D775">
        <f t="shared" si="25"/>
        <v>-96.179654088050299</v>
      </c>
      <c r="G775" s="21">
        <v>0.30585129999999999</v>
      </c>
      <c r="H775" s="21">
        <v>-0.24154320000000001</v>
      </c>
    </row>
    <row r="776" spans="1:8" x14ac:dyDescent="0.15">
      <c r="A776" s="21">
        <v>1.5117190000000001E-2</v>
      </c>
      <c r="B776" s="21">
        <f t="shared" si="24"/>
        <v>-0.2238482</v>
      </c>
      <c r="D776">
        <f t="shared" si="25"/>
        <v>-89.051635220125775</v>
      </c>
      <c r="G776" s="21">
        <v>0.2831842</v>
      </c>
      <c r="H776" s="21">
        <v>-0.2238482</v>
      </c>
    </row>
    <row r="777" spans="1:8" x14ac:dyDescent="0.15">
      <c r="A777" s="21">
        <v>1.5136719999999999E-2</v>
      </c>
      <c r="B777" s="21">
        <f t="shared" si="24"/>
        <v>-0.1990615</v>
      </c>
      <c r="D777">
        <f t="shared" si="25"/>
        <v>-79.172421383647801</v>
      </c>
      <c r="G777" s="21">
        <v>0.2517683</v>
      </c>
      <c r="H777" s="21">
        <v>-0.1990615</v>
      </c>
    </row>
    <row r="778" spans="1:8" x14ac:dyDescent="0.15">
      <c r="A778" s="21">
        <v>1.515625E-2</v>
      </c>
      <c r="B778" s="21">
        <f t="shared" si="24"/>
        <v>-0.1669428</v>
      </c>
      <c r="D778">
        <f t="shared" si="25"/>
        <v>-66.39534591194969</v>
      </c>
      <c r="G778" s="21">
        <v>0.2111372</v>
      </c>
      <c r="H778" s="21">
        <v>-0.1669428</v>
      </c>
    </row>
    <row r="779" spans="1:8" x14ac:dyDescent="0.15">
      <c r="A779" s="21">
        <v>1.517578E-2</v>
      </c>
      <c r="B779" s="21">
        <f t="shared" si="24"/>
        <v>-0.12901609999999999</v>
      </c>
      <c r="D779">
        <f t="shared" si="25"/>
        <v>-51.147704402515721</v>
      </c>
      <c r="G779" s="21">
        <v>0.16264970000000001</v>
      </c>
      <c r="H779" s="21">
        <v>-0.12901609999999999</v>
      </c>
    </row>
    <row r="780" spans="1:8" x14ac:dyDescent="0.15">
      <c r="A780" s="21">
        <v>1.519531E-2</v>
      </c>
      <c r="B780" s="21">
        <f t="shared" si="24"/>
        <v>-8.7073910000000004E-2</v>
      </c>
      <c r="D780">
        <f t="shared" si="25"/>
        <v>-34.36490566037736</v>
      </c>
      <c r="G780" s="21">
        <v>0.1092804</v>
      </c>
      <c r="H780" s="21">
        <v>-8.7073910000000004E-2</v>
      </c>
    </row>
    <row r="781" spans="1:8" x14ac:dyDescent="0.15">
      <c r="A781" s="21">
        <v>1.521484E-2</v>
      </c>
      <c r="B781" s="21">
        <f t="shared" si="24"/>
        <v>-4.19794E-2</v>
      </c>
      <c r="D781">
        <f t="shared" si="25"/>
        <v>-16.354955974842767</v>
      </c>
      <c r="G781" s="21">
        <v>5.2008760000000001E-2</v>
      </c>
      <c r="H781" s="21">
        <v>-4.19794E-2</v>
      </c>
    </row>
    <row r="782" spans="1:8" x14ac:dyDescent="0.15">
      <c r="A782" s="21">
        <v>1.5234370000000001E-2</v>
      </c>
      <c r="B782" s="21">
        <f t="shared" si="24"/>
        <v>4.4472610000000001E-3</v>
      </c>
      <c r="D782">
        <f t="shared" si="25"/>
        <v>2.2956871069182387</v>
      </c>
      <c r="G782" s="21">
        <v>-7.3002850000000001E-3</v>
      </c>
      <c r="H782" s="21">
        <v>4.4472610000000001E-3</v>
      </c>
    </row>
    <row r="783" spans="1:8" x14ac:dyDescent="0.15">
      <c r="A783" s="21">
        <v>1.5253910000000001E-2</v>
      </c>
      <c r="B783" s="21">
        <f t="shared" si="24"/>
        <v>5.0803719999999997E-2</v>
      </c>
      <c r="D783">
        <f t="shared" si="25"/>
        <v>20.867915094339622</v>
      </c>
      <c r="G783" s="21">
        <v>-6.6359970000000004E-2</v>
      </c>
      <c r="H783" s="21">
        <v>5.0803719999999997E-2</v>
      </c>
    </row>
    <row r="784" spans="1:8" x14ac:dyDescent="0.15">
      <c r="A784" s="21">
        <v>1.5273439999999999E-2</v>
      </c>
      <c r="B784" s="21">
        <f t="shared" si="24"/>
        <v>9.5163330000000004E-2</v>
      </c>
      <c r="D784">
        <f t="shared" si="25"/>
        <v>38.619402515723266</v>
      </c>
      <c r="G784" s="21">
        <v>-0.12280969999999999</v>
      </c>
      <c r="H784" s="21">
        <v>9.5163330000000004E-2</v>
      </c>
    </row>
    <row r="785" spans="1:8" x14ac:dyDescent="0.15">
      <c r="A785" s="21">
        <v>1.5292969999999999E-2</v>
      </c>
      <c r="B785" s="21">
        <f t="shared" si="24"/>
        <v>0.1360971</v>
      </c>
      <c r="D785">
        <f t="shared" si="25"/>
        <v>55.123993710691821</v>
      </c>
      <c r="G785" s="21">
        <v>-0.17529429999999999</v>
      </c>
      <c r="H785" s="21">
        <v>0.1360971</v>
      </c>
    </row>
    <row r="786" spans="1:8" x14ac:dyDescent="0.15">
      <c r="A786" s="21">
        <v>1.53125E-2</v>
      </c>
      <c r="B786" s="21">
        <f t="shared" si="24"/>
        <v>0.1728383</v>
      </c>
      <c r="D786">
        <f t="shared" si="25"/>
        <v>69.854465408805027</v>
      </c>
      <c r="G786" s="21">
        <v>-0.22213720000000001</v>
      </c>
      <c r="H786" s="21">
        <v>0.1728383</v>
      </c>
    </row>
    <row r="787" spans="1:8" x14ac:dyDescent="0.15">
      <c r="A787" s="21">
        <v>1.533203E-2</v>
      </c>
      <c r="B787" s="21">
        <f t="shared" si="24"/>
        <v>0.20319390000000001</v>
      </c>
      <c r="D787">
        <f t="shared" si="25"/>
        <v>81.999465408805037</v>
      </c>
      <c r="G787" s="21">
        <v>-0.2607583</v>
      </c>
      <c r="H787" s="21">
        <v>0.20319390000000001</v>
      </c>
    </row>
    <row r="788" spans="1:8" x14ac:dyDescent="0.15">
      <c r="A788" s="21">
        <v>1.535156E-2</v>
      </c>
      <c r="B788" s="21">
        <f t="shared" si="24"/>
        <v>0.22653280000000001</v>
      </c>
      <c r="D788">
        <f t="shared" si="25"/>
        <v>91.446415094339613</v>
      </c>
      <c r="G788" s="21">
        <v>-0.29079959999999999</v>
      </c>
      <c r="H788" s="21">
        <v>0.22653280000000001</v>
      </c>
    </row>
    <row r="789" spans="1:8" x14ac:dyDescent="0.15">
      <c r="A789" s="21">
        <v>1.537109E-2</v>
      </c>
      <c r="B789" s="21">
        <f t="shared" si="24"/>
        <v>0.24278130000000001</v>
      </c>
      <c r="D789">
        <f t="shared" si="25"/>
        <v>97.951289308176086</v>
      </c>
      <c r="G789" s="21">
        <v>-0.31148510000000001</v>
      </c>
      <c r="H789" s="21">
        <v>0.24278130000000001</v>
      </c>
    </row>
    <row r="790" spans="1:8" x14ac:dyDescent="0.15">
      <c r="A790" s="21">
        <v>1.5390620000000001E-2</v>
      </c>
      <c r="B790" s="21">
        <f t="shared" si="24"/>
        <v>0.25049159999999998</v>
      </c>
      <c r="D790">
        <f t="shared" si="25"/>
        <v>101.07729559748427</v>
      </c>
      <c r="G790" s="21">
        <v>-0.32142579999999998</v>
      </c>
      <c r="H790" s="21">
        <v>0.25049159999999998</v>
      </c>
    </row>
    <row r="791" spans="1:8" x14ac:dyDescent="0.15">
      <c r="A791" s="21">
        <v>1.5410159999999999E-2</v>
      </c>
      <c r="B791" s="21">
        <f t="shared" si="24"/>
        <v>0.25016280000000002</v>
      </c>
      <c r="D791">
        <f t="shared" si="25"/>
        <v>101.04477987421383</v>
      </c>
      <c r="G791" s="21">
        <v>-0.32132240000000001</v>
      </c>
      <c r="H791" s="21">
        <v>0.25016280000000002</v>
      </c>
    </row>
    <row r="792" spans="1:8" x14ac:dyDescent="0.15">
      <c r="A792" s="21">
        <v>1.5429689999999999E-2</v>
      </c>
      <c r="B792" s="21">
        <f t="shared" si="24"/>
        <v>0.2420805</v>
      </c>
      <c r="D792">
        <f t="shared" si="25"/>
        <v>97.834968553459106</v>
      </c>
      <c r="G792" s="21">
        <v>-0.31111519999999998</v>
      </c>
      <c r="H792" s="21">
        <v>0.2420805</v>
      </c>
    </row>
    <row r="793" spans="1:8" x14ac:dyDescent="0.15">
      <c r="A793" s="21">
        <v>1.544922E-2</v>
      </c>
      <c r="B793" s="21">
        <f t="shared" si="24"/>
        <v>0.22489129999999999</v>
      </c>
      <c r="D793">
        <f t="shared" si="25"/>
        <v>90.964874213836453</v>
      </c>
      <c r="G793" s="21">
        <v>-0.28926829999999998</v>
      </c>
      <c r="H793" s="21">
        <v>0.22489129999999999</v>
      </c>
    </row>
    <row r="794" spans="1:8" x14ac:dyDescent="0.15">
      <c r="A794" s="21">
        <v>1.546875E-2</v>
      </c>
      <c r="B794" s="21">
        <f t="shared" si="24"/>
        <v>0.19977300000000001</v>
      </c>
      <c r="D794">
        <f t="shared" si="25"/>
        <v>80.871477987421372</v>
      </c>
      <c r="G794" s="21">
        <v>-0.25717129999999999</v>
      </c>
      <c r="H794" s="21">
        <v>0.19977300000000001</v>
      </c>
    </row>
    <row r="795" spans="1:8" x14ac:dyDescent="0.15">
      <c r="A795" s="21">
        <v>1.548828E-2</v>
      </c>
      <c r="B795" s="21">
        <f t="shared" si="24"/>
        <v>0.1683047</v>
      </c>
      <c r="D795">
        <f t="shared" si="25"/>
        <v>68.307421383647792</v>
      </c>
      <c r="G795" s="21">
        <v>-0.21721760000000001</v>
      </c>
      <c r="H795" s="21">
        <v>0.1683047</v>
      </c>
    </row>
    <row r="796" spans="1:8" x14ac:dyDescent="0.15">
      <c r="A796" s="21">
        <v>1.550781E-2</v>
      </c>
      <c r="B796" s="21">
        <f t="shared" si="24"/>
        <v>0.1309004</v>
      </c>
      <c r="D796">
        <f t="shared" si="25"/>
        <v>53.398616352201259</v>
      </c>
      <c r="G796" s="21">
        <v>-0.1698076</v>
      </c>
      <c r="H796" s="21">
        <v>0.1309004</v>
      </c>
    </row>
    <row r="797" spans="1:8" x14ac:dyDescent="0.15">
      <c r="A797" s="21">
        <v>1.5527340000000001E-2</v>
      </c>
      <c r="B797" s="21">
        <f t="shared" si="24"/>
        <v>8.9373599999999997E-2</v>
      </c>
      <c r="D797">
        <f t="shared" si="25"/>
        <v>36.74616352201258</v>
      </c>
      <c r="G797" s="21">
        <v>-0.11685280000000001</v>
      </c>
      <c r="H797" s="21">
        <v>8.9373599999999997E-2</v>
      </c>
    </row>
    <row r="798" spans="1:8" x14ac:dyDescent="0.15">
      <c r="A798" s="21">
        <v>1.5546870000000001E-2</v>
      </c>
      <c r="B798" s="21">
        <f t="shared" si="24"/>
        <v>4.4618400000000003E-2</v>
      </c>
      <c r="D798">
        <f t="shared" si="25"/>
        <v>18.813569182389937</v>
      </c>
      <c r="G798" s="21">
        <v>-5.9827150000000003E-2</v>
      </c>
      <c r="H798" s="21">
        <v>4.4618400000000003E-2</v>
      </c>
    </row>
    <row r="799" spans="1:8" x14ac:dyDescent="0.15">
      <c r="A799" s="21">
        <v>1.5566409999999999E-2</v>
      </c>
      <c r="B799" s="21">
        <f t="shared" si="24"/>
        <v>-2.373479E-3</v>
      </c>
      <c r="D799">
        <f t="shared" si="25"/>
        <v>2.549385220125786E-3</v>
      </c>
      <c r="G799" s="21">
        <v>-8.1070450000000002E-6</v>
      </c>
      <c r="H799" s="21">
        <v>-2.373479E-3</v>
      </c>
    </row>
    <row r="800" spans="1:8" x14ac:dyDescent="0.15">
      <c r="A800" s="21">
        <v>1.558594E-2</v>
      </c>
      <c r="B800" s="21">
        <f t="shared" si="24"/>
        <v>-4.880586E-2</v>
      </c>
      <c r="D800">
        <f t="shared" si="25"/>
        <v>-18.613106918238994</v>
      </c>
      <c r="G800" s="21">
        <v>5.9189680000000001E-2</v>
      </c>
      <c r="H800" s="21">
        <v>-4.880586E-2</v>
      </c>
    </row>
    <row r="801" spans="1:8" x14ac:dyDescent="0.15">
      <c r="A801" s="21">
        <v>1.560547E-2</v>
      </c>
      <c r="B801" s="21">
        <f t="shared" si="24"/>
        <v>-9.3283389999999994E-2</v>
      </c>
      <c r="D801">
        <f t="shared" si="25"/>
        <v>-36.46238993710692</v>
      </c>
      <c r="G801" s="21">
        <v>0.1159504</v>
      </c>
      <c r="H801" s="21">
        <v>-9.3283389999999994E-2</v>
      </c>
    </row>
    <row r="802" spans="1:8" x14ac:dyDescent="0.15">
      <c r="A802" s="21">
        <v>1.5625E-2</v>
      </c>
      <c r="B802" s="21">
        <f t="shared" si="24"/>
        <v>-0.13431009999999999</v>
      </c>
      <c r="D802">
        <f t="shared" si="25"/>
        <v>-52.897232704402512</v>
      </c>
      <c r="G802" s="21">
        <v>0.16821320000000001</v>
      </c>
      <c r="H802" s="21">
        <v>-0.13431009999999999</v>
      </c>
    </row>
    <row r="803" spans="1:8" x14ac:dyDescent="0.15">
      <c r="A803" s="21">
        <v>1.564453E-2</v>
      </c>
      <c r="B803" s="21">
        <f t="shared" si="24"/>
        <v>-0.17043810000000001</v>
      </c>
      <c r="D803">
        <f t="shared" si="25"/>
        <v>-67.398993710691826</v>
      </c>
      <c r="G803" s="21">
        <v>0.21432880000000001</v>
      </c>
      <c r="H803" s="21">
        <v>-0.17043810000000001</v>
      </c>
    </row>
    <row r="804" spans="1:8" x14ac:dyDescent="0.15">
      <c r="A804" s="21">
        <v>1.566406E-2</v>
      </c>
      <c r="B804" s="21">
        <f t="shared" si="24"/>
        <v>-0.20166580000000001</v>
      </c>
      <c r="D804">
        <f t="shared" si="25"/>
        <v>-79.981698113207543</v>
      </c>
      <c r="G804" s="21">
        <v>0.25434180000000001</v>
      </c>
      <c r="H804" s="21">
        <v>-0.20166580000000001</v>
      </c>
    </row>
    <row r="805" spans="1:8" x14ac:dyDescent="0.15">
      <c r="A805" s="21">
        <v>1.5683590000000001E-2</v>
      </c>
      <c r="B805" s="21">
        <f t="shared" si="24"/>
        <v>-0.22612199999999999</v>
      </c>
      <c r="D805">
        <f t="shared" si="25"/>
        <v>-89.786540880503125</v>
      </c>
      <c r="G805" s="21">
        <v>0.28552119999999998</v>
      </c>
      <c r="H805" s="21">
        <v>-0.22612199999999999</v>
      </c>
    </row>
    <row r="806" spans="1:8" x14ac:dyDescent="0.15">
      <c r="A806" s="21">
        <v>1.5703129999999999E-2</v>
      </c>
      <c r="B806" s="21">
        <f t="shared" si="24"/>
        <v>-0.24240919999999999</v>
      </c>
      <c r="D806">
        <f t="shared" si="25"/>
        <v>-96.376477987421367</v>
      </c>
      <c r="G806" s="21">
        <v>0.30647720000000001</v>
      </c>
      <c r="H806" s="21">
        <v>-0.24240919999999999</v>
      </c>
    </row>
    <row r="807" spans="1:8" x14ac:dyDescent="0.15">
      <c r="A807" s="21">
        <v>1.5722659999999999E-2</v>
      </c>
      <c r="B807" s="21">
        <f t="shared" si="24"/>
        <v>-0.25109740000000003</v>
      </c>
      <c r="D807">
        <f t="shared" si="25"/>
        <v>-99.983018867924528</v>
      </c>
      <c r="G807" s="21">
        <v>0.31794600000000001</v>
      </c>
      <c r="H807" s="21">
        <v>-0.25109740000000003</v>
      </c>
    </row>
    <row r="808" spans="1:8" x14ac:dyDescent="0.15">
      <c r="A808" s="21">
        <v>1.574219E-2</v>
      </c>
      <c r="B808" s="21">
        <f t="shared" si="24"/>
        <v>-0.25124239999999998</v>
      </c>
      <c r="D808">
        <f t="shared" si="25"/>
        <v>-100.05022012578615</v>
      </c>
      <c r="G808" s="21">
        <v>0.31815969999999999</v>
      </c>
      <c r="H808" s="21">
        <v>-0.25124239999999998</v>
      </c>
    </row>
    <row r="809" spans="1:8" x14ac:dyDescent="0.15">
      <c r="A809" s="21">
        <v>1.576172E-2</v>
      </c>
      <c r="B809" s="21">
        <f t="shared" si="24"/>
        <v>-0.24278259999999999</v>
      </c>
      <c r="D809">
        <f t="shared" si="25"/>
        <v>-96.656666666666666</v>
      </c>
      <c r="G809" s="21">
        <v>0.30736819999999998</v>
      </c>
      <c r="H809" s="21">
        <v>-0.24278259999999999</v>
      </c>
    </row>
    <row r="810" spans="1:8" x14ac:dyDescent="0.15">
      <c r="A810" s="21">
        <v>1.578125E-2</v>
      </c>
      <c r="B810" s="21">
        <f t="shared" si="24"/>
        <v>-0.22651689999999999</v>
      </c>
      <c r="D810">
        <f t="shared" si="25"/>
        <v>-90.186572327044018</v>
      </c>
      <c r="G810" s="21">
        <v>0.28679329999999997</v>
      </c>
      <c r="H810" s="21">
        <v>-0.22651689999999999</v>
      </c>
    </row>
    <row r="811" spans="1:8" x14ac:dyDescent="0.15">
      <c r="A811" s="21">
        <v>1.580078E-2</v>
      </c>
      <c r="B811" s="21">
        <f t="shared" si="24"/>
        <v>-0.2021223</v>
      </c>
      <c r="D811">
        <f t="shared" si="25"/>
        <v>-80.465628930817616</v>
      </c>
      <c r="G811" s="21">
        <v>0.25588070000000002</v>
      </c>
      <c r="H811" s="21">
        <v>-0.2021223</v>
      </c>
    </row>
    <row r="812" spans="1:8" x14ac:dyDescent="0.15">
      <c r="A812" s="21">
        <v>1.5820310000000001E-2</v>
      </c>
      <c r="B812" s="21">
        <f t="shared" si="24"/>
        <v>-0.1710806</v>
      </c>
      <c r="D812">
        <f t="shared" si="25"/>
        <v>-68.08006289308176</v>
      </c>
      <c r="G812" s="21">
        <v>0.21649460000000001</v>
      </c>
      <c r="H812" s="21">
        <v>-0.1710806</v>
      </c>
    </row>
    <row r="813" spans="1:8" x14ac:dyDescent="0.15">
      <c r="A813" s="21">
        <v>1.5839840000000001E-2</v>
      </c>
      <c r="B813" s="21">
        <f t="shared" si="24"/>
        <v>-0.1344582</v>
      </c>
      <c r="D813">
        <f t="shared" si="25"/>
        <v>-53.373207547169805</v>
      </c>
      <c r="G813" s="21">
        <v>0.16972680000000001</v>
      </c>
      <c r="H813" s="21">
        <v>-0.1344582</v>
      </c>
    </row>
    <row r="814" spans="1:8" x14ac:dyDescent="0.15">
      <c r="A814" s="21">
        <v>1.5859379999999999E-2</v>
      </c>
      <c r="B814" s="21">
        <f t="shared" si="24"/>
        <v>-9.2639109999999997E-2</v>
      </c>
      <c r="D814">
        <f t="shared" si="25"/>
        <v>-36.571415094339621</v>
      </c>
      <c r="G814" s="21">
        <v>0.1162971</v>
      </c>
      <c r="H814" s="21">
        <v>-9.2639109999999997E-2</v>
      </c>
    </row>
    <row r="815" spans="1:8" x14ac:dyDescent="0.15">
      <c r="A815" s="21">
        <v>1.587891E-2</v>
      </c>
      <c r="B815" s="21">
        <f t="shared" si="24"/>
        <v>-4.8035250000000002E-2</v>
      </c>
      <c r="D815">
        <f t="shared" si="25"/>
        <v>-18.718930817610062</v>
      </c>
      <c r="G815" s="21">
        <v>5.9526200000000001E-2</v>
      </c>
      <c r="H815" s="21">
        <v>-4.8035250000000002E-2</v>
      </c>
    </row>
    <row r="816" spans="1:8" x14ac:dyDescent="0.15">
      <c r="A816" s="21">
        <v>1.589844E-2</v>
      </c>
      <c r="B816" s="21">
        <f t="shared" si="24"/>
        <v>-1.520127E-3</v>
      </c>
      <c r="D816">
        <f t="shared" si="25"/>
        <v>-6.4972987421383646E-2</v>
      </c>
      <c r="G816" s="21">
        <v>2.0661409999999999E-4</v>
      </c>
      <c r="H816" s="21">
        <v>-1.520127E-3</v>
      </c>
    </row>
    <row r="817" spans="1:8" x14ac:dyDescent="0.15">
      <c r="A817" s="21">
        <v>1.591797E-2</v>
      </c>
      <c r="B817" s="21">
        <f t="shared" si="24"/>
        <v>4.5470030000000002E-2</v>
      </c>
      <c r="D817">
        <f t="shared" si="25"/>
        <v>18.799477987421383</v>
      </c>
      <c r="G817" s="21">
        <v>-5.9782340000000003E-2</v>
      </c>
      <c r="H817" s="21">
        <v>4.5470030000000002E-2</v>
      </c>
    </row>
    <row r="818" spans="1:8" x14ac:dyDescent="0.15">
      <c r="A818" s="21">
        <v>1.59375E-2</v>
      </c>
      <c r="B818" s="21">
        <f t="shared" si="24"/>
        <v>8.9531910000000006E-2</v>
      </c>
      <c r="D818">
        <f t="shared" si="25"/>
        <v>36.444088050314463</v>
      </c>
      <c r="G818" s="21">
        <v>-0.1158922</v>
      </c>
      <c r="H818" s="21">
        <v>8.9531910000000006E-2</v>
      </c>
    </row>
    <row r="819" spans="1:8" x14ac:dyDescent="0.15">
      <c r="A819" s="21">
        <v>1.5957030000000001E-2</v>
      </c>
      <c r="B819" s="21">
        <f t="shared" si="24"/>
        <v>0.13076699999999999</v>
      </c>
      <c r="D819">
        <f t="shared" si="25"/>
        <v>53.031603773584905</v>
      </c>
      <c r="G819" s="21">
        <v>-0.1686405</v>
      </c>
      <c r="H819" s="21">
        <v>0.13076699999999999</v>
      </c>
    </row>
    <row r="820" spans="1:8" x14ac:dyDescent="0.15">
      <c r="A820" s="21">
        <v>1.5976560000000001E-2</v>
      </c>
      <c r="B820" s="21">
        <f t="shared" si="24"/>
        <v>0.1684976</v>
      </c>
      <c r="D820">
        <f t="shared" si="25"/>
        <v>68.1911320754717</v>
      </c>
      <c r="G820" s="21">
        <v>-0.21684780000000001</v>
      </c>
      <c r="H820" s="21">
        <v>0.1684976</v>
      </c>
    </row>
    <row r="821" spans="1:8" x14ac:dyDescent="0.15">
      <c r="A821" s="21">
        <v>1.5996090000000001E-2</v>
      </c>
      <c r="B821" s="21">
        <f t="shared" si="24"/>
        <v>0.19962269999999999</v>
      </c>
      <c r="D821">
        <f t="shared" si="25"/>
        <v>80.596761006289313</v>
      </c>
      <c r="G821" s="21">
        <v>-0.25629770000000002</v>
      </c>
      <c r="H821" s="21">
        <v>0.19962269999999999</v>
      </c>
    </row>
    <row r="822" spans="1:8" x14ac:dyDescent="0.15">
      <c r="A822" s="21">
        <v>1.6015620000000001E-2</v>
      </c>
      <c r="B822" s="21">
        <f t="shared" si="24"/>
        <v>0.22442819999999999</v>
      </c>
      <c r="D822">
        <f t="shared" si="25"/>
        <v>90.614402515723256</v>
      </c>
      <c r="G822" s="21">
        <v>-0.28815380000000002</v>
      </c>
      <c r="H822" s="21">
        <v>0.22442819999999999</v>
      </c>
    </row>
    <row r="823" spans="1:8" x14ac:dyDescent="0.15">
      <c r="A823" s="21">
        <v>1.603516E-2</v>
      </c>
      <c r="B823" s="21">
        <f t="shared" si="24"/>
        <v>0.24184240000000001</v>
      </c>
      <c r="D823">
        <f t="shared" si="25"/>
        <v>97.639748427672941</v>
      </c>
      <c r="G823" s="21">
        <v>-0.3104944</v>
      </c>
      <c r="H823" s="21">
        <v>0.24184240000000001</v>
      </c>
    </row>
    <row r="824" spans="1:8" x14ac:dyDescent="0.15">
      <c r="A824" s="21">
        <v>1.605469E-2</v>
      </c>
      <c r="B824" s="21">
        <f t="shared" si="24"/>
        <v>0.25013180000000002</v>
      </c>
      <c r="D824">
        <f t="shared" si="25"/>
        <v>100.93666666666667</v>
      </c>
      <c r="G824" s="21">
        <v>-0.3209786</v>
      </c>
      <c r="H824" s="21">
        <v>0.25013180000000002</v>
      </c>
    </row>
    <row r="825" spans="1:8" x14ac:dyDescent="0.15">
      <c r="A825" s="21">
        <v>1.607422E-2</v>
      </c>
      <c r="B825" s="21">
        <f t="shared" si="24"/>
        <v>0.25103619999999999</v>
      </c>
      <c r="D825">
        <f t="shared" si="25"/>
        <v>101.3933647798742</v>
      </c>
      <c r="G825" s="21">
        <v>-0.32243090000000002</v>
      </c>
      <c r="H825" s="21">
        <v>0.25103619999999999</v>
      </c>
    </row>
    <row r="826" spans="1:8" x14ac:dyDescent="0.15">
      <c r="A826" s="21">
        <v>1.609375E-2</v>
      </c>
      <c r="B826" s="21">
        <f t="shared" si="24"/>
        <v>0.24379439999999999</v>
      </c>
      <c r="D826">
        <f t="shared" si="25"/>
        <v>98.472515723270433</v>
      </c>
      <c r="G826" s="21">
        <v>-0.31314259999999999</v>
      </c>
      <c r="H826" s="21">
        <v>0.24379439999999999</v>
      </c>
    </row>
    <row r="827" spans="1:8" x14ac:dyDescent="0.15">
      <c r="A827" s="21">
        <v>1.6113280000000001E-2</v>
      </c>
      <c r="B827" s="21">
        <f t="shared" si="24"/>
        <v>0.22766729999999999</v>
      </c>
      <c r="D827">
        <f t="shared" si="25"/>
        <v>92.019025157232704</v>
      </c>
      <c r="G827" s="21">
        <v>-0.29262050000000001</v>
      </c>
      <c r="H827" s="21">
        <v>0.22766729999999999</v>
      </c>
    </row>
    <row r="828" spans="1:8" x14ac:dyDescent="0.15">
      <c r="A828" s="21">
        <v>1.6132810000000001E-2</v>
      </c>
      <c r="B828" s="21">
        <f t="shared" si="24"/>
        <v>0.20404549999999999</v>
      </c>
      <c r="D828">
        <f t="shared" si="25"/>
        <v>82.659088050314452</v>
      </c>
      <c r="G828" s="21">
        <v>-0.26285589999999998</v>
      </c>
      <c r="H828" s="21">
        <v>0.20404549999999999</v>
      </c>
    </row>
    <row r="829" spans="1:8" x14ac:dyDescent="0.15">
      <c r="A829" s="21">
        <v>1.6152340000000001E-2</v>
      </c>
      <c r="B829" s="21">
        <f t="shared" si="24"/>
        <v>0.1729222</v>
      </c>
      <c r="D829">
        <f t="shared" si="25"/>
        <v>70.190031446540871</v>
      </c>
      <c r="G829" s="21">
        <v>-0.22320429999999999</v>
      </c>
      <c r="H829" s="21">
        <v>0.1729222</v>
      </c>
    </row>
    <row r="830" spans="1:8" x14ac:dyDescent="0.15">
      <c r="A830" s="21">
        <v>1.6171870000000001E-2</v>
      </c>
      <c r="B830" s="21">
        <f t="shared" si="24"/>
        <v>0.1359689</v>
      </c>
      <c r="D830">
        <f t="shared" si="25"/>
        <v>55.450786163522018</v>
      </c>
      <c r="G830" s="21">
        <v>-0.1763335</v>
      </c>
      <c r="H830" s="21">
        <v>0.1359689</v>
      </c>
    </row>
    <row r="831" spans="1:8" x14ac:dyDescent="0.15">
      <c r="A831" s="21">
        <v>1.619141E-2</v>
      </c>
      <c r="B831" s="21">
        <f t="shared" si="24"/>
        <v>9.5155249999999997E-2</v>
      </c>
      <c r="D831">
        <f t="shared" si="25"/>
        <v>39.14330188679245</v>
      </c>
      <c r="G831" s="21">
        <v>-0.12447569999999999</v>
      </c>
      <c r="H831" s="21">
        <v>9.5155249999999997E-2</v>
      </c>
    </row>
    <row r="832" spans="1:8" x14ac:dyDescent="0.15">
      <c r="A832" s="21">
        <v>1.621094E-2</v>
      </c>
      <c r="B832" s="21">
        <f t="shared" si="24"/>
        <v>5.0736070000000001E-2</v>
      </c>
      <c r="D832">
        <f t="shared" si="25"/>
        <v>21.264496855345911</v>
      </c>
      <c r="G832" s="21">
        <v>-6.7621100000000003E-2</v>
      </c>
      <c r="H832" s="21">
        <v>5.0736070000000001E-2</v>
      </c>
    </row>
    <row r="833" spans="1:8" x14ac:dyDescent="0.15">
      <c r="A833" s="21">
        <v>1.623047E-2</v>
      </c>
      <c r="B833" s="21">
        <f t="shared" si="24"/>
        <v>3.9714440000000002E-3</v>
      </c>
      <c r="D833">
        <f t="shared" si="25"/>
        <v>2.5265704402515725</v>
      </c>
      <c r="G833" s="21">
        <v>-8.0344939999999997E-3</v>
      </c>
      <c r="H833" s="21">
        <v>3.9714440000000002E-3</v>
      </c>
    </row>
    <row r="834" spans="1:8" x14ac:dyDescent="0.15">
      <c r="A834" s="21">
        <v>1.6250000000000001E-2</v>
      </c>
      <c r="B834" s="21">
        <f t="shared" ref="B834:B897" si="26">H834</f>
        <v>-4.2857350000000002E-2</v>
      </c>
      <c r="D834">
        <f t="shared" ref="D834:D897" si="27">G834*-1000/3.18</f>
        <v>-16.095701257861634</v>
      </c>
      <c r="G834" s="21">
        <v>5.118433E-2</v>
      </c>
      <c r="H834" s="21">
        <v>-4.2857350000000002E-2</v>
      </c>
    </row>
    <row r="835" spans="1:8" x14ac:dyDescent="0.15">
      <c r="A835" s="21">
        <v>1.6269530000000001E-2</v>
      </c>
      <c r="B835" s="21">
        <f t="shared" si="26"/>
        <v>-8.7624229999999997E-2</v>
      </c>
      <c r="D835">
        <f t="shared" si="27"/>
        <v>-34.041792452830187</v>
      </c>
      <c r="G835" s="21">
        <v>0.1082529</v>
      </c>
      <c r="H835" s="21">
        <v>-8.7624229999999997E-2</v>
      </c>
    </row>
    <row r="836" spans="1:8" x14ac:dyDescent="0.15">
      <c r="A836" s="21">
        <v>1.6289060000000001E-2</v>
      </c>
      <c r="B836" s="21">
        <f t="shared" si="26"/>
        <v>-0.1291794</v>
      </c>
      <c r="D836">
        <f t="shared" si="27"/>
        <v>-50.85374213836478</v>
      </c>
      <c r="G836" s="21">
        <v>0.16171489999999999</v>
      </c>
      <c r="H836" s="21">
        <v>-0.1291794</v>
      </c>
    </row>
    <row r="837" spans="1:8" x14ac:dyDescent="0.15">
      <c r="A837" s="21">
        <v>1.6308590000000001E-2</v>
      </c>
      <c r="B837" s="21">
        <f t="shared" si="26"/>
        <v>-0.16635</v>
      </c>
      <c r="D837">
        <f t="shared" si="27"/>
        <v>-65.730566037735841</v>
      </c>
      <c r="G837" s="21">
        <v>0.20902319999999999</v>
      </c>
      <c r="H837" s="21">
        <v>-0.16635</v>
      </c>
    </row>
    <row r="838" spans="1:8" x14ac:dyDescent="0.15">
      <c r="A838" s="21">
        <v>1.6328120000000002E-2</v>
      </c>
      <c r="B838" s="21">
        <f t="shared" si="26"/>
        <v>-0.19776050000000001</v>
      </c>
      <c r="D838">
        <f t="shared" si="27"/>
        <v>-78.349811320754711</v>
      </c>
      <c r="G838" s="21">
        <v>0.2491524</v>
      </c>
      <c r="H838" s="21">
        <v>-0.19776050000000001</v>
      </c>
    </row>
    <row r="839" spans="1:8" x14ac:dyDescent="0.15">
      <c r="A839" s="21">
        <v>1.634766E-2</v>
      </c>
      <c r="B839" s="21">
        <f t="shared" si="26"/>
        <v>-0.22306200000000001</v>
      </c>
      <c r="D839">
        <f t="shared" si="27"/>
        <v>-88.602075471698114</v>
      </c>
      <c r="G839" s="21">
        <v>0.28175460000000002</v>
      </c>
      <c r="H839" s="21">
        <v>-0.22306200000000001</v>
      </c>
    </row>
    <row r="840" spans="1:8" x14ac:dyDescent="0.15">
      <c r="A840" s="21">
        <v>1.636719E-2</v>
      </c>
      <c r="B840" s="21">
        <f t="shared" si="26"/>
        <v>-0.24123749999999999</v>
      </c>
      <c r="D840">
        <f t="shared" si="27"/>
        <v>-95.870251572327049</v>
      </c>
      <c r="G840" s="21">
        <v>0.30486740000000001</v>
      </c>
      <c r="H840" s="21">
        <v>-0.24123749999999999</v>
      </c>
    </row>
    <row r="841" spans="1:8" x14ac:dyDescent="0.15">
      <c r="A841" s="21">
        <v>1.638672E-2</v>
      </c>
      <c r="B841" s="21">
        <f t="shared" si="26"/>
        <v>-0.25074089999999999</v>
      </c>
      <c r="D841">
        <f t="shared" si="27"/>
        <v>-99.703836477987423</v>
      </c>
      <c r="G841" s="21">
        <v>0.31705820000000001</v>
      </c>
      <c r="H841" s="21">
        <v>-0.25074089999999999</v>
      </c>
    </row>
    <row r="842" spans="1:8" x14ac:dyDescent="0.15">
      <c r="A842" s="21">
        <v>1.6406250000000001E-2</v>
      </c>
      <c r="B842" s="21">
        <f t="shared" si="26"/>
        <v>-0.25190800000000002</v>
      </c>
      <c r="D842">
        <f t="shared" si="27"/>
        <v>-100.23311320754718</v>
      </c>
      <c r="G842" s="21">
        <v>0.31874130000000001</v>
      </c>
      <c r="H842" s="21">
        <v>-0.25190800000000002</v>
      </c>
    </row>
    <row r="843" spans="1:8" x14ac:dyDescent="0.15">
      <c r="A843" s="21">
        <v>1.6425780000000001E-2</v>
      </c>
      <c r="B843" s="21">
        <f t="shared" si="26"/>
        <v>-0.2447829</v>
      </c>
      <c r="D843">
        <f t="shared" si="27"/>
        <v>-97.394245283018847</v>
      </c>
      <c r="G843" s="21">
        <v>0.30971369999999998</v>
      </c>
      <c r="H843" s="21">
        <v>-0.2447829</v>
      </c>
    </row>
    <row r="844" spans="1:8" x14ac:dyDescent="0.15">
      <c r="A844" s="21">
        <v>1.6445310000000001E-2</v>
      </c>
      <c r="B844" s="21">
        <f t="shared" si="26"/>
        <v>-0.2290132</v>
      </c>
      <c r="D844">
        <f t="shared" si="27"/>
        <v>-91.078522012578617</v>
      </c>
      <c r="G844" s="21">
        <v>0.28962969999999999</v>
      </c>
      <c r="H844" s="21">
        <v>-0.2290132</v>
      </c>
    </row>
    <row r="845" spans="1:8" x14ac:dyDescent="0.15">
      <c r="A845" s="21">
        <v>1.6464840000000001E-2</v>
      </c>
      <c r="B845" s="21">
        <f t="shared" si="26"/>
        <v>-0.20619370000000001</v>
      </c>
      <c r="D845">
        <f t="shared" si="27"/>
        <v>-81.96298742138363</v>
      </c>
      <c r="G845" s="21">
        <v>0.26064229999999999</v>
      </c>
      <c r="H845" s="21">
        <v>-0.20619370000000001</v>
      </c>
    </row>
    <row r="846" spans="1:8" x14ac:dyDescent="0.15">
      <c r="A846" s="21">
        <v>1.6484370000000002E-2</v>
      </c>
      <c r="B846" s="21">
        <f t="shared" si="26"/>
        <v>-0.1766595</v>
      </c>
      <c r="D846">
        <f t="shared" si="27"/>
        <v>-70.12116352201258</v>
      </c>
      <c r="G846" s="21">
        <v>0.2229853</v>
      </c>
      <c r="H846" s="21">
        <v>-0.1766595</v>
      </c>
    </row>
    <row r="847" spans="1:8" x14ac:dyDescent="0.15">
      <c r="A847" s="21">
        <v>1.650391E-2</v>
      </c>
      <c r="B847" s="21">
        <f t="shared" si="26"/>
        <v>-0.140268</v>
      </c>
      <c r="D847">
        <f t="shared" si="27"/>
        <v>-55.536320754716982</v>
      </c>
      <c r="G847" s="21">
        <v>0.1766055</v>
      </c>
      <c r="H847" s="21">
        <v>-0.140268</v>
      </c>
    </row>
    <row r="848" spans="1:8" x14ac:dyDescent="0.15">
      <c r="A848" s="21">
        <v>1.652344E-2</v>
      </c>
      <c r="B848" s="21">
        <f t="shared" si="26"/>
        <v>-9.8946179999999995E-2</v>
      </c>
      <c r="D848">
        <f t="shared" si="27"/>
        <v>-39.030911949685532</v>
      </c>
      <c r="G848" s="21">
        <v>0.1241183</v>
      </c>
      <c r="H848" s="21">
        <v>-9.8946179999999995E-2</v>
      </c>
    </row>
    <row r="849" spans="1:8" x14ac:dyDescent="0.15">
      <c r="A849" s="21">
        <v>1.6542970000000001E-2</v>
      </c>
      <c r="B849" s="21">
        <f t="shared" si="26"/>
        <v>-5.4219360000000001E-2</v>
      </c>
      <c r="D849">
        <f t="shared" si="27"/>
        <v>-21.140836477987424</v>
      </c>
      <c r="G849" s="21">
        <v>6.722786E-2</v>
      </c>
      <c r="H849" s="21">
        <v>-5.4219360000000001E-2</v>
      </c>
    </row>
    <row r="850" spans="1:8" x14ac:dyDescent="0.15">
      <c r="A850" s="21">
        <v>1.6562500000000001E-2</v>
      </c>
      <c r="B850" s="21">
        <f t="shared" si="26"/>
        <v>-7.8105179999999998E-3</v>
      </c>
      <c r="D850">
        <f t="shared" si="27"/>
        <v>-2.5694594339622641</v>
      </c>
      <c r="G850" s="21">
        <v>8.1708809999999996E-3</v>
      </c>
      <c r="H850" s="21">
        <v>-7.8105179999999998E-3</v>
      </c>
    </row>
    <row r="851" spans="1:8" x14ac:dyDescent="0.15">
      <c r="A851" s="21">
        <v>1.6582030000000001E-2</v>
      </c>
      <c r="B851" s="21">
        <f t="shared" si="26"/>
        <v>3.8492060000000002E-2</v>
      </c>
      <c r="D851">
        <f t="shared" si="27"/>
        <v>16.028317610062892</v>
      </c>
      <c r="G851" s="21">
        <v>-5.0970050000000003E-2</v>
      </c>
      <c r="H851" s="21">
        <v>3.8492060000000002E-2</v>
      </c>
    </row>
    <row r="852" spans="1:8" x14ac:dyDescent="0.15">
      <c r="A852" s="21">
        <v>1.6601560000000001E-2</v>
      </c>
      <c r="B852" s="21">
        <f t="shared" si="26"/>
        <v>8.3369960000000007E-2</v>
      </c>
      <c r="D852">
        <f t="shared" si="27"/>
        <v>34.021792452830191</v>
      </c>
      <c r="G852" s="21">
        <v>-0.1081893</v>
      </c>
      <c r="H852" s="21">
        <v>8.3369960000000007E-2</v>
      </c>
    </row>
    <row r="853" spans="1:8" x14ac:dyDescent="0.15">
      <c r="A853" s="21">
        <v>1.6621090000000002E-2</v>
      </c>
      <c r="B853" s="21">
        <f t="shared" si="26"/>
        <v>0.1252113</v>
      </c>
      <c r="D853">
        <f t="shared" si="27"/>
        <v>50.775157232704402</v>
      </c>
      <c r="G853" s="21">
        <v>-0.161465</v>
      </c>
      <c r="H853" s="21">
        <v>0.1252113</v>
      </c>
    </row>
    <row r="854" spans="1:8" x14ac:dyDescent="0.15">
      <c r="A854" s="21">
        <v>1.6640619999999998E-2</v>
      </c>
      <c r="B854" s="21">
        <f t="shared" si="26"/>
        <v>0.1631947</v>
      </c>
      <c r="D854">
        <f t="shared" si="27"/>
        <v>66.071949685534591</v>
      </c>
      <c r="G854" s="21">
        <v>-0.21010880000000001</v>
      </c>
      <c r="H854" s="21">
        <v>0.1631947</v>
      </c>
    </row>
    <row r="855" spans="1:8" x14ac:dyDescent="0.15">
      <c r="A855" s="21">
        <v>1.666016E-2</v>
      </c>
      <c r="B855" s="21">
        <f t="shared" si="26"/>
        <v>0.19568669999999999</v>
      </c>
      <c r="D855">
        <f t="shared" si="27"/>
        <v>79.093176100628938</v>
      </c>
      <c r="G855" s="21">
        <v>-0.25151630000000003</v>
      </c>
      <c r="H855" s="21">
        <v>0.19568669999999999</v>
      </c>
    </row>
    <row r="856" spans="1:8" x14ac:dyDescent="0.15">
      <c r="A856" s="21">
        <v>1.667969E-2</v>
      </c>
      <c r="B856" s="21">
        <f t="shared" si="26"/>
        <v>0.22106290000000001</v>
      </c>
      <c r="D856">
        <f t="shared" si="27"/>
        <v>89.282987421383638</v>
      </c>
      <c r="G856" s="21">
        <v>-0.2839199</v>
      </c>
      <c r="H856" s="21">
        <v>0.22106290000000001</v>
      </c>
    </row>
    <row r="857" spans="1:8" x14ac:dyDescent="0.15">
      <c r="A857" s="21">
        <v>1.6699220000000001E-2</v>
      </c>
      <c r="B857" s="21">
        <f t="shared" si="26"/>
        <v>0.2392312</v>
      </c>
      <c r="D857">
        <f t="shared" si="27"/>
        <v>96.656006289308152</v>
      </c>
      <c r="G857" s="21">
        <v>-0.30736609999999998</v>
      </c>
      <c r="H857" s="21">
        <v>0.2392312</v>
      </c>
    </row>
    <row r="858" spans="1:8" x14ac:dyDescent="0.15">
      <c r="A858" s="21">
        <v>1.6718750000000001E-2</v>
      </c>
      <c r="B858" s="21">
        <f t="shared" si="26"/>
        <v>0.2491497</v>
      </c>
      <c r="D858">
        <f t="shared" si="27"/>
        <v>100.63547169811321</v>
      </c>
      <c r="G858" s="21">
        <v>-0.32002079999999999</v>
      </c>
      <c r="H858" s="21">
        <v>0.2491497</v>
      </c>
    </row>
    <row r="859" spans="1:8" x14ac:dyDescent="0.15">
      <c r="A859" s="21">
        <v>1.6738280000000001E-2</v>
      </c>
      <c r="B859" s="21">
        <f t="shared" si="26"/>
        <v>0.25070409999999999</v>
      </c>
      <c r="D859">
        <f t="shared" si="27"/>
        <v>101.26135220125785</v>
      </c>
      <c r="G859" s="21">
        <v>-0.32201109999999999</v>
      </c>
      <c r="H859" s="21">
        <v>0.25070409999999999</v>
      </c>
    </row>
    <row r="860" spans="1:8" x14ac:dyDescent="0.15">
      <c r="A860" s="21">
        <v>1.6757810000000001E-2</v>
      </c>
      <c r="B860" s="21">
        <f t="shared" si="26"/>
        <v>0.2447802</v>
      </c>
      <c r="D860">
        <f t="shared" si="27"/>
        <v>98.93022012578615</v>
      </c>
      <c r="G860" s="21">
        <v>-0.31459809999999999</v>
      </c>
      <c r="H860" s="21">
        <v>0.2447802</v>
      </c>
    </row>
    <row r="861" spans="1:8" x14ac:dyDescent="0.15">
      <c r="A861" s="21">
        <v>1.6777340000000002E-2</v>
      </c>
      <c r="B861" s="21">
        <f t="shared" si="26"/>
        <v>0.2299938</v>
      </c>
      <c r="D861">
        <f t="shared" si="27"/>
        <v>93.024245283018857</v>
      </c>
      <c r="G861" s="21">
        <v>-0.2958171</v>
      </c>
      <c r="H861" s="21">
        <v>0.2299938</v>
      </c>
    </row>
    <row r="862" spans="1:8" x14ac:dyDescent="0.15">
      <c r="A862" s="21">
        <v>1.6796869999999998E-2</v>
      </c>
      <c r="B862" s="21">
        <f t="shared" si="26"/>
        <v>0.206674</v>
      </c>
      <c r="D862">
        <f t="shared" si="27"/>
        <v>83.713773584905653</v>
      </c>
      <c r="G862" s="21">
        <v>-0.2662098</v>
      </c>
      <c r="H862" s="21">
        <v>0.206674</v>
      </c>
    </row>
    <row r="863" spans="1:8" x14ac:dyDescent="0.15">
      <c r="A863" s="21">
        <v>1.681641E-2</v>
      </c>
      <c r="B863" s="21">
        <f t="shared" si="26"/>
        <v>0.1770497</v>
      </c>
      <c r="D863">
        <f t="shared" si="27"/>
        <v>71.914245283018872</v>
      </c>
      <c r="G863" s="21">
        <v>-0.22868730000000001</v>
      </c>
      <c r="H863" s="21">
        <v>0.1770497</v>
      </c>
    </row>
    <row r="864" spans="1:8" x14ac:dyDescent="0.15">
      <c r="A864" s="21">
        <v>1.6835940000000001E-2</v>
      </c>
      <c r="B864" s="21">
        <f t="shared" si="26"/>
        <v>0.14126520000000001</v>
      </c>
      <c r="D864">
        <f t="shared" si="27"/>
        <v>57.609528301886797</v>
      </c>
      <c r="G864" s="21">
        <v>-0.18319830000000001</v>
      </c>
      <c r="H864" s="21">
        <v>0.14126520000000001</v>
      </c>
    </row>
    <row r="865" spans="1:8" x14ac:dyDescent="0.15">
      <c r="A865" s="21">
        <v>1.6855470000000001E-2</v>
      </c>
      <c r="B865" s="21">
        <f t="shared" si="26"/>
        <v>0.10052270000000001</v>
      </c>
      <c r="D865">
        <f t="shared" si="27"/>
        <v>41.249905660377358</v>
      </c>
      <c r="G865" s="21">
        <v>-0.13117470000000001</v>
      </c>
      <c r="H865" s="21">
        <v>0.10052270000000001</v>
      </c>
    </row>
    <row r="866" spans="1:8" x14ac:dyDescent="0.15">
      <c r="A866" s="21">
        <v>1.6875000000000001E-2</v>
      </c>
      <c r="B866" s="21">
        <f t="shared" si="26"/>
        <v>5.645236E-2</v>
      </c>
      <c r="D866">
        <f t="shared" si="27"/>
        <v>23.616471698113205</v>
      </c>
      <c r="G866" s="21">
        <v>-7.5100379999999994E-2</v>
      </c>
      <c r="H866" s="21">
        <v>5.645236E-2</v>
      </c>
    </row>
    <row r="867" spans="1:8" x14ac:dyDescent="0.15">
      <c r="A867" s="21">
        <v>1.6894530000000001E-2</v>
      </c>
      <c r="B867" s="21">
        <f t="shared" si="26"/>
        <v>9.7444909999999992E-3</v>
      </c>
      <c r="D867">
        <f t="shared" si="27"/>
        <v>4.9332515723270429</v>
      </c>
      <c r="G867" s="21">
        <v>-1.5687739999999999E-2</v>
      </c>
      <c r="H867" s="21">
        <v>9.7444909999999992E-3</v>
      </c>
    </row>
    <row r="868" spans="1:8" x14ac:dyDescent="0.15">
      <c r="A868" s="21">
        <v>1.6914060000000002E-2</v>
      </c>
      <c r="B868" s="21">
        <f t="shared" si="26"/>
        <v>-3.6909169999999998E-2</v>
      </c>
      <c r="D868">
        <f t="shared" si="27"/>
        <v>-13.808503144654088</v>
      </c>
      <c r="G868" s="21">
        <v>4.3911039999999998E-2</v>
      </c>
      <c r="H868" s="21">
        <v>-3.6909169999999998E-2</v>
      </c>
    </row>
    <row r="869" spans="1:8" x14ac:dyDescent="0.15">
      <c r="A869" s="21">
        <v>1.6933589999999998E-2</v>
      </c>
      <c r="B869" s="21">
        <f t="shared" si="26"/>
        <v>-8.172451E-2</v>
      </c>
      <c r="D869">
        <f t="shared" si="27"/>
        <v>-31.773962264150942</v>
      </c>
      <c r="G869" s="21">
        <v>0.1010412</v>
      </c>
      <c r="H869" s="21">
        <v>-8.172451E-2</v>
      </c>
    </row>
    <row r="870" spans="1:8" x14ac:dyDescent="0.15">
      <c r="A870" s="21">
        <v>1.6953119999999999E-2</v>
      </c>
      <c r="B870" s="21">
        <f t="shared" si="26"/>
        <v>-0.1241312</v>
      </c>
      <c r="D870">
        <f t="shared" si="27"/>
        <v>-48.774245283018857</v>
      </c>
      <c r="G870" s="21">
        <v>0.15510209999999999</v>
      </c>
      <c r="H870" s="21">
        <v>-0.1241312</v>
      </c>
    </row>
    <row r="871" spans="1:8" x14ac:dyDescent="0.15">
      <c r="A871" s="21">
        <v>1.6972660000000001E-2</v>
      </c>
      <c r="B871" s="21">
        <f t="shared" si="26"/>
        <v>-0.1618214</v>
      </c>
      <c r="D871">
        <f t="shared" si="27"/>
        <v>-63.84556603773585</v>
      </c>
      <c r="G871" s="21">
        <v>0.20302890000000001</v>
      </c>
      <c r="H871" s="21">
        <v>-0.1618214</v>
      </c>
    </row>
    <row r="872" spans="1:8" x14ac:dyDescent="0.15">
      <c r="A872" s="21">
        <v>1.6992190000000001E-2</v>
      </c>
      <c r="B872" s="21">
        <f t="shared" si="26"/>
        <v>-0.19406280000000001</v>
      </c>
      <c r="D872">
        <f t="shared" si="27"/>
        <v>-76.816163522012573</v>
      </c>
      <c r="G872" s="21">
        <v>0.2442754</v>
      </c>
      <c r="H872" s="21">
        <v>-0.19406280000000001</v>
      </c>
    </row>
    <row r="873" spans="1:8" x14ac:dyDescent="0.15">
      <c r="A873" s="21">
        <v>1.7011720000000001E-2</v>
      </c>
      <c r="B873" s="21">
        <f t="shared" si="26"/>
        <v>-0.22084989999999999</v>
      </c>
      <c r="D873">
        <f t="shared" si="27"/>
        <v>-87.668805031446539</v>
      </c>
      <c r="G873" s="21">
        <v>0.2787868</v>
      </c>
      <c r="H873" s="21">
        <v>-0.22084989999999999</v>
      </c>
    </row>
    <row r="874" spans="1:8" x14ac:dyDescent="0.15">
      <c r="A874" s="21">
        <v>1.7031250000000001E-2</v>
      </c>
      <c r="B874" s="21">
        <f t="shared" si="26"/>
        <v>-0.23961250000000001</v>
      </c>
      <c r="D874">
        <f t="shared" si="27"/>
        <v>-95.059339622641502</v>
      </c>
      <c r="G874" s="21">
        <v>0.30228870000000002</v>
      </c>
      <c r="H874" s="21">
        <v>-0.23961250000000001</v>
      </c>
    </row>
    <row r="875" spans="1:8" x14ac:dyDescent="0.15">
      <c r="A875" s="21">
        <v>1.7050780000000001E-2</v>
      </c>
      <c r="B875" s="21">
        <f t="shared" si="26"/>
        <v>-0.2498956</v>
      </c>
      <c r="D875">
        <f t="shared" si="27"/>
        <v>-99.219433962264148</v>
      </c>
      <c r="G875" s="21">
        <v>0.31551780000000001</v>
      </c>
      <c r="H875" s="21">
        <v>-0.2498956</v>
      </c>
    </row>
    <row r="876" spans="1:8" x14ac:dyDescent="0.15">
      <c r="A876" s="21">
        <v>1.7070310000000002E-2</v>
      </c>
      <c r="B876" s="21">
        <f t="shared" si="26"/>
        <v>-0.25247389999999997</v>
      </c>
      <c r="D876">
        <f t="shared" si="27"/>
        <v>-100.44811320754717</v>
      </c>
      <c r="G876" s="21">
        <v>0.31942500000000001</v>
      </c>
      <c r="H876" s="21">
        <v>-0.25247389999999997</v>
      </c>
    </row>
    <row r="877" spans="1:8" x14ac:dyDescent="0.15">
      <c r="A877" s="21">
        <v>1.7089839999999999E-2</v>
      </c>
      <c r="B877" s="21">
        <f t="shared" si="26"/>
        <v>-0.2460823</v>
      </c>
      <c r="D877">
        <f t="shared" si="27"/>
        <v>-97.861100628930799</v>
      </c>
      <c r="G877" s="21">
        <v>0.31119829999999998</v>
      </c>
      <c r="H877" s="21">
        <v>-0.2460823</v>
      </c>
    </row>
    <row r="878" spans="1:8" x14ac:dyDescent="0.15">
      <c r="A878" s="21">
        <v>1.7109369999999999E-2</v>
      </c>
      <c r="B878" s="21">
        <f t="shared" si="26"/>
        <v>-0.2316231</v>
      </c>
      <c r="D878">
        <f t="shared" si="27"/>
        <v>-92.096446540880493</v>
      </c>
      <c r="G878" s="21">
        <v>0.29286669999999998</v>
      </c>
      <c r="H878" s="21">
        <v>-0.2316231</v>
      </c>
    </row>
    <row r="879" spans="1:8" x14ac:dyDescent="0.15">
      <c r="A879" s="21">
        <v>1.7128910000000001E-2</v>
      </c>
      <c r="B879" s="21">
        <f t="shared" si="26"/>
        <v>-0.20991409999999999</v>
      </c>
      <c r="D879">
        <f t="shared" si="27"/>
        <v>-83.441698113207551</v>
      </c>
      <c r="G879" s="21">
        <v>0.26534459999999999</v>
      </c>
      <c r="H879" s="21">
        <v>-0.20991409999999999</v>
      </c>
    </row>
    <row r="880" spans="1:8" x14ac:dyDescent="0.15">
      <c r="A880" s="21">
        <v>1.7148440000000001E-2</v>
      </c>
      <c r="B880" s="21">
        <f t="shared" si="26"/>
        <v>-0.18053060000000001</v>
      </c>
      <c r="D880">
        <f t="shared" si="27"/>
        <v>-71.702830188679243</v>
      </c>
      <c r="G880" s="21">
        <v>0.228015</v>
      </c>
      <c r="H880" s="21">
        <v>-0.18053060000000001</v>
      </c>
    </row>
    <row r="881" spans="1:8" x14ac:dyDescent="0.15">
      <c r="A881" s="21">
        <v>1.7167970000000001E-2</v>
      </c>
      <c r="B881" s="21">
        <f t="shared" si="26"/>
        <v>-0.14504359999999999</v>
      </c>
      <c r="D881">
        <f t="shared" si="27"/>
        <v>-57.538364779874215</v>
      </c>
      <c r="G881" s="21">
        <v>0.182972</v>
      </c>
      <c r="H881" s="21">
        <v>-0.14504359999999999</v>
      </c>
    </row>
    <row r="882" spans="1:8" x14ac:dyDescent="0.15">
      <c r="A882" s="21">
        <v>1.7187500000000001E-2</v>
      </c>
      <c r="B882" s="21">
        <f t="shared" si="26"/>
        <v>-0.1043897</v>
      </c>
      <c r="D882">
        <f t="shared" si="27"/>
        <v>-41.210723270440255</v>
      </c>
      <c r="G882" s="21">
        <v>0.1310501</v>
      </c>
      <c r="H882" s="21">
        <v>-0.1043897</v>
      </c>
    </row>
    <row r="883" spans="1:8" x14ac:dyDescent="0.15">
      <c r="A883" s="21">
        <v>1.7207030000000002E-2</v>
      </c>
      <c r="B883" s="21">
        <f t="shared" si="26"/>
        <v>-6.0159740000000003E-2</v>
      </c>
      <c r="D883">
        <f t="shared" si="27"/>
        <v>-23.555628930817608</v>
      </c>
      <c r="G883" s="21">
        <v>7.4906899999999998E-2</v>
      </c>
      <c r="H883" s="21">
        <v>-6.0159740000000003E-2</v>
      </c>
    </row>
    <row r="884" spans="1:8" x14ac:dyDescent="0.15">
      <c r="A884" s="21">
        <v>1.7226559999999998E-2</v>
      </c>
      <c r="B884" s="21">
        <f t="shared" si="26"/>
        <v>-1.456995E-2</v>
      </c>
      <c r="D884">
        <f t="shared" si="27"/>
        <v>-5.3227075471698111</v>
      </c>
      <c r="G884" s="21">
        <v>1.6926210000000001E-2</v>
      </c>
      <c r="H884" s="21">
        <v>-1.456995E-2</v>
      </c>
    </row>
    <row r="885" spans="1:8" x14ac:dyDescent="0.15">
      <c r="A885" s="21">
        <v>1.7246089999999999E-2</v>
      </c>
      <c r="B885" s="21">
        <f t="shared" si="26"/>
        <v>3.2250840000000003E-2</v>
      </c>
      <c r="D885">
        <f t="shared" si="27"/>
        <v>13.577430817610063</v>
      </c>
      <c r="G885" s="21">
        <v>-4.3176230000000003E-2</v>
      </c>
      <c r="H885" s="21">
        <v>3.2250840000000003E-2</v>
      </c>
    </row>
    <row r="886" spans="1:8" x14ac:dyDescent="0.15">
      <c r="A886" s="21">
        <v>1.7265619999999999E-2</v>
      </c>
      <c r="B886" s="21">
        <f t="shared" si="26"/>
        <v>7.7959810000000004E-2</v>
      </c>
      <c r="D886">
        <f t="shared" si="27"/>
        <v>31.839528301886791</v>
      </c>
      <c r="G886" s="21">
        <v>-0.1012497</v>
      </c>
      <c r="H886" s="21">
        <v>7.7959810000000004E-2</v>
      </c>
    </row>
    <row r="887" spans="1:8" x14ac:dyDescent="0.15">
      <c r="A887" s="21">
        <v>1.7285160000000001E-2</v>
      </c>
      <c r="B887" s="21">
        <f t="shared" si="26"/>
        <v>0.11999079999999999</v>
      </c>
      <c r="D887">
        <f t="shared" si="27"/>
        <v>48.628962264150935</v>
      </c>
      <c r="G887" s="21">
        <v>-0.1546401</v>
      </c>
      <c r="H887" s="21">
        <v>0.11999079999999999</v>
      </c>
    </row>
    <row r="888" spans="1:8" x14ac:dyDescent="0.15">
      <c r="A888" s="21">
        <v>1.7304690000000001E-2</v>
      </c>
      <c r="B888" s="21">
        <f t="shared" si="26"/>
        <v>0.15890219999999999</v>
      </c>
      <c r="D888">
        <f t="shared" si="27"/>
        <v>64.397169811320751</v>
      </c>
      <c r="G888" s="21">
        <v>-0.20478299999999999</v>
      </c>
      <c r="H888" s="21">
        <v>0.15890219999999999</v>
      </c>
    </row>
    <row r="889" spans="1:8" x14ac:dyDescent="0.15">
      <c r="A889" s="21">
        <v>1.7324220000000001E-2</v>
      </c>
      <c r="B889" s="21">
        <f t="shared" si="26"/>
        <v>0.19211210000000001</v>
      </c>
      <c r="D889">
        <f t="shared" si="27"/>
        <v>77.691698113207536</v>
      </c>
      <c r="G889" s="21">
        <v>-0.24705959999999999</v>
      </c>
      <c r="H889" s="21">
        <v>0.19211210000000001</v>
      </c>
    </row>
    <row r="890" spans="1:8" x14ac:dyDescent="0.15">
      <c r="A890" s="21">
        <v>1.7343750000000002E-2</v>
      </c>
      <c r="B890" s="21">
        <f t="shared" si="26"/>
        <v>0.21749660000000001</v>
      </c>
      <c r="D890">
        <f t="shared" si="27"/>
        <v>87.84823899371068</v>
      </c>
      <c r="G890" s="21">
        <v>-0.27935739999999998</v>
      </c>
      <c r="H890" s="21">
        <v>0.21749660000000001</v>
      </c>
    </row>
    <row r="891" spans="1:8" x14ac:dyDescent="0.15">
      <c r="A891" s="21">
        <v>1.7363279999999998E-2</v>
      </c>
      <c r="B891" s="21">
        <f t="shared" si="26"/>
        <v>0.23677409999999999</v>
      </c>
      <c r="D891">
        <f t="shared" si="27"/>
        <v>95.685911949685519</v>
      </c>
      <c r="G891" s="21">
        <v>-0.30428119999999997</v>
      </c>
      <c r="H891" s="21">
        <v>0.23677409999999999</v>
      </c>
    </row>
    <row r="892" spans="1:8" x14ac:dyDescent="0.15">
      <c r="A892" s="21">
        <v>1.7382809999999999E-2</v>
      </c>
      <c r="B892" s="21">
        <f t="shared" si="26"/>
        <v>0.24836250000000001</v>
      </c>
      <c r="D892">
        <f t="shared" si="27"/>
        <v>100.30408805031446</v>
      </c>
      <c r="G892" s="21">
        <v>-0.318967</v>
      </c>
      <c r="H892" s="21">
        <v>0.24836250000000001</v>
      </c>
    </row>
    <row r="893" spans="1:8" x14ac:dyDescent="0.15">
      <c r="A893" s="21">
        <v>1.7402339999999999E-2</v>
      </c>
      <c r="B893" s="21">
        <f t="shared" si="26"/>
        <v>0.25135059999999998</v>
      </c>
      <c r="D893">
        <f t="shared" si="27"/>
        <v>101.53660377358491</v>
      </c>
      <c r="G893" s="21">
        <v>-0.32288640000000002</v>
      </c>
      <c r="H893" s="21">
        <v>0.25135059999999998</v>
      </c>
    </row>
    <row r="894" spans="1:8" x14ac:dyDescent="0.15">
      <c r="A894" s="21">
        <v>1.7421869999999999E-2</v>
      </c>
      <c r="B894" s="21">
        <f t="shared" si="26"/>
        <v>0.2464529</v>
      </c>
      <c r="D894">
        <f t="shared" si="27"/>
        <v>99.611100628930814</v>
      </c>
      <c r="G894" s="21">
        <v>-0.31676330000000003</v>
      </c>
      <c r="H894" s="21">
        <v>0.2464529</v>
      </c>
    </row>
    <row r="895" spans="1:8" x14ac:dyDescent="0.15">
      <c r="A895" s="21">
        <v>1.7441410000000001E-2</v>
      </c>
      <c r="B895" s="21">
        <f t="shared" si="26"/>
        <v>0.23239480000000001</v>
      </c>
      <c r="D895">
        <f t="shared" si="27"/>
        <v>93.9801572327044</v>
      </c>
      <c r="G895" s="21">
        <v>-0.29885689999999998</v>
      </c>
      <c r="H895" s="21">
        <v>0.23239480000000001</v>
      </c>
    </row>
    <row r="896" spans="1:8" x14ac:dyDescent="0.15">
      <c r="A896" s="21">
        <v>1.7460940000000001E-2</v>
      </c>
      <c r="B896" s="21">
        <f t="shared" si="26"/>
        <v>0.2102175</v>
      </c>
      <c r="D896">
        <f t="shared" si="27"/>
        <v>85.163647798742133</v>
      </c>
      <c r="G896" s="21">
        <v>-0.27082040000000002</v>
      </c>
      <c r="H896" s="21">
        <v>0.2102175</v>
      </c>
    </row>
    <row r="897" spans="1:8" x14ac:dyDescent="0.15">
      <c r="A897" s="21">
        <v>1.7480470000000001E-2</v>
      </c>
      <c r="B897" s="21">
        <f t="shared" si="26"/>
        <v>0.1812773</v>
      </c>
      <c r="D897">
        <f t="shared" si="27"/>
        <v>73.531477987421383</v>
      </c>
      <c r="G897" s="21">
        <v>-0.23383010000000001</v>
      </c>
      <c r="H897" s="21">
        <v>0.1812773</v>
      </c>
    </row>
    <row r="898" spans="1:8" x14ac:dyDescent="0.15">
      <c r="A898" s="21">
        <v>1.7500000000000002E-2</v>
      </c>
      <c r="B898" s="21">
        <f t="shared" ref="B898:B961" si="28">H898</f>
        <v>0.14627989999999999</v>
      </c>
      <c r="D898">
        <f t="shared" ref="D898:D961" si="29">G898*-1000/3.18</f>
        <v>59.516949685534591</v>
      </c>
      <c r="G898" s="21">
        <v>-0.18926390000000001</v>
      </c>
      <c r="H898" s="21">
        <v>0.14627989999999999</v>
      </c>
    </row>
    <row r="899" spans="1:8" x14ac:dyDescent="0.15">
      <c r="A899" s="21">
        <v>1.7519529999999998E-2</v>
      </c>
      <c r="B899" s="21">
        <f t="shared" si="28"/>
        <v>0.10643809999999999</v>
      </c>
      <c r="D899">
        <f t="shared" si="29"/>
        <v>43.637735849056604</v>
      </c>
      <c r="G899" s="21">
        <v>-0.138768</v>
      </c>
      <c r="H899" s="21">
        <v>0.10643809999999999</v>
      </c>
    </row>
    <row r="900" spans="1:8" x14ac:dyDescent="0.15">
      <c r="A900" s="21">
        <v>1.7539059999999999E-2</v>
      </c>
      <c r="B900" s="21">
        <f t="shared" si="28"/>
        <v>6.2266250000000002E-2</v>
      </c>
      <c r="D900">
        <f t="shared" si="29"/>
        <v>25.913647798742137</v>
      </c>
      <c r="G900" s="21">
        <v>-8.2405400000000004E-2</v>
      </c>
      <c r="H900" s="21">
        <v>6.2266250000000002E-2</v>
      </c>
    </row>
    <row r="901" spans="1:8" x14ac:dyDescent="0.15">
      <c r="A901" s="21">
        <v>1.7558589999999999E-2</v>
      </c>
      <c r="B901" s="21">
        <f t="shared" si="28"/>
        <v>1.5842169999999999E-2</v>
      </c>
      <c r="D901">
        <f t="shared" si="29"/>
        <v>7.3166069182389935</v>
      </c>
      <c r="G901" s="21">
        <v>-2.3266809999999999E-2</v>
      </c>
      <c r="H901" s="21">
        <v>1.5842169999999999E-2</v>
      </c>
    </row>
    <row r="902" spans="1:8" x14ac:dyDescent="0.15">
      <c r="A902" s="21">
        <v>1.7578119999999999E-2</v>
      </c>
      <c r="B902" s="21">
        <f t="shared" si="28"/>
        <v>-3.0491939999999999E-2</v>
      </c>
      <c r="D902">
        <f t="shared" si="29"/>
        <v>-11.224896226415092</v>
      </c>
      <c r="G902" s="21">
        <v>3.5695169999999998E-2</v>
      </c>
      <c r="H902" s="21">
        <v>-3.0491939999999999E-2</v>
      </c>
    </row>
    <row r="903" spans="1:8" x14ac:dyDescent="0.15">
      <c r="A903" s="21">
        <v>1.7597660000000001E-2</v>
      </c>
      <c r="B903" s="21">
        <f t="shared" si="28"/>
        <v>-7.5767790000000002E-2</v>
      </c>
      <c r="D903">
        <f t="shared" si="29"/>
        <v>-29.366591194968553</v>
      </c>
      <c r="G903" s="21">
        <v>9.3385759999999998E-2</v>
      </c>
      <c r="H903" s="21">
        <v>-7.5767790000000002E-2</v>
      </c>
    </row>
    <row r="904" spans="1:8" x14ac:dyDescent="0.15">
      <c r="A904" s="21">
        <v>1.7617190000000001E-2</v>
      </c>
      <c r="B904" s="21">
        <f t="shared" si="28"/>
        <v>-0.1185681</v>
      </c>
      <c r="D904">
        <f t="shared" si="29"/>
        <v>-46.523396226415095</v>
      </c>
      <c r="G904" s="21">
        <v>0.1479444</v>
      </c>
      <c r="H904" s="21">
        <v>-0.1185681</v>
      </c>
    </row>
    <row r="905" spans="1:8" x14ac:dyDescent="0.15">
      <c r="A905" s="21">
        <v>1.7636720000000002E-2</v>
      </c>
      <c r="B905" s="21">
        <f t="shared" si="28"/>
        <v>-0.15715409999999999</v>
      </c>
      <c r="D905">
        <f t="shared" si="29"/>
        <v>-62.042672955974837</v>
      </c>
      <c r="G905" s="21">
        <v>0.19729569999999999</v>
      </c>
      <c r="H905" s="21">
        <v>-0.15715409999999999</v>
      </c>
    </row>
    <row r="906" spans="1:8" x14ac:dyDescent="0.15">
      <c r="A906" s="21">
        <v>1.7656249999999998E-2</v>
      </c>
      <c r="B906" s="21">
        <f t="shared" si="28"/>
        <v>-0.19029579999999999</v>
      </c>
      <c r="D906">
        <f t="shared" si="29"/>
        <v>-75.338207547169816</v>
      </c>
      <c r="G906" s="21">
        <v>0.2395755</v>
      </c>
      <c r="H906" s="21">
        <v>-0.19029579999999999</v>
      </c>
    </row>
    <row r="907" spans="1:8" x14ac:dyDescent="0.15">
      <c r="A907" s="21">
        <v>1.7675779999999999E-2</v>
      </c>
      <c r="B907" s="21">
        <f t="shared" si="28"/>
        <v>-0.21706039999999999</v>
      </c>
      <c r="D907">
        <f t="shared" si="29"/>
        <v>-86.121855345911953</v>
      </c>
      <c r="G907" s="21">
        <v>0.27386749999999999</v>
      </c>
      <c r="H907" s="21">
        <v>-0.21706039999999999</v>
      </c>
    </row>
    <row r="908" spans="1:8" x14ac:dyDescent="0.15">
      <c r="A908" s="21">
        <v>1.7695309999999999E-2</v>
      </c>
      <c r="B908" s="21">
        <f t="shared" si="28"/>
        <v>-0.23697319999999999</v>
      </c>
      <c r="D908">
        <f t="shared" si="29"/>
        <v>-94.184716981132055</v>
      </c>
      <c r="G908" s="21">
        <v>0.29950739999999998</v>
      </c>
      <c r="H908" s="21">
        <v>-0.23697319999999999</v>
      </c>
    </row>
    <row r="909" spans="1:8" x14ac:dyDescent="0.15">
      <c r="A909" s="21">
        <v>1.7714839999999999E-2</v>
      </c>
      <c r="B909" s="21">
        <f t="shared" si="28"/>
        <v>-0.2490598</v>
      </c>
      <c r="D909">
        <f t="shared" si="29"/>
        <v>-99.001006289308179</v>
      </c>
      <c r="G909" s="21">
        <v>0.31482320000000003</v>
      </c>
      <c r="H909" s="21">
        <v>-0.2490598</v>
      </c>
    </row>
    <row r="910" spans="1:8" x14ac:dyDescent="0.15">
      <c r="A910" s="21">
        <v>1.7734380000000001E-2</v>
      </c>
      <c r="B910" s="21">
        <f t="shared" si="28"/>
        <v>-0.25219510000000001</v>
      </c>
      <c r="D910">
        <f t="shared" si="29"/>
        <v>-100.30157232704403</v>
      </c>
      <c r="G910" s="21">
        <v>0.31895899999999999</v>
      </c>
      <c r="H910" s="21">
        <v>-0.25219510000000001</v>
      </c>
    </row>
    <row r="911" spans="1:8" x14ac:dyDescent="0.15">
      <c r="A911" s="21">
        <v>1.7753910000000001E-2</v>
      </c>
      <c r="B911" s="21">
        <f t="shared" si="28"/>
        <v>-0.24729970000000001</v>
      </c>
      <c r="D911">
        <f t="shared" si="29"/>
        <v>-98.459528301886806</v>
      </c>
      <c r="G911" s="21">
        <v>0.31310130000000003</v>
      </c>
      <c r="H911" s="21">
        <v>-0.24729970000000001</v>
      </c>
    </row>
    <row r="912" spans="1:8" x14ac:dyDescent="0.15">
      <c r="A912" s="21">
        <v>1.7773440000000001E-2</v>
      </c>
      <c r="B912" s="21">
        <f t="shared" si="28"/>
        <v>-0.2340544</v>
      </c>
      <c r="D912">
        <f t="shared" si="29"/>
        <v>-93.168993710691822</v>
      </c>
      <c r="G912" s="21">
        <v>0.29627740000000002</v>
      </c>
      <c r="H912" s="21">
        <v>-0.2340544</v>
      </c>
    </row>
    <row r="913" spans="1:8" x14ac:dyDescent="0.15">
      <c r="A913" s="21">
        <v>1.7792970000000002E-2</v>
      </c>
      <c r="B913" s="21">
        <f t="shared" si="28"/>
        <v>-0.21222379999999999</v>
      </c>
      <c r="D913">
        <f t="shared" si="29"/>
        <v>-84.434811320754719</v>
      </c>
      <c r="G913" s="21">
        <v>0.26850269999999998</v>
      </c>
      <c r="H913" s="21">
        <v>-0.21222379999999999</v>
      </c>
    </row>
    <row r="914" spans="1:8" x14ac:dyDescent="0.15">
      <c r="A914" s="21">
        <v>1.7812499999999998E-2</v>
      </c>
      <c r="B914" s="21">
        <f t="shared" si="28"/>
        <v>-0.18449660000000001</v>
      </c>
      <c r="D914">
        <f t="shared" si="29"/>
        <v>-73.418522012578606</v>
      </c>
      <c r="G914" s="21">
        <v>0.23347090000000001</v>
      </c>
      <c r="H914" s="21">
        <v>-0.18449660000000001</v>
      </c>
    </row>
    <row r="915" spans="1:8" x14ac:dyDescent="0.15">
      <c r="A915" s="21">
        <v>1.7832029999999999E-2</v>
      </c>
      <c r="B915" s="21">
        <f t="shared" si="28"/>
        <v>-0.15039530000000001</v>
      </c>
      <c r="D915">
        <f t="shared" si="29"/>
        <v>-59.770660377358496</v>
      </c>
      <c r="G915" s="21">
        <v>0.19007070000000001</v>
      </c>
      <c r="H915" s="21">
        <v>-0.15039530000000001</v>
      </c>
    </row>
    <row r="916" spans="1:8" x14ac:dyDescent="0.15">
      <c r="A916" s="21">
        <v>1.7851559999999999E-2</v>
      </c>
      <c r="B916" s="21">
        <f t="shared" si="28"/>
        <v>-0.1099024</v>
      </c>
      <c r="D916">
        <f t="shared" si="29"/>
        <v>-43.479150943396228</v>
      </c>
      <c r="G916" s="21">
        <v>0.13826369999999999</v>
      </c>
      <c r="H916" s="21">
        <v>-0.1099024</v>
      </c>
    </row>
    <row r="917" spans="1:8" x14ac:dyDescent="0.15">
      <c r="A917" s="21">
        <v>1.7871089999999999E-2</v>
      </c>
      <c r="B917" s="21">
        <f t="shared" si="28"/>
        <v>-6.6226049999999995E-2</v>
      </c>
      <c r="D917">
        <f t="shared" si="29"/>
        <v>-26.035833333333336</v>
      </c>
      <c r="G917" s="21">
        <v>8.2793950000000005E-2</v>
      </c>
      <c r="H917" s="21">
        <v>-6.6226049999999995E-2</v>
      </c>
    </row>
    <row r="918" spans="1:8" x14ac:dyDescent="0.15">
      <c r="A918" s="21">
        <v>1.7890630000000001E-2</v>
      </c>
      <c r="B918" s="21">
        <f t="shared" si="28"/>
        <v>-2.0047010000000001E-2</v>
      </c>
      <c r="D918">
        <f t="shared" si="29"/>
        <v>-7.5762893081760998</v>
      </c>
      <c r="G918" s="21">
        <v>2.4092599999999999E-2</v>
      </c>
      <c r="H918" s="21">
        <v>-2.0047010000000001E-2</v>
      </c>
    </row>
    <row r="919" spans="1:8" x14ac:dyDescent="0.15">
      <c r="A919" s="21">
        <v>1.7910160000000001E-2</v>
      </c>
      <c r="B919" s="21">
        <f t="shared" si="28"/>
        <v>2.7016490000000001E-2</v>
      </c>
      <c r="D919">
        <f t="shared" si="29"/>
        <v>11.377100628930815</v>
      </c>
      <c r="G919" s="21">
        <v>-3.6179179999999998E-2</v>
      </c>
      <c r="H919" s="21">
        <v>2.7016490000000001E-2</v>
      </c>
    </row>
    <row r="920" spans="1:8" x14ac:dyDescent="0.15">
      <c r="A920" s="21">
        <v>1.7929690000000002E-2</v>
      </c>
      <c r="B920" s="21">
        <f t="shared" si="28"/>
        <v>7.2325009999999995E-2</v>
      </c>
      <c r="D920">
        <f t="shared" si="29"/>
        <v>29.536078616352199</v>
      </c>
      <c r="G920" s="21">
        <v>-9.3924729999999998E-2</v>
      </c>
      <c r="H920" s="21">
        <v>7.2325009999999995E-2</v>
      </c>
    </row>
    <row r="921" spans="1:8" x14ac:dyDescent="0.15">
      <c r="A921" s="21">
        <v>1.7949219999999998E-2</v>
      </c>
      <c r="B921" s="21">
        <f t="shared" si="28"/>
        <v>0.1150632</v>
      </c>
      <c r="D921">
        <f t="shared" si="29"/>
        <v>46.632798742138355</v>
      </c>
      <c r="G921" s="21">
        <v>-0.14829229999999999</v>
      </c>
      <c r="H921" s="21">
        <v>0.1150632</v>
      </c>
    </row>
    <row r="922" spans="1:8" x14ac:dyDescent="0.15">
      <c r="A922" s="21">
        <v>1.7968749999999999E-2</v>
      </c>
      <c r="B922" s="21">
        <f t="shared" si="28"/>
        <v>0.15384629999999999</v>
      </c>
      <c r="D922">
        <f t="shared" si="29"/>
        <v>62.201069182389929</v>
      </c>
      <c r="G922" s="21">
        <v>-0.19779939999999999</v>
      </c>
      <c r="H922" s="21">
        <v>0.15384629999999999</v>
      </c>
    </row>
    <row r="923" spans="1:8" x14ac:dyDescent="0.15">
      <c r="A923" s="21">
        <v>1.7988279999999999E-2</v>
      </c>
      <c r="B923" s="21">
        <f t="shared" si="28"/>
        <v>0.18768660000000001</v>
      </c>
      <c r="D923">
        <f t="shared" si="29"/>
        <v>75.833459119496851</v>
      </c>
      <c r="G923" s="21">
        <v>-0.24115039999999999</v>
      </c>
      <c r="H923" s="21">
        <v>0.18768660000000001</v>
      </c>
    </row>
    <row r="924" spans="1:8" x14ac:dyDescent="0.15">
      <c r="A924" s="21">
        <v>1.8007809999999999E-2</v>
      </c>
      <c r="B924" s="21">
        <f t="shared" si="28"/>
        <v>0.2154016</v>
      </c>
      <c r="D924">
        <f t="shared" si="29"/>
        <v>87.019119496855339</v>
      </c>
      <c r="G924" s="21">
        <v>-0.27672079999999999</v>
      </c>
      <c r="H924" s="21">
        <v>0.2154016</v>
      </c>
    </row>
    <row r="925" spans="1:8" x14ac:dyDescent="0.15">
      <c r="A925" s="21">
        <v>1.8027339999999999E-2</v>
      </c>
      <c r="B925" s="21">
        <f t="shared" si="28"/>
        <v>0.23529420000000001</v>
      </c>
      <c r="D925">
        <f t="shared" si="29"/>
        <v>94.960786163522016</v>
      </c>
      <c r="G925" s="21">
        <v>-0.3019753</v>
      </c>
      <c r="H925" s="21">
        <v>0.23529420000000001</v>
      </c>
    </row>
    <row r="926" spans="1:8" x14ac:dyDescent="0.15">
      <c r="A926" s="21">
        <v>1.8046880000000001E-2</v>
      </c>
      <c r="B926" s="21">
        <f t="shared" si="28"/>
        <v>0.2475899</v>
      </c>
      <c r="D926">
        <f t="shared" si="29"/>
        <v>99.937169811320743</v>
      </c>
      <c r="G926" s="21">
        <v>-0.31780019999999998</v>
      </c>
      <c r="H926" s="21">
        <v>0.2475899</v>
      </c>
    </row>
    <row r="927" spans="1:8" x14ac:dyDescent="0.15">
      <c r="A927" s="21">
        <v>1.8066410000000001E-2</v>
      </c>
      <c r="B927" s="21">
        <f t="shared" si="28"/>
        <v>0.25201780000000001</v>
      </c>
      <c r="D927">
        <f t="shared" si="29"/>
        <v>101.79770440251572</v>
      </c>
      <c r="G927" s="21">
        <v>-0.32371670000000002</v>
      </c>
      <c r="H927" s="21">
        <v>0.25201780000000001</v>
      </c>
    </row>
    <row r="928" spans="1:8" x14ac:dyDescent="0.15">
      <c r="A928" s="21">
        <v>1.8085939999999998E-2</v>
      </c>
      <c r="B928" s="21">
        <f t="shared" si="28"/>
        <v>0.24734</v>
      </c>
      <c r="D928">
        <f t="shared" si="29"/>
        <v>99.884654088050311</v>
      </c>
      <c r="G928" s="21">
        <v>-0.3176332</v>
      </c>
      <c r="H928" s="21">
        <v>0.24734</v>
      </c>
    </row>
    <row r="929" spans="1:8" x14ac:dyDescent="0.15">
      <c r="A929" s="21">
        <v>1.8105469999999999E-2</v>
      </c>
      <c r="B929" s="21">
        <f t="shared" si="28"/>
        <v>0.23437369999999999</v>
      </c>
      <c r="D929">
        <f t="shared" si="29"/>
        <v>94.702515723270437</v>
      </c>
      <c r="G929" s="21">
        <v>-0.30115399999999998</v>
      </c>
      <c r="H929" s="21">
        <v>0.23437369999999999</v>
      </c>
    </row>
    <row r="930" spans="1:8" x14ac:dyDescent="0.15">
      <c r="A930" s="21">
        <v>1.8124999999999999E-2</v>
      </c>
      <c r="B930" s="21">
        <f t="shared" si="28"/>
        <v>0.21391660000000001</v>
      </c>
      <c r="D930">
        <f t="shared" si="29"/>
        <v>86.565157232704394</v>
      </c>
      <c r="G930" s="21">
        <v>-0.2752772</v>
      </c>
      <c r="H930" s="21">
        <v>0.21391660000000001</v>
      </c>
    </row>
    <row r="931" spans="1:8" x14ac:dyDescent="0.15">
      <c r="A931" s="21">
        <v>1.8144529999999999E-2</v>
      </c>
      <c r="B931" s="21">
        <f t="shared" si="28"/>
        <v>0.18598619999999999</v>
      </c>
      <c r="D931">
        <f t="shared" si="29"/>
        <v>75.41295597484276</v>
      </c>
      <c r="G931" s="21">
        <v>-0.2398132</v>
      </c>
      <c r="H931" s="21">
        <v>0.18598619999999999</v>
      </c>
    </row>
    <row r="932" spans="1:8" x14ac:dyDescent="0.15">
      <c r="A932" s="21">
        <v>1.8164059999999999E-2</v>
      </c>
      <c r="B932" s="21">
        <f t="shared" si="28"/>
        <v>0.15173200000000001</v>
      </c>
      <c r="D932">
        <f t="shared" si="29"/>
        <v>61.722421383647792</v>
      </c>
      <c r="G932" s="21">
        <v>-0.19627729999999999</v>
      </c>
      <c r="H932" s="21">
        <v>0.15173200000000001</v>
      </c>
    </row>
    <row r="933" spans="1:8" x14ac:dyDescent="0.15">
      <c r="A933" s="21">
        <v>1.8183589999999999E-2</v>
      </c>
      <c r="B933" s="21">
        <f t="shared" si="28"/>
        <v>0.11191520000000001</v>
      </c>
      <c r="D933">
        <f t="shared" si="29"/>
        <v>45.761886792452835</v>
      </c>
      <c r="G933" s="21">
        <v>-0.14552280000000001</v>
      </c>
      <c r="H933" s="21">
        <v>0.11191520000000001</v>
      </c>
    </row>
    <row r="934" spans="1:8" x14ac:dyDescent="0.15">
      <c r="A934" s="21">
        <v>1.8203130000000001E-2</v>
      </c>
      <c r="B934" s="21">
        <f t="shared" si="28"/>
        <v>6.7895759999999999E-2</v>
      </c>
      <c r="D934">
        <f t="shared" si="29"/>
        <v>28.171594339622644</v>
      </c>
      <c r="G934" s="21">
        <v>-8.9585670000000006E-2</v>
      </c>
      <c r="H934" s="21">
        <v>6.7895759999999999E-2</v>
      </c>
    </row>
    <row r="935" spans="1:8" x14ac:dyDescent="0.15">
      <c r="A935" s="21">
        <v>1.8222660000000002E-2</v>
      </c>
      <c r="B935" s="21">
        <f t="shared" si="28"/>
        <v>2.1976949999999999E-2</v>
      </c>
      <c r="D935">
        <f t="shared" si="29"/>
        <v>9.8187955974842769</v>
      </c>
      <c r="G935" s="21">
        <v>-3.1223770000000001E-2</v>
      </c>
      <c r="H935" s="21">
        <v>2.1976949999999999E-2</v>
      </c>
    </row>
    <row r="936" spans="1:8" x14ac:dyDescent="0.15">
      <c r="A936" s="21">
        <v>1.8242189999999998E-2</v>
      </c>
      <c r="B936" s="21">
        <f t="shared" si="28"/>
        <v>-2.473413E-2</v>
      </c>
      <c r="D936">
        <f t="shared" si="29"/>
        <v>-8.9674371069182381</v>
      </c>
      <c r="G936" s="21">
        <v>2.8516449999999999E-2</v>
      </c>
      <c r="H936" s="21">
        <v>-2.473413E-2</v>
      </c>
    </row>
    <row r="937" spans="1:8" x14ac:dyDescent="0.15">
      <c r="A937" s="21">
        <v>1.8261719999999999E-2</v>
      </c>
      <c r="B937" s="21">
        <f t="shared" si="28"/>
        <v>-7.0029419999999995E-2</v>
      </c>
      <c r="D937">
        <f t="shared" si="29"/>
        <v>-27.076091194968551</v>
      </c>
      <c r="G937" s="21">
        <v>8.610197E-2</v>
      </c>
      <c r="H937" s="21">
        <v>-7.0029419999999995E-2</v>
      </c>
    </row>
    <row r="938" spans="1:8" x14ac:dyDescent="0.15">
      <c r="A938" s="21">
        <v>1.8281249999999999E-2</v>
      </c>
      <c r="B938" s="21">
        <f t="shared" si="28"/>
        <v>-0.11243359999999999</v>
      </c>
      <c r="D938">
        <f t="shared" si="29"/>
        <v>-44.044496855345905</v>
      </c>
      <c r="G938" s="21">
        <v>0.14006150000000001</v>
      </c>
      <c r="H938" s="21">
        <v>-0.11243359999999999</v>
      </c>
    </row>
    <row r="939" spans="1:8" x14ac:dyDescent="0.15">
      <c r="A939" s="21">
        <v>1.8300779999999999E-2</v>
      </c>
      <c r="B939" s="21">
        <f t="shared" si="28"/>
        <v>-0.15226039999999999</v>
      </c>
      <c r="D939">
        <f t="shared" si="29"/>
        <v>-60.153364779874209</v>
      </c>
      <c r="G939" s="21">
        <v>0.1912877</v>
      </c>
      <c r="H939" s="21">
        <v>-0.15226039999999999</v>
      </c>
    </row>
    <row r="940" spans="1:8" x14ac:dyDescent="0.15">
      <c r="A940" s="21">
        <v>1.8320309999999999E-2</v>
      </c>
      <c r="B940" s="21">
        <f t="shared" si="28"/>
        <v>-0.18680179999999999</v>
      </c>
      <c r="D940">
        <f t="shared" si="29"/>
        <v>-73.969308176100625</v>
      </c>
      <c r="G940" s="21">
        <v>0.2352224</v>
      </c>
      <c r="H940" s="21">
        <v>-0.18680179999999999</v>
      </c>
    </row>
    <row r="941" spans="1:8" x14ac:dyDescent="0.15">
      <c r="A941" s="21">
        <v>1.833984E-2</v>
      </c>
      <c r="B941" s="21">
        <f t="shared" si="28"/>
        <v>-0.21425620000000001</v>
      </c>
      <c r="D941">
        <f t="shared" si="29"/>
        <v>-84.959685534591202</v>
      </c>
      <c r="G941" s="21">
        <v>0.27017180000000002</v>
      </c>
      <c r="H941" s="21">
        <v>-0.21425620000000001</v>
      </c>
    </row>
    <row r="942" spans="1:8" x14ac:dyDescent="0.15">
      <c r="A942" s="21">
        <v>1.8359380000000002E-2</v>
      </c>
      <c r="B942" s="21">
        <f t="shared" si="28"/>
        <v>-0.23512540000000001</v>
      </c>
      <c r="D942">
        <f t="shared" si="29"/>
        <v>-93.47823899371069</v>
      </c>
      <c r="G942" s="21">
        <v>0.29726079999999999</v>
      </c>
      <c r="H942" s="21">
        <v>-0.23512540000000001</v>
      </c>
    </row>
    <row r="943" spans="1:8" x14ac:dyDescent="0.15">
      <c r="A943" s="21">
        <v>1.8378909999999998E-2</v>
      </c>
      <c r="B943" s="21">
        <f t="shared" si="28"/>
        <v>-0.2478206</v>
      </c>
      <c r="D943">
        <f t="shared" si="29"/>
        <v>-98.592798742138356</v>
      </c>
      <c r="G943" s="21">
        <v>0.3135251</v>
      </c>
      <c r="H943" s="21">
        <v>-0.2478206</v>
      </c>
    </row>
    <row r="944" spans="1:8" x14ac:dyDescent="0.15">
      <c r="A944" s="21">
        <v>1.8398439999999999E-2</v>
      </c>
      <c r="B944" s="21">
        <f t="shared" si="28"/>
        <v>-0.25189030000000001</v>
      </c>
      <c r="D944">
        <f t="shared" si="29"/>
        <v>-100.27094339622641</v>
      </c>
      <c r="G944" s="21">
        <v>0.31886160000000002</v>
      </c>
      <c r="H944" s="21">
        <v>-0.25189030000000001</v>
      </c>
    </row>
    <row r="945" spans="1:8" x14ac:dyDescent="0.15">
      <c r="A945" s="21">
        <v>1.8417969999999999E-2</v>
      </c>
      <c r="B945" s="21">
        <f t="shared" si="28"/>
        <v>-0.24808959999999999</v>
      </c>
      <c r="D945">
        <f t="shared" si="29"/>
        <v>-98.832515723270433</v>
      </c>
      <c r="G945" s="21">
        <v>0.31428739999999999</v>
      </c>
      <c r="H945" s="21">
        <v>-0.24808959999999999</v>
      </c>
    </row>
    <row r="946" spans="1:8" x14ac:dyDescent="0.15">
      <c r="A946" s="21">
        <v>1.8437499999999999E-2</v>
      </c>
      <c r="B946" s="21">
        <f t="shared" si="28"/>
        <v>-0.23621990000000001</v>
      </c>
      <c r="D946">
        <f t="shared" si="29"/>
        <v>-94.060471698113204</v>
      </c>
      <c r="G946" s="21">
        <v>0.2991123</v>
      </c>
      <c r="H946" s="21">
        <v>-0.23621990000000001</v>
      </c>
    </row>
    <row r="947" spans="1:8" x14ac:dyDescent="0.15">
      <c r="A947" s="21">
        <v>1.8457029999999999E-2</v>
      </c>
      <c r="B947" s="21">
        <f t="shared" si="28"/>
        <v>-0.21646850000000001</v>
      </c>
      <c r="D947">
        <f t="shared" si="29"/>
        <v>-86.182893081760994</v>
      </c>
      <c r="G947" s="21">
        <v>0.27406160000000002</v>
      </c>
      <c r="H947" s="21">
        <v>-0.21646850000000001</v>
      </c>
    </row>
    <row r="948" spans="1:8" x14ac:dyDescent="0.15">
      <c r="A948" s="21">
        <v>1.847656E-2</v>
      </c>
      <c r="B948" s="21">
        <f t="shared" si="28"/>
        <v>-0.18899830000000001</v>
      </c>
      <c r="D948">
        <f t="shared" si="29"/>
        <v>-75.207484276729559</v>
      </c>
      <c r="G948" s="21">
        <v>0.23915980000000001</v>
      </c>
      <c r="H948" s="21">
        <v>-0.18899830000000001</v>
      </c>
    </row>
    <row r="949" spans="1:8" x14ac:dyDescent="0.15">
      <c r="A949" s="21">
        <v>1.849609E-2</v>
      </c>
      <c r="B949" s="21">
        <f t="shared" si="28"/>
        <v>-0.15474679999999999</v>
      </c>
      <c r="D949">
        <f t="shared" si="29"/>
        <v>-61.449779874213839</v>
      </c>
      <c r="G949" s="21">
        <v>0.19541030000000001</v>
      </c>
      <c r="H949" s="21">
        <v>-0.15474679999999999</v>
      </c>
    </row>
    <row r="950" spans="1:8" x14ac:dyDescent="0.15">
      <c r="A950" s="21">
        <v>1.8515630000000002E-2</v>
      </c>
      <c r="B950" s="21">
        <f t="shared" si="28"/>
        <v>-0.1152181</v>
      </c>
      <c r="D950">
        <f t="shared" si="29"/>
        <v>-45.637767295597484</v>
      </c>
      <c r="G950" s="21">
        <v>0.14512810000000001</v>
      </c>
      <c r="H950" s="21">
        <v>-0.1152181</v>
      </c>
    </row>
    <row r="951" spans="1:8" x14ac:dyDescent="0.15">
      <c r="A951" s="21">
        <v>1.8535159999999998E-2</v>
      </c>
      <c r="B951" s="21">
        <f t="shared" si="28"/>
        <v>-7.1741479999999996E-2</v>
      </c>
      <c r="D951">
        <f t="shared" si="29"/>
        <v>-28.245493710691825</v>
      </c>
      <c r="G951" s="21">
        <v>8.9820670000000005E-2</v>
      </c>
      <c r="H951" s="21">
        <v>-7.1741479999999996E-2</v>
      </c>
    </row>
    <row r="952" spans="1:8" x14ac:dyDescent="0.15">
      <c r="A952" s="21">
        <v>1.8554689999999999E-2</v>
      </c>
      <c r="B952" s="21">
        <f t="shared" si="28"/>
        <v>-2.6398330000000001E-2</v>
      </c>
      <c r="D952">
        <f t="shared" si="29"/>
        <v>-10.064220125786163</v>
      </c>
      <c r="G952" s="21">
        <v>3.200422E-2</v>
      </c>
      <c r="H952" s="21">
        <v>-2.6398330000000001E-2</v>
      </c>
    </row>
    <row r="953" spans="1:8" x14ac:dyDescent="0.15">
      <c r="A953" s="21">
        <v>1.8574219999999999E-2</v>
      </c>
      <c r="B953" s="21">
        <f t="shared" si="28"/>
        <v>1.9757279999999999E-2</v>
      </c>
      <c r="D953">
        <f t="shared" si="29"/>
        <v>8.430399371069182</v>
      </c>
      <c r="G953" s="21">
        <v>-2.680867E-2</v>
      </c>
      <c r="H953" s="21">
        <v>1.9757279999999999E-2</v>
      </c>
    </row>
    <row r="954" spans="1:8" x14ac:dyDescent="0.15">
      <c r="A954" s="21">
        <v>1.8593749999999999E-2</v>
      </c>
      <c r="B954" s="21">
        <f t="shared" si="28"/>
        <v>6.5945260000000006E-2</v>
      </c>
      <c r="D954">
        <f t="shared" si="29"/>
        <v>26.998669811320752</v>
      </c>
      <c r="G954" s="21">
        <v>-8.5855769999999998E-2</v>
      </c>
      <c r="H954" s="21">
        <v>6.5945260000000006E-2</v>
      </c>
    </row>
    <row r="955" spans="1:8" x14ac:dyDescent="0.15">
      <c r="A955" s="21">
        <v>1.8613279999999999E-2</v>
      </c>
      <c r="B955" s="21">
        <f t="shared" si="28"/>
        <v>0.1096757</v>
      </c>
      <c r="D955">
        <f t="shared" si="29"/>
        <v>44.534905660377362</v>
      </c>
      <c r="G955" s="21">
        <v>-0.141621</v>
      </c>
      <c r="H955" s="21">
        <v>0.1096757</v>
      </c>
    </row>
    <row r="956" spans="1:8" x14ac:dyDescent="0.15">
      <c r="A956" s="21">
        <v>1.863281E-2</v>
      </c>
      <c r="B956" s="21">
        <f t="shared" si="28"/>
        <v>0.1492965</v>
      </c>
      <c r="D956">
        <f t="shared" si="29"/>
        <v>60.363144654088046</v>
      </c>
      <c r="G956" s="21">
        <v>-0.19195480000000001</v>
      </c>
      <c r="H956" s="21">
        <v>0.1492965</v>
      </c>
    </row>
    <row r="957" spans="1:8" x14ac:dyDescent="0.15">
      <c r="A957" s="21">
        <v>1.865234E-2</v>
      </c>
      <c r="B957" s="21">
        <f t="shared" si="28"/>
        <v>0.18380779999999999</v>
      </c>
      <c r="D957">
        <f t="shared" si="29"/>
        <v>74.296572327044018</v>
      </c>
      <c r="G957" s="21">
        <v>-0.2362631</v>
      </c>
      <c r="H957" s="21">
        <v>0.18380779999999999</v>
      </c>
    </row>
    <row r="958" spans="1:8" x14ac:dyDescent="0.15">
      <c r="A958" s="21">
        <v>1.8671879999999998E-2</v>
      </c>
      <c r="B958" s="21">
        <f t="shared" si="28"/>
        <v>0.21163870000000001</v>
      </c>
      <c r="D958">
        <f t="shared" si="29"/>
        <v>85.498930817610059</v>
      </c>
      <c r="G958" s="21">
        <v>-0.27188659999999998</v>
      </c>
      <c r="H958" s="21">
        <v>0.21163870000000001</v>
      </c>
    </row>
    <row r="959" spans="1:8" x14ac:dyDescent="0.15">
      <c r="A959" s="21">
        <v>1.8691409999999999E-2</v>
      </c>
      <c r="B959" s="21">
        <f t="shared" si="28"/>
        <v>0.2325237</v>
      </c>
      <c r="D959">
        <f t="shared" si="29"/>
        <v>93.876949685534569</v>
      </c>
      <c r="G959" s="21">
        <v>-0.29852869999999998</v>
      </c>
      <c r="H959" s="21">
        <v>0.2325237</v>
      </c>
    </row>
    <row r="960" spans="1:8" x14ac:dyDescent="0.15">
      <c r="A960" s="21">
        <v>1.8710939999999999E-2</v>
      </c>
      <c r="B960" s="21">
        <f t="shared" si="28"/>
        <v>0.24640509999999999</v>
      </c>
      <c r="D960">
        <f t="shared" si="29"/>
        <v>99.562421383647788</v>
      </c>
      <c r="G960" s="21">
        <v>-0.31660850000000001</v>
      </c>
      <c r="H960" s="21">
        <v>0.24640509999999999</v>
      </c>
    </row>
    <row r="961" spans="1:8" x14ac:dyDescent="0.15">
      <c r="A961" s="21">
        <v>1.8730469999999999E-2</v>
      </c>
      <c r="B961" s="21">
        <f t="shared" si="28"/>
        <v>0.25195919999999999</v>
      </c>
      <c r="D961">
        <f t="shared" si="29"/>
        <v>101.73801886792452</v>
      </c>
      <c r="G961" s="21">
        <v>-0.32352690000000001</v>
      </c>
      <c r="H961" s="21">
        <v>0.25195919999999999</v>
      </c>
    </row>
    <row r="962" spans="1:8" x14ac:dyDescent="0.15">
      <c r="A962" s="21">
        <v>1.8749999999999999E-2</v>
      </c>
      <c r="B962" s="21">
        <f t="shared" ref="B962:B1025" si="30">H962</f>
        <v>0.2486112</v>
      </c>
      <c r="D962">
        <f t="shared" ref="D962:D1025" si="31">G962*-1000/3.18</f>
        <v>100.37716981132075</v>
      </c>
      <c r="G962" s="21">
        <v>-0.31919940000000002</v>
      </c>
      <c r="H962" s="21">
        <v>0.2486112</v>
      </c>
    </row>
    <row r="963" spans="1:8" x14ac:dyDescent="0.15">
      <c r="A963" s="21">
        <v>1.876953E-2</v>
      </c>
      <c r="B963" s="21">
        <f t="shared" si="30"/>
        <v>0.23683309999999999</v>
      </c>
      <c r="D963">
        <f t="shared" si="31"/>
        <v>95.794056603773569</v>
      </c>
      <c r="G963" s="21">
        <v>-0.30462509999999998</v>
      </c>
      <c r="H963" s="21">
        <v>0.23683309999999999</v>
      </c>
    </row>
    <row r="964" spans="1:8" x14ac:dyDescent="0.15">
      <c r="A964" s="21">
        <v>1.878906E-2</v>
      </c>
      <c r="B964" s="21">
        <f t="shared" si="30"/>
        <v>0.21698439999999999</v>
      </c>
      <c r="D964">
        <f t="shared" si="31"/>
        <v>87.832232704402514</v>
      </c>
      <c r="G964" s="21">
        <v>-0.27930650000000001</v>
      </c>
      <c r="H964" s="21">
        <v>0.21698439999999999</v>
      </c>
    </row>
    <row r="965" spans="1:8" x14ac:dyDescent="0.15">
      <c r="A965" s="21">
        <v>1.880859E-2</v>
      </c>
      <c r="B965" s="21">
        <f t="shared" si="30"/>
        <v>0.189827</v>
      </c>
      <c r="D965">
        <f t="shared" si="31"/>
        <v>76.9561320754717</v>
      </c>
      <c r="G965" s="21">
        <v>-0.24472050000000001</v>
      </c>
      <c r="H965" s="21">
        <v>0.189827</v>
      </c>
    </row>
    <row r="966" spans="1:8" x14ac:dyDescent="0.15">
      <c r="A966" s="21">
        <v>1.8828129999999998E-2</v>
      </c>
      <c r="B966" s="21">
        <f t="shared" si="30"/>
        <v>0.15627279999999999</v>
      </c>
      <c r="D966">
        <f t="shared" si="31"/>
        <v>63.533176100628928</v>
      </c>
      <c r="G966" s="21">
        <v>-0.20203550000000001</v>
      </c>
      <c r="H966" s="21">
        <v>0.15627279999999999</v>
      </c>
    </row>
    <row r="967" spans="1:8" x14ac:dyDescent="0.15">
      <c r="A967" s="21">
        <v>1.8847659999999999E-2</v>
      </c>
      <c r="B967" s="21">
        <f t="shared" si="30"/>
        <v>0.1172591</v>
      </c>
      <c r="D967">
        <f t="shared" si="31"/>
        <v>47.908176100628936</v>
      </c>
      <c r="G967" s="21">
        <v>-0.15234800000000001</v>
      </c>
      <c r="H967" s="21">
        <v>0.1172591</v>
      </c>
    </row>
    <row r="968" spans="1:8" x14ac:dyDescent="0.15">
      <c r="A968" s="21">
        <v>1.8867189999999999E-2</v>
      </c>
      <c r="B968" s="21">
        <f t="shared" si="30"/>
        <v>7.4130390000000004E-2</v>
      </c>
      <c r="D968">
        <f t="shared" si="31"/>
        <v>30.713553459119495</v>
      </c>
      <c r="G968" s="21">
        <v>-9.7669099999999995E-2</v>
      </c>
      <c r="H968" s="21">
        <v>7.4130390000000004E-2</v>
      </c>
    </row>
    <row r="969" spans="1:8" x14ac:dyDescent="0.15">
      <c r="A969" s="21">
        <v>1.8886719999999999E-2</v>
      </c>
      <c r="B969" s="21">
        <f t="shared" si="30"/>
        <v>2.8383510000000001E-2</v>
      </c>
      <c r="D969">
        <f t="shared" si="31"/>
        <v>12.363921383647797</v>
      </c>
      <c r="G969" s="21">
        <v>-3.9317270000000001E-2</v>
      </c>
      <c r="H969" s="21">
        <v>2.8383510000000001E-2</v>
      </c>
    </row>
    <row r="970" spans="1:8" x14ac:dyDescent="0.15">
      <c r="A970" s="21">
        <v>1.8906249999999999E-2</v>
      </c>
      <c r="B970" s="21">
        <f t="shared" si="30"/>
        <v>-1.8091179999999998E-2</v>
      </c>
      <c r="D970">
        <f t="shared" si="31"/>
        <v>-6.3067924528301882</v>
      </c>
      <c r="G970" s="21">
        <v>2.00556E-2</v>
      </c>
      <c r="H970" s="21">
        <v>-1.8091179999999998E-2</v>
      </c>
    </row>
    <row r="971" spans="1:8" x14ac:dyDescent="0.15">
      <c r="A971" s="21">
        <v>1.892578E-2</v>
      </c>
      <c r="B971" s="21">
        <f t="shared" si="30"/>
        <v>-6.401519E-2</v>
      </c>
      <c r="D971">
        <f t="shared" si="31"/>
        <v>-24.687386792452827</v>
      </c>
      <c r="G971" s="21">
        <v>7.8505889999999995E-2</v>
      </c>
      <c r="H971" s="21">
        <v>-6.401519E-2</v>
      </c>
    </row>
    <row r="972" spans="1:8" x14ac:dyDescent="0.15">
      <c r="A972" s="21">
        <v>1.894531E-2</v>
      </c>
      <c r="B972" s="21">
        <f t="shared" si="30"/>
        <v>-0.1078422</v>
      </c>
      <c r="D972">
        <f t="shared" si="31"/>
        <v>-42.237578616352202</v>
      </c>
      <c r="G972" s="21">
        <v>0.1343155</v>
      </c>
      <c r="H972" s="21">
        <v>-0.1078422</v>
      </c>
    </row>
    <row r="973" spans="1:8" x14ac:dyDescent="0.15">
      <c r="A973" s="21">
        <v>1.896484E-2</v>
      </c>
      <c r="B973" s="21">
        <f t="shared" si="30"/>
        <v>-0.1472936</v>
      </c>
      <c r="D973">
        <f t="shared" si="31"/>
        <v>-58.066792452830185</v>
      </c>
      <c r="G973" s="21">
        <v>0.18465239999999999</v>
      </c>
      <c r="H973" s="21">
        <v>-0.1472936</v>
      </c>
    </row>
    <row r="974" spans="1:8" x14ac:dyDescent="0.15">
      <c r="A974" s="21">
        <v>1.8984379999999999E-2</v>
      </c>
      <c r="B974" s="21">
        <f t="shared" si="30"/>
        <v>-0.1819315</v>
      </c>
      <c r="D974">
        <f t="shared" si="31"/>
        <v>-72.017201257861629</v>
      </c>
      <c r="G974" s="21">
        <v>0.22901469999999999</v>
      </c>
      <c r="H974" s="21">
        <v>-0.1819315</v>
      </c>
    </row>
    <row r="975" spans="1:8" x14ac:dyDescent="0.15">
      <c r="A975" s="21">
        <v>1.9003909999999999E-2</v>
      </c>
      <c r="B975" s="21">
        <f t="shared" si="30"/>
        <v>-0.21094889999999999</v>
      </c>
      <c r="D975">
        <f t="shared" si="31"/>
        <v>-83.696446540880515</v>
      </c>
      <c r="G975" s="21">
        <v>0.26615470000000002</v>
      </c>
      <c r="H975" s="21">
        <v>-0.21094889999999999</v>
      </c>
    </row>
    <row r="976" spans="1:8" x14ac:dyDescent="0.15">
      <c r="A976" s="21">
        <v>1.9023439999999999E-2</v>
      </c>
      <c r="B976" s="21">
        <f t="shared" si="30"/>
        <v>-0.2326878</v>
      </c>
      <c r="D976">
        <f t="shared" si="31"/>
        <v>-92.425377358490564</v>
      </c>
      <c r="G976" s="21">
        <v>0.29391270000000003</v>
      </c>
      <c r="H976" s="21">
        <v>-0.2326878</v>
      </c>
    </row>
    <row r="977" spans="1:8" x14ac:dyDescent="0.15">
      <c r="A977" s="21">
        <v>1.9042969999999999E-2</v>
      </c>
      <c r="B977" s="21">
        <f t="shared" si="30"/>
        <v>-0.24675830000000001</v>
      </c>
      <c r="D977">
        <f t="shared" si="31"/>
        <v>-98.119371069182392</v>
      </c>
      <c r="G977" s="21">
        <v>0.31201960000000001</v>
      </c>
      <c r="H977" s="21">
        <v>-0.24675830000000001</v>
      </c>
    </row>
    <row r="978" spans="1:8" x14ac:dyDescent="0.15">
      <c r="A978" s="21">
        <v>1.90625E-2</v>
      </c>
      <c r="B978" s="21">
        <f t="shared" si="30"/>
        <v>-0.25220860000000001</v>
      </c>
      <c r="D978">
        <f t="shared" si="31"/>
        <v>-100.37955974842767</v>
      </c>
      <c r="G978" s="21">
        <v>0.31920700000000002</v>
      </c>
      <c r="H978" s="21">
        <v>-0.25220860000000001</v>
      </c>
    </row>
    <row r="979" spans="1:8" x14ac:dyDescent="0.15">
      <c r="A979" s="21">
        <v>1.908203E-2</v>
      </c>
      <c r="B979" s="21">
        <f t="shared" si="30"/>
        <v>-0.2489365</v>
      </c>
      <c r="D979">
        <f t="shared" si="31"/>
        <v>-99.128459119496853</v>
      </c>
      <c r="G979" s="21">
        <v>0.31522850000000002</v>
      </c>
      <c r="H979" s="21">
        <v>-0.2489365</v>
      </c>
    </row>
    <row r="980" spans="1:8" x14ac:dyDescent="0.15">
      <c r="A980" s="21">
        <v>1.910156E-2</v>
      </c>
      <c r="B980" s="21">
        <f t="shared" si="30"/>
        <v>-0.2381392</v>
      </c>
      <c r="D980">
        <f t="shared" si="31"/>
        <v>-94.858396226415081</v>
      </c>
      <c r="G980" s="21">
        <v>0.30164970000000002</v>
      </c>
      <c r="H980" s="21">
        <v>-0.2381392</v>
      </c>
    </row>
    <row r="981" spans="1:8" x14ac:dyDescent="0.15">
      <c r="A981" s="21">
        <v>1.912109E-2</v>
      </c>
      <c r="B981" s="21">
        <f t="shared" si="30"/>
        <v>-0.21956629999999999</v>
      </c>
      <c r="D981">
        <f t="shared" si="31"/>
        <v>-87.378396226415077</v>
      </c>
      <c r="G981" s="21">
        <v>0.27786329999999998</v>
      </c>
      <c r="H981" s="21">
        <v>-0.21956629999999999</v>
      </c>
    </row>
    <row r="982" spans="1:8" x14ac:dyDescent="0.15">
      <c r="A982" s="21">
        <v>1.9140629999999999E-2</v>
      </c>
      <c r="B982" s="21">
        <f t="shared" si="30"/>
        <v>-0.19315299999999999</v>
      </c>
      <c r="D982">
        <f t="shared" si="31"/>
        <v>-76.732861635220118</v>
      </c>
      <c r="G982" s="21">
        <v>0.24401049999999999</v>
      </c>
      <c r="H982" s="21">
        <v>-0.19315299999999999</v>
      </c>
    </row>
    <row r="983" spans="1:8" x14ac:dyDescent="0.15">
      <c r="A983" s="21">
        <v>1.9160159999999999E-2</v>
      </c>
      <c r="B983" s="21">
        <f t="shared" si="30"/>
        <v>-0.16000700000000001</v>
      </c>
      <c r="D983">
        <f t="shared" si="31"/>
        <v>-63.514748427672956</v>
      </c>
      <c r="G983" s="21">
        <v>0.20197689999999999</v>
      </c>
      <c r="H983" s="21">
        <v>-0.16000700000000001</v>
      </c>
    </row>
    <row r="984" spans="1:8" x14ac:dyDescent="0.15">
      <c r="A984" s="21">
        <v>1.9179689999999999E-2</v>
      </c>
      <c r="B984" s="21">
        <f t="shared" si="30"/>
        <v>-0.1209081</v>
      </c>
      <c r="D984">
        <f t="shared" si="31"/>
        <v>-47.827012578616348</v>
      </c>
      <c r="G984" s="21">
        <v>0.1520899</v>
      </c>
      <c r="H984" s="21">
        <v>-0.1209081</v>
      </c>
    </row>
    <row r="985" spans="1:8" x14ac:dyDescent="0.15">
      <c r="A985" s="21">
        <v>1.9199219999999999E-2</v>
      </c>
      <c r="B985" s="21">
        <f t="shared" si="30"/>
        <v>-7.7765870000000001E-2</v>
      </c>
      <c r="D985">
        <f t="shared" si="31"/>
        <v>-30.544270440251573</v>
      </c>
      <c r="G985" s="21">
        <v>9.713078E-2</v>
      </c>
      <c r="H985" s="21">
        <v>-7.7765870000000001E-2</v>
      </c>
    </row>
    <row r="986" spans="1:8" x14ac:dyDescent="0.15">
      <c r="A986" s="21">
        <v>1.921875E-2</v>
      </c>
      <c r="B986" s="21">
        <f t="shared" si="30"/>
        <v>-3.2808379999999998E-2</v>
      </c>
      <c r="D986">
        <f t="shared" si="31"/>
        <v>-12.606943396226415</v>
      </c>
      <c r="G986" s="21">
        <v>4.009008E-2</v>
      </c>
      <c r="H986" s="21">
        <v>-3.2808379999999998E-2</v>
      </c>
    </row>
    <row r="987" spans="1:8" x14ac:dyDescent="0.15">
      <c r="A987" s="21">
        <v>1.923828E-2</v>
      </c>
      <c r="B987" s="21">
        <f t="shared" si="30"/>
        <v>1.37039E-2</v>
      </c>
      <c r="D987">
        <f t="shared" si="31"/>
        <v>6.1092452830188684</v>
      </c>
      <c r="G987" s="21">
        <v>-1.9427400000000001E-2</v>
      </c>
      <c r="H987" s="21">
        <v>1.37039E-2</v>
      </c>
    </row>
    <row r="988" spans="1:8" x14ac:dyDescent="0.15">
      <c r="A988" s="21">
        <v>1.925781E-2</v>
      </c>
      <c r="B988" s="21">
        <f t="shared" si="30"/>
        <v>6.0025290000000002E-2</v>
      </c>
      <c r="D988">
        <f t="shared" si="31"/>
        <v>24.632113207547171</v>
      </c>
      <c r="G988" s="21">
        <v>-7.8330120000000003E-2</v>
      </c>
      <c r="H988" s="21">
        <v>6.0025290000000002E-2</v>
      </c>
    </row>
    <row r="989" spans="1:8" x14ac:dyDescent="0.15">
      <c r="A989" s="21">
        <v>1.927734E-2</v>
      </c>
      <c r="B989" s="21">
        <f t="shared" si="30"/>
        <v>0.1035954</v>
      </c>
      <c r="D989">
        <f t="shared" si="31"/>
        <v>42.059119496855352</v>
      </c>
      <c r="G989" s="21">
        <v>-0.13374800000000001</v>
      </c>
      <c r="H989" s="21">
        <v>0.1035954</v>
      </c>
    </row>
    <row r="990" spans="1:8" x14ac:dyDescent="0.15">
      <c r="A990" s="21">
        <v>1.9296879999999999E-2</v>
      </c>
      <c r="B990" s="21">
        <f t="shared" si="30"/>
        <v>0.1438017</v>
      </c>
      <c r="D990">
        <f t="shared" si="31"/>
        <v>58.266037735849054</v>
      </c>
      <c r="G990" s="21">
        <v>-0.18528600000000001</v>
      </c>
      <c r="H990" s="21">
        <v>0.1438017</v>
      </c>
    </row>
    <row r="991" spans="1:8" x14ac:dyDescent="0.15">
      <c r="A991" s="21">
        <v>1.9316409999999999E-2</v>
      </c>
      <c r="B991" s="21">
        <f t="shared" si="30"/>
        <v>0.17911949999999999</v>
      </c>
      <c r="D991">
        <f t="shared" si="31"/>
        <v>72.412452830188684</v>
      </c>
      <c r="G991" s="21">
        <v>-0.23027159999999999</v>
      </c>
      <c r="H991" s="21">
        <v>0.17911949999999999</v>
      </c>
    </row>
    <row r="992" spans="1:8" x14ac:dyDescent="0.15">
      <c r="A992" s="21">
        <v>1.9335939999999999E-2</v>
      </c>
      <c r="B992" s="21">
        <f t="shared" si="30"/>
        <v>0.20810770000000001</v>
      </c>
      <c r="D992">
        <f t="shared" si="31"/>
        <v>84.096132075471701</v>
      </c>
      <c r="G992" s="21">
        <v>-0.26742569999999999</v>
      </c>
      <c r="H992" s="21">
        <v>0.20810770000000001</v>
      </c>
    </row>
    <row r="993" spans="1:8" x14ac:dyDescent="0.15">
      <c r="A993" s="21">
        <v>1.935547E-2</v>
      </c>
      <c r="B993" s="21">
        <f t="shared" si="30"/>
        <v>0.23029769999999999</v>
      </c>
      <c r="D993">
        <f t="shared" si="31"/>
        <v>93.047484276729563</v>
      </c>
      <c r="G993" s="21">
        <v>-0.29589100000000002</v>
      </c>
      <c r="H993" s="21">
        <v>0.23029769999999999</v>
      </c>
    </row>
    <row r="994" spans="1:8" x14ac:dyDescent="0.15">
      <c r="A994" s="21">
        <v>1.9375E-2</v>
      </c>
      <c r="B994" s="21">
        <f t="shared" si="30"/>
        <v>0.244784</v>
      </c>
      <c r="D994">
        <f t="shared" si="31"/>
        <v>98.858553459119491</v>
      </c>
      <c r="G994" s="21">
        <v>-0.31437019999999999</v>
      </c>
      <c r="H994" s="21">
        <v>0.244784</v>
      </c>
    </row>
    <row r="995" spans="1:8" x14ac:dyDescent="0.15">
      <c r="A995" s="21">
        <v>1.939453E-2</v>
      </c>
      <c r="B995" s="21">
        <f t="shared" si="30"/>
        <v>0.25133650000000002</v>
      </c>
      <c r="D995">
        <f t="shared" si="31"/>
        <v>101.52220125786162</v>
      </c>
      <c r="G995" s="21">
        <v>-0.32284059999999998</v>
      </c>
      <c r="H995" s="21">
        <v>0.25133650000000002</v>
      </c>
    </row>
    <row r="996" spans="1:8" x14ac:dyDescent="0.15">
      <c r="A996" s="21">
        <v>1.941406E-2</v>
      </c>
      <c r="B996" s="21">
        <f t="shared" si="30"/>
        <v>0.24923770000000001</v>
      </c>
      <c r="D996">
        <f t="shared" si="31"/>
        <v>100.63053459119496</v>
      </c>
      <c r="G996" s="21">
        <v>-0.32000509999999999</v>
      </c>
      <c r="H996" s="21">
        <v>0.24923770000000001</v>
      </c>
    </row>
    <row r="997" spans="1:8" x14ac:dyDescent="0.15">
      <c r="A997" s="21">
        <v>1.9433590000000001E-2</v>
      </c>
      <c r="B997" s="21">
        <f t="shared" si="30"/>
        <v>0.23828959999999999</v>
      </c>
      <c r="D997">
        <f t="shared" si="31"/>
        <v>96.283742138364772</v>
      </c>
      <c r="G997" s="21">
        <v>-0.30618230000000002</v>
      </c>
      <c r="H997" s="21">
        <v>0.23828959999999999</v>
      </c>
    </row>
    <row r="998" spans="1:8" x14ac:dyDescent="0.15">
      <c r="A998" s="21">
        <v>1.9453129999999999E-2</v>
      </c>
      <c r="B998" s="21">
        <f t="shared" si="30"/>
        <v>0.21985730000000001</v>
      </c>
      <c r="D998">
        <f t="shared" si="31"/>
        <v>89.024811320754722</v>
      </c>
      <c r="G998" s="21">
        <v>-0.28309889999999999</v>
      </c>
      <c r="H998" s="21">
        <v>0.21985730000000001</v>
      </c>
    </row>
    <row r="999" spans="1:8" x14ac:dyDescent="0.15">
      <c r="A999" s="21">
        <v>1.9472659999999999E-2</v>
      </c>
      <c r="B999" s="21">
        <f t="shared" si="30"/>
        <v>0.19361310000000001</v>
      </c>
      <c r="D999">
        <f t="shared" si="31"/>
        <v>78.495786163522013</v>
      </c>
      <c r="G999" s="21">
        <v>-0.24961659999999999</v>
      </c>
      <c r="H999" s="21">
        <v>0.19361310000000001</v>
      </c>
    </row>
    <row r="1000" spans="1:8" x14ac:dyDescent="0.15">
      <c r="A1000" s="21">
        <v>1.949219E-2</v>
      </c>
      <c r="B1000" s="21">
        <f t="shared" si="30"/>
        <v>0.16030359999999999</v>
      </c>
      <c r="D1000">
        <f t="shared" si="31"/>
        <v>65.175314465408803</v>
      </c>
      <c r="G1000" s="21">
        <v>-0.20725750000000001</v>
      </c>
      <c r="H1000" s="21">
        <v>0.16030359999999999</v>
      </c>
    </row>
    <row r="1001" spans="1:8" x14ac:dyDescent="0.15">
      <c r="A1001" s="21">
        <v>1.951172E-2</v>
      </c>
      <c r="B1001" s="21">
        <f t="shared" si="30"/>
        <v>0.1225223</v>
      </c>
      <c r="D1001">
        <f t="shared" si="31"/>
        <v>50.129308176100629</v>
      </c>
      <c r="G1001" s="21">
        <v>-0.1594112</v>
      </c>
      <c r="H1001" s="21">
        <v>0.1225223</v>
      </c>
    </row>
    <row r="1002" spans="1:8" x14ac:dyDescent="0.15">
      <c r="A1002" s="21">
        <v>1.953125E-2</v>
      </c>
      <c r="B1002" s="21">
        <f t="shared" si="30"/>
        <v>8.0068159999999999E-2</v>
      </c>
      <c r="D1002">
        <f t="shared" si="31"/>
        <v>33.05553459119497</v>
      </c>
      <c r="G1002" s="21">
        <v>-0.1051166</v>
      </c>
      <c r="H1002" s="21">
        <v>8.0068159999999999E-2</v>
      </c>
    </row>
    <row r="1003" spans="1:8" x14ac:dyDescent="0.15">
      <c r="A1003" s="21">
        <v>1.955078E-2</v>
      </c>
      <c r="B1003" s="21">
        <f t="shared" si="30"/>
        <v>3.423843E-2</v>
      </c>
      <c r="D1003">
        <f t="shared" si="31"/>
        <v>14.709849056603771</v>
      </c>
      <c r="G1003" s="21">
        <v>-4.6777319999999997E-2</v>
      </c>
      <c r="H1003" s="21">
        <v>3.423843E-2</v>
      </c>
    </row>
    <row r="1004" spans="1:8" x14ac:dyDescent="0.15">
      <c r="A1004" s="21">
        <v>1.957031E-2</v>
      </c>
      <c r="B1004" s="21">
        <f t="shared" si="30"/>
        <v>-1.217671E-2</v>
      </c>
      <c r="D1004">
        <f t="shared" si="31"/>
        <v>-3.8402955974842765</v>
      </c>
      <c r="G1004" s="21">
        <v>1.221214E-2</v>
      </c>
      <c r="H1004" s="21">
        <v>-1.217671E-2</v>
      </c>
    </row>
    <row r="1005" spans="1:8" x14ac:dyDescent="0.15">
      <c r="A1005" s="21">
        <v>1.9589840000000001E-2</v>
      </c>
      <c r="B1005" s="21">
        <f t="shared" si="30"/>
        <v>-5.8738319999999997E-2</v>
      </c>
      <c r="D1005">
        <f t="shared" si="31"/>
        <v>-22.555874213836479</v>
      </c>
      <c r="G1005" s="21">
        <v>7.1727680000000002E-2</v>
      </c>
      <c r="H1005" s="21">
        <v>-5.8738319999999997E-2</v>
      </c>
    </row>
    <row r="1006" spans="1:8" x14ac:dyDescent="0.15">
      <c r="A1006" s="21">
        <v>1.9609379999999999E-2</v>
      </c>
      <c r="B1006" s="21">
        <f t="shared" si="30"/>
        <v>-0.1028529</v>
      </c>
      <c r="D1006">
        <f t="shared" si="31"/>
        <v>-40.167264150943396</v>
      </c>
      <c r="G1006" s="21">
        <v>0.12773190000000001</v>
      </c>
      <c r="H1006" s="21">
        <v>-0.1028529</v>
      </c>
    </row>
    <row r="1007" spans="1:8" x14ac:dyDescent="0.15">
      <c r="A1007" s="21">
        <v>1.9628909999999999E-2</v>
      </c>
      <c r="B1007" s="21">
        <f t="shared" si="30"/>
        <v>-0.14250289999999999</v>
      </c>
      <c r="D1007">
        <f t="shared" si="31"/>
        <v>-56.138522012578612</v>
      </c>
      <c r="G1007" s="21">
        <v>0.1785205</v>
      </c>
      <c r="H1007" s="21">
        <v>-0.14250289999999999</v>
      </c>
    </row>
    <row r="1008" spans="1:8" x14ac:dyDescent="0.15">
      <c r="A1008" s="21">
        <v>1.964844E-2</v>
      </c>
      <c r="B1008" s="21">
        <f t="shared" si="30"/>
        <v>-0.17778440000000001</v>
      </c>
      <c r="D1008">
        <f t="shared" si="31"/>
        <v>-70.390440251572329</v>
      </c>
      <c r="G1008" s="21">
        <v>0.2238416</v>
      </c>
      <c r="H1008" s="21">
        <v>-0.17778440000000001</v>
      </c>
    </row>
    <row r="1009" spans="1:8" x14ac:dyDescent="0.15">
      <c r="A1009" s="21">
        <v>1.966797E-2</v>
      </c>
      <c r="B1009" s="21">
        <f t="shared" si="30"/>
        <v>-0.2073371</v>
      </c>
      <c r="D1009">
        <f t="shared" si="31"/>
        <v>-82.179088050314462</v>
      </c>
      <c r="G1009" s="21">
        <v>0.26132949999999999</v>
      </c>
      <c r="H1009" s="21">
        <v>-0.2073371</v>
      </c>
    </row>
    <row r="1010" spans="1:8" x14ac:dyDescent="0.15">
      <c r="A1010" s="21">
        <v>1.96875E-2</v>
      </c>
      <c r="B1010" s="21">
        <f t="shared" si="30"/>
        <v>-0.23056550000000001</v>
      </c>
      <c r="D1010">
        <f t="shared" si="31"/>
        <v>-91.55138364779873</v>
      </c>
      <c r="G1010" s="21">
        <v>0.29113339999999999</v>
      </c>
      <c r="H1010" s="21">
        <v>-0.23056550000000001</v>
      </c>
    </row>
    <row r="1011" spans="1:8" x14ac:dyDescent="0.15">
      <c r="A1011" s="21">
        <v>1.970703E-2</v>
      </c>
      <c r="B1011" s="21">
        <f t="shared" si="30"/>
        <v>-0.2459365</v>
      </c>
      <c r="D1011">
        <f t="shared" si="31"/>
        <v>-97.736761006289299</v>
      </c>
      <c r="G1011" s="21">
        <v>0.31080289999999999</v>
      </c>
      <c r="H1011" s="21">
        <v>-0.2459365</v>
      </c>
    </row>
    <row r="1012" spans="1:8" x14ac:dyDescent="0.15">
      <c r="A1012" s="21">
        <v>1.9726560000000001E-2</v>
      </c>
      <c r="B1012" s="21">
        <f t="shared" si="30"/>
        <v>-0.25226140000000002</v>
      </c>
      <c r="D1012">
        <f t="shared" si="31"/>
        <v>-100.2995283018868</v>
      </c>
      <c r="G1012" s="21">
        <v>0.31895250000000003</v>
      </c>
      <c r="H1012" s="21">
        <v>-0.25226140000000002</v>
      </c>
    </row>
    <row r="1013" spans="1:8" x14ac:dyDescent="0.15">
      <c r="A1013" s="21">
        <v>1.9746090000000001E-2</v>
      </c>
      <c r="B1013" s="21">
        <f t="shared" si="30"/>
        <v>-0.25067060000000002</v>
      </c>
      <c r="D1013">
        <f t="shared" si="31"/>
        <v>-99.751981132075471</v>
      </c>
      <c r="G1013" s="21">
        <v>0.31721129999999997</v>
      </c>
      <c r="H1013" s="21">
        <v>-0.25067060000000002</v>
      </c>
    </row>
    <row r="1014" spans="1:8" x14ac:dyDescent="0.15">
      <c r="A1014" s="21">
        <v>1.9765629999999999E-2</v>
      </c>
      <c r="B1014" s="21">
        <f t="shared" si="30"/>
        <v>-0.24066100000000001</v>
      </c>
      <c r="D1014">
        <f t="shared" si="31"/>
        <v>-95.700157232704399</v>
      </c>
      <c r="G1014" s="21">
        <v>0.3043265</v>
      </c>
      <c r="H1014" s="21">
        <v>-0.24066100000000001</v>
      </c>
    </row>
    <row r="1015" spans="1:8" x14ac:dyDescent="0.15">
      <c r="A1015" s="21">
        <v>1.978516E-2</v>
      </c>
      <c r="B1015" s="21">
        <f t="shared" si="30"/>
        <v>-0.22241839999999999</v>
      </c>
      <c r="D1015">
        <f t="shared" si="31"/>
        <v>-88.372798742138343</v>
      </c>
      <c r="G1015" s="21">
        <v>0.28102549999999998</v>
      </c>
      <c r="H1015" s="21">
        <v>-0.22241839999999999</v>
      </c>
    </row>
    <row r="1016" spans="1:8" x14ac:dyDescent="0.15">
      <c r="A1016" s="21">
        <v>1.980469E-2</v>
      </c>
      <c r="B1016" s="21">
        <f t="shared" si="30"/>
        <v>-0.1973258</v>
      </c>
      <c r="D1016">
        <f t="shared" si="31"/>
        <v>-78.429528301886791</v>
      </c>
      <c r="G1016" s="21">
        <v>0.24940590000000001</v>
      </c>
      <c r="H1016" s="21">
        <v>-0.1973258</v>
      </c>
    </row>
    <row r="1017" spans="1:8" x14ac:dyDescent="0.15">
      <c r="A1017" s="21">
        <v>1.982422E-2</v>
      </c>
      <c r="B1017" s="21">
        <f t="shared" si="30"/>
        <v>-0.1650904</v>
      </c>
      <c r="D1017">
        <f t="shared" si="31"/>
        <v>-65.573081761006293</v>
      </c>
      <c r="G1017" s="21">
        <v>0.2085224</v>
      </c>
      <c r="H1017" s="21">
        <v>-0.1650904</v>
      </c>
    </row>
    <row r="1018" spans="1:8" x14ac:dyDescent="0.15">
      <c r="A1018" s="21">
        <v>1.984375E-2</v>
      </c>
      <c r="B1018" s="21">
        <f t="shared" si="30"/>
        <v>-0.1266043</v>
      </c>
      <c r="D1018">
        <f t="shared" si="31"/>
        <v>-50.108270440251573</v>
      </c>
      <c r="G1018" s="21">
        <v>0.15934429999999999</v>
      </c>
      <c r="H1018" s="21">
        <v>-0.1266043</v>
      </c>
    </row>
    <row r="1019" spans="1:8" x14ac:dyDescent="0.15">
      <c r="A1019" s="21">
        <v>1.9863280000000001E-2</v>
      </c>
      <c r="B1019" s="21">
        <f t="shared" si="30"/>
        <v>-8.4157469999999998E-2</v>
      </c>
      <c r="D1019">
        <f t="shared" si="31"/>
        <v>-33.087830188679241</v>
      </c>
      <c r="G1019" s="21">
        <v>0.1052193</v>
      </c>
      <c r="H1019" s="21">
        <v>-8.4157469999999998E-2</v>
      </c>
    </row>
    <row r="1020" spans="1:8" x14ac:dyDescent="0.15">
      <c r="A1020" s="21">
        <v>1.9882810000000001E-2</v>
      </c>
      <c r="B1020" s="21">
        <f t="shared" si="30"/>
        <v>-3.8937230000000003E-2</v>
      </c>
      <c r="D1020">
        <f t="shared" si="31"/>
        <v>-14.975075471698114</v>
      </c>
      <c r="G1020" s="21">
        <v>4.7620740000000002E-2</v>
      </c>
      <c r="H1020" s="21">
        <v>-3.8937230000000003E-2</v>
      </c>
    </row>
    <row r="1021" spans="1:8" x14ac:dyDescent="0.15">
      <c r="A1021" s="21">
        <v>1.9902340000000001E-2</v>
      </c>
      <c r="B1021" s="21">
        <f t="shared" si="30"/>
        <v>7.6629640000000004E-3</v>
      </c>
      <c r="D1021">
        <f t="shared" si="31"/>
        <v>3.6599748427672951</v>
      </c>
      <c r="G1021" s="21">
        <v>-1.163872E-2</v>
      </c>
      <c r="H1021" s="21">
        <v>7.6629640000000004E-3</v>
      </c>
    </row>
    <row r="1022" spans="1:8" x14ac:dyDescent="0.15">
      <c r="A1022" s="21">
        <v>1.9921879999999999E-2</v>
      </c>
      <c r="B1022" s="21">
        <f t="shared" si="30"/>
        <v>5.4035050000000001E-2</v>
      </c>
      <c r="D1022">
        <f t="shared" si="31"/>
        <v>22.221761006289306</v>
      </c>
      <c r="G1022" s="21">
        <v>-7.0665199999999997E-2</v>
      </c>
      <c r="H1022" s="21">
        <v>5.4035050000000001E-2</v>
      </c>
    </row>
    <row r="1023" spans="1:8" x14ac:dyDescent="0.15">
      <c r="A1023" s="21">
        <v>1.994141E-2</v>
      </c>
      <c r="B1023" s="21">
        <f t="shared" si="30"/>
        <v>9.8430039999999996E-2</v>
      </c>
      <c r="D1023">
        <f t="shared" si="31"/>
        <v>40.026069182389932</v>
      </c>
      <c r="G1023" s="21">
        <v>-0.1272829</v>
      </c>
      <c r="H1023" s="21">
        <v>9.8430039999999996E-2</v>
      </c>
    </row>
    <row r="1024" spans="1:8" x14ac:dyDescent="0.15">
      <c r="A1024" s="21">
        <v>1.996094E-2</v>
      </c>
      <c r="B1024" s="21">
        <f t="shared" si="30"/>
        <v>0.13876910000000001</v>
      </c>
      <c r="D1024">
        <f t="shared" si="31"/>
        <v>56.149748427672947</v>
      </c>
      <c r="G1024" s="21">
        <v>-0.1785562</v>
      </c>
      <c r="H1024" s="21">
        <v>0.13876910000000001</v>
      </c>
    </row>
    <row r="1025" spans="1:8" x14ac:dyDescent="0.15">
      <c r="A1025" s="21">
        <v>1.998047E-2</v>
      </c>
      <c r="B1025" s="21">
        <f t="shared" si="30"/>
        <v>0.17459640000000001</v>
      </c>
      <c r="D1025">
        <f t="shared" si="31"/>
        <v>70.57188679245283</v>
      </c>
      <c r="G1025" s="21">
        <v>-0.2244186</v>
      </c>
      <c r="H1025" s="21">
        <v>0.17459640000000001</v>
      </c>
    </row>
    <row r="1026" spans="1:8" x14ac:dyDescent="0.15">
      <c r="A1026" s="21">
        <v>0.02</v>
      </c>
      <c r="B1026" s="21">
        <f t="shared" ref="B1026:B1089" si="32">H1026</f>
        <v>0.20499290000000001</v>
      </c>
      <c r="D1026">
        <f t="shared" ref="D1026:D1089" si="33">G1026*-1000/3.18</f>
        <v>82.831666666666663</v>
      </c>
      <c r="G1026" s="21">
        <v>-0.26340469999999999</v>
      </c>
      <c r="H1026" s="21">
        <v>0.20499290000000001</v>
      </c>
    </row>
    <row r="1027" spans="1:8" x14ac:dyDescent="0.15">
      <c r="A1027" s="21">
        <v>2.0019530000000001E-2</v>
      </c>
      <c r="B1027" s="21">
        <f t="shared" si="32"/>
        <v>0.22821330000000001</v>
      </c>
      <c r="D1027">
        <f t="shared" si="33"/>
        <v>92.113584905660375</v>
      </c>
      <c r="G1027" s="21">
        <v>-0.29292119999999999</v>
      </c>
      <c r="H1027" s="21">
        <v>0.22821330000000001</v>
      </c>
    </row>
    <row r="1028" spans="1:8" x14ac:dyDescent="0.15">
      <c r="A1028" s="21">
        <v>2.0039060000000001E-2</v>
      </c>
      <c r="B1028" s="21">
        <f t="shared" si="32"/>
        <v>0.24387410000000001</v>
      </c>
      <c r="D1028">
        <f t="shared" si="33"/>
        <v>98.402893081761007</v>
      </c>
      <c r="G1028" s="21">
        <v>-0.31292120000000001</v>
      </c>
      <c r="H1028" s="21">
        <v>0.24387410000000001</v>
      </c>
    </row>
    <row r="1029" spans="1:8" x14ac:dyDescent="0.15">
      <c r="A1029" s="21">
        <v>2.0058590000000001E-2</v>
      </c>
      <c r="B1029" s="21">
        <f t="shared" si="32"/>
        <v>0.25129679999999999</v>
      </c>
      <c r="D1029">
        <f t="shared" si="33"/>
        <v>101.45902515723269</v>
      </c>
      <c r="G1029" s="21">
        <v>-0.32263969999999997</v>
      </c>
      <c r="H1029" s="21">
        <v>0.25129679999999999</v>
      </c>
    </row>
    <row r="1030" spans="1:8" x14ac:dyDescent="0.15">
      <c r="A1030" s="21">
        <v>2.0078120000000001E-2</v>
      </c>
      <c r="B1030" s="21">
        <f t="shared" si="32"/>
        <v>0.24994069999999999</v>
      </c>
      <c r="D1030">
        <f t="shared" si="33"/>
        <v>101.00770440251571</v>
      </c>
      <c r="G1030" s="21">
        <v>-0.3212045</v>
      </c>
      <c r="H1030" s="21">
        <v>0.24994069999999999</v>
      </c>
    </row>
    <row r="1031" spans="1:8" x14ac:dyDescent="0.15">
      <c r="A1031" s="21">
        <v>2.009766E-2</v>
      </c>
      <c r="B1031" s="21">
        <f t="shared" si="32"/>
        <v>0.24031540000000001</v>
      </c>
      <c r="D1031">
        <f t="shared" si="33"/>
        <v>97.145314465408802</v>
      </c>
      <c r="G1031" s="21">
        <v>-0.30892209999999998</v>
      </c>
      <c r="H1031" s="21">
        <v>0.24031540000000001</v>
      </c>
    </row>
    <row r="1032" spans="1:8" x14ac:dyDescent="0.15">
      <c r="A1032" s="21">
        <v>2.011719E-2</v>
      </c>
      <c r="B1032" s="21">
        <f t="shared" si="32"/>
        <v>0.2230181</v>
      </c>
      <c r="D1032">
        <f t="shared" si="33"/>
        <v>90.286886792452833</v>
      </c>
      <c r="G1032" s="21">
        <v>-0.28711229999999999</v>
      </c>
      <c r="H1032" s="21">
        <v>0.2230181</v>
      </c>
    </row>
    <row r="1033" spans="1:8" x14ac:dyDescent="0.15">
      <c r="A1033" s="21">
        <v>2.013672E-2</v>
      </c>
      <c r="B1033" s="21">
        <f t="shared" si="32"/>
        <v>0.19806950000000001</v>
      </c>
      <c r="D1033">
        <f t="shared" si="33"/>
        <v>80.353679245283018</v>
      </c>
      <c r="G1033" s="21">
        <v>-0.25552469999999999</v>
      </c>
      <c r="H1033" s="21">
        <v>0.19806950000000001</v>
      </c>
    </row>
    <row r="1034" spans="1:8" x14ac:dyDescent="0.15">
      <c r="A1034" s="21">
        <v>2.0156250000000001E-2</v>
      </c>
      <c r="B1034" s="21">
        <f t="shared" si="32"/>
        <v>0.16563040000000001</v>
      </c>
      <c r="D1034">
        <f t="shared" si="33"/>
        <v>67.302327044025148</v>
      </c>
      <c r="G1034" s="21">
        <v>-0.2140214</v>
      </c>
      <c r="H1034" s="21">
        <v>0.16563040000000001</v>
      </c>
    </row>
    <row r="1035" spans="1:8" x14ac:dyDescent="0.15">
      <c r="A1035" s="21">
        <v>2.0175780000000001E-2</v>
      </c>
      <c r="B1035" s="21">
        <f t="shared" si="32"/>
        <v>0.1277481</v>
      </c>
      <c r="D1035">
        <f t="shared" si="33"/>
        <v>52.225597484276719</v>
      </c>
      <c r="G1035" s="21">
        <v>-0.16607739999999999</v>
      </c>
      <c r="H1035" s="21">
        <v>0.1277481</v>
      </c>
    </row>
    <row r="1036" spans="1:8" x14ac:dyDescent="0.15">
      <c r="A1036" s="21">
        <v>2.0195310000000001E-2</v>
      </c>
      <c r="B1036" s="21">
        <f t="shared" si="32"/>
        <v>8.6017150000000001E-2</v>
      </c>
      <c r="D1036">
        <f t="shared" si="33"/>
        <v>35.522735849056602</v>
      </c>
      <c r="G1036" s="21">
        <v>-0.1129623</v>
      </c>
      <c r="H1036" s="21">
        <v>8.6017150000000001E-2</v>
      </c>
    </row>
    <row r="1037" spans="1:8" x14ac:dyDescent="0.15">
      <c r="A1037" s="21">
        <v>2.0214840000000001E-2</v>
      </c>
      <c r="B1037" s="21">
        <f t="shared" si="32"/>
        <v>4.0782590000000001E-2</v>
      </c>
      <c r="D1037">
        <f t="shared" si="33"/>
        <v>17.294182389937106</v>
      </c>
      <c r="G1037" s="21">
        <v>-5.4995500000000003E-2</v>
      </c>
      <c r="H1037" s="21">
        <v>4.0782590000000001E-2</v>
      </c>
    </row>
    <row r="1038" spans="1:8" x14ac:dyDescent="0.15">
      <c r="A1038" s="21">
        <v>2.0234370000000002E-2</v>
      </c>
      <c r="B1038" s="21">
        <f t="shared" si="32"/>
        <v>-5.7833900000000002E-3</v>
      </c>
      <c r="D1038">
        <f t="shared" si="33"/>
        <v>-1.3544842767295597</v>
      </c>
      <c r="G1038" s="21">
        <v>4.3072600000000003E-3</v>
      </c>
      <c r="H1038" s="21">
        <v>-5.7833900000000002E-3</v>
      </c>
    </row>
    <row r="1039" spans="1:8" x14ac:dyDescent="0.15">
      <c r="A1039" s="21">
        <v>2.025391E-2</v>
      </c>
      <c r="B1039" s="21">
        <f t="shared" si="32"/>
        <v>-5.1680219999999999E-2</v>
      </c>
      <c r="D1039">
        <f t="shared" si="33"/>
        <v>-19.733732704402517</v>
      </c>
      <c r="G1039" s="21">
        <v>6.275327E-2</v>
      </c>
      <c r="H1039" s="21">
        <v>-5.1680219999999999E-2</v>
      </c>
    </row>
    <row r="1040" spans="1:8" x14ac:dyDescent="0.15">
      <c r="A1040" s="21">
        <v>2.027344E-2</v>
      </c>
      <c r="B1040" s="21">
        <f t="shared" si="32"/>
        <v>-9.6199720000000002E-2</v>
      </c>
      <c r="D1040">
        <f t="shared" si="33"/>
        <v>-37.584088050314463</v>
      </c>
      <c r="G1040" s="21">
        <v>0.1195174</v>
      </c>
      <c r="H1040" s="21">
        <v>-9.6199720000000002E-2</v>
      </c>
    </row>
    <row r="1041" spans="1:8" x14ac:dyDescent="0.15">
      <c r="A1041" s="21">
        <v>2.029297E-2</v>
      </c>
      <c r="B1041" s="21">
        <f t="shared" si="32"/>
        <v>-0.1371559</v>
      </c>
      <c r="D1041">
        <f t="shared" si="33"/>
        <v>-54.029025157232702</v>
      </c>
      <c r="G1041" s="21">
        <v>0.1718123</v>
      </c>
      <c r="H1041" s="21">
        <v>-0.1371559</v>
      </c>
    </row>
    <row r="1042" spans="1:8" x14ac:dyDescent="0.15">
      <c r="A1042" s="21">
        <v>2.0312500000000001E-2</v>
      </c>
      <c r="B1042" s="21">
        <f t="shared" si="32"/>
        <v>-0.1730612</v>
      </c>
      <c r="D1042">
        <f t="shared" si="33"/>
        <v>-68.491918238993705</v>
      </c>
      <c r="G1042" s="21">
        <v>0.21780430000000001</v>
      </c>
      <c r="H1042" s="21">
        <v>-0.1730612</v>
      </c>
    </row>
    <row r="1043" spans="1:8" x14ac:dyDescent="0.15">
      <c r="A1043" s="21">
        <v>2.0332030000000001E-2</v>
      </c>
      <c r="B1043" s="21">
        <f t="shared" si="32"/>
        <v>-0.20378019999999999</v>
      </c>
      <c r="D1043">
        <f t="shared" si="33"/>
        <v>-80.847044025157217</v>
      </c>
      <c r="G1043" s="21">
        <v>0.25709359999999998</v>
      </c>
      <c r="H1043" s="21">
        <v>-0.20378019999999999</v>
      </c>
    </row>
    <row r="1044" spans="1:8" x14ac:dyDescent="0.15">
      <c r="A1044" s="21">
        <v>2.0351560000000001E-2</v>
      </c>
      <c r="B1044" s="21">
        <f t="shared" si="32"/>
        <v>-0.22751750000000001</v>
      </c>
      <c r="D1044">
        <f t="shared" si="33"/>
        <v>-90.362641509433942</v>
      </c>
      <c r="G1044" s="21">
        <v>0.28735319999999998</v>
      </c>
      <c r="H1044" s="21">
        <v>-0.22751750000000001</v>
      </c>
    </row>
    <row r="1045" spans="1:8" x14ac:dyDescent="0.15">
      <c r="A1045" s="21">
        <v>2.0371090000000001E-2</v>
      </c>
      <c r="B1045" s="21">
        <f t="shared" si="32"/>
        <v>-0.24336060000000001</v>
      </c>
      <c r="D1045">
        <f t="shared" si="33"/>
        <v>-96.750817610062882</v>
      </c>
      <c r="G1045" s="21">
        <v>0.30766759999999999</v>
      </c>
      <c r="H1045" s="21">
        <v>-0.24336060000000001</v>
      </c>
    </row>
    <row r="1046" spans="1:8" x14ac:dyDescent="0.15">
      <c r="A1046" s="21">
        <v>2.0390620000000002E-2</v>
      </c>
      <c r="B1046" s="21">
        <f t="shared" si="32"/>
        <v>-0.25138830000000001</v>
      </c>
      <c r="D1046">
        <f t="shared" si="33"/>
        <v>-100.00503144654088</v>
      </c>
      <c r="G1046" s="21">
        <v>0.31801600000000002</v>
      </c>
      <c r="H1046" s="21">
        <v>-0.25138830000000001</v>
      </c>
    </row>
    <row r="1047" spans="1:8" x14ac:dyDescent="0.15">
      <c r="A1047" s="21">
        <v>2.041016E-2</v>
      </c>
      <c r="B1047" s="21">
        <f t="shared" si="32"/>
        <v>-0.25073980000000001</v>
      </c>
      <c r="D1047">
        <f t="shared" si="33"/>
        <v>-99.773647798742147</v>
      </c>
      <c r="G1047" s="21">
        <v>0.31728020000000001</v>
      </c>
      <c r="H1047" s="21">
        <v>-0.25073980000000001</v>
      </c>
    </row>
    <row r="1048" spans="1:8" x14ac:dyDescent="0.15">
      <c r="A1048" s="21">
        <v>2.042969E-2</v>
      </c>
      <c r="B1048" s="21">
        <f t="shared" si="32"/>
        <v>-0.24205009999999999</v>
      </c>
      <c r="D1048">
        <f t="shared" si="33"/>
        <v>-96.317861635220112</v>
      </c>
      <c r="G1048" s="21">
        <v>0.30629079999999997</v>
      </c>
      <c r="H1048" s="21">
        <v>-0.24205009999999999</v>
      </c>
    </row>
    <row r="1049" spans="1:8" x14ac:dyDescent="0.15">
      <c r="A1049" s="21">
        <v>2.0449220000000001E-2</v>
      </c>
      <c r="B1049" s="21">
        <f t="shared" si="32"/>
        <v>-0.22547490000000001</v>
      </c>
      <c r="D1049">
        <f t="shared" si="33"/>
        <v>-89.664119496855335</v>
      </c>
      <c r="G1049" s="21">
        <v>0.28513189999999999</v>
      </c>
      <c r="H1049" s="21">
        <v>-0.22547490000000001</v>
      </c>
    </row>
    <row r="1050" spans="1:8" x14ac:dyDescent="0.15">
      <c r="A1050" s="21">
        <v>2.0468750000000001E-2</v>
      </c>
      <c r="B1050" s="21">
        <f t="shared" si="32"/>
        <v>-0.20054739999999999</v>
      </c>
      <c r="D1050">
        <f t="shared" si="33"/>
        <v>-79.724716981132076</v>
      </c>
      <c r="G1050" s="21">
        <v>0.25352459999999999</v>
      </c>
      <c r="H1050" s="21">
        <v>-0.20054739999999999</v>
      </c>
    </row>
    <row r="1051" spans="1:8" x14ac:dyDescent="0.15">
      <c r="A1051" s="21">
        <v>2.0488280000000001E-2</v>
      </c>
      <c r="B1051" s="21">
        <f t="shared" si="32"/>
        <v>-0.16903219999999999</v>
      </c>
      <c r="D1051">
        <f t="shared" si="33"/>
        <v>-67.148238993710692</v>
      </c>
      <c r="G1051" s="21">
        <v>0.21353140000000001</v>
      </c>
      <c r="H1051" s="21">
        <v>-0.16903219999999999</v>
      </c>
    </row>
    <row r="1052" spans="1:8" x14ac:dyDescent="0.15">
      <c r="A1052" s="21">
        <v>2.0507810000000001E-2</v>
      </c>
      <c r="B1052" s="21">
        <f t="shared" si="32"/>
        <v>-0.13174179999999999</v>
      </c>
      <c r="D1052">
        <f t="shared" si="33"/>
        <v>-52.206603773584902</v>
      </c>
      <c r="G1052" s="21">
        <v>0.166017</v>
      </c>
      <c r="H1052" s="21">
        <v>-0.13174179999999999</v>
      </c>
    </row>
    <row r="1053" spans="1:8" x14ac:dyDescent="0.15">
      <c r="A1053" s="21">
        <v>2.0527340000000002E-2</v>
      </c>
      <c r="B1053" s="21">
        <f t="shared" si="32"/>
        <v>-8.9358880000000002E-2</v>
      </c>
      <c r="D1053">
        <f t="shared" si="33"/>
        <v>-35.244748427672953</v>
      </c>
      <c r="G1053" s="21">
        <v>0.11207830000000001</v>
      </c>
      <c r="H1053" s="21">
        <v>-8.9358880000000002E-2</v>
      </c>
    </row>
    <row r="1054" spans="1:8" x14ac:dyDescent="0.15">
      <c r="A1054" s="21">
        <v>2.0546869999999998E-2</v>
      </c>
      <c r="B1054" s="21">
        <f t="shared" si="32"/>
        <v>-4.4550729999999997E-2</v>
      </c>
      <c r="D1054">
        <f t="shared" si="33"/>
        <v>-17.285216981132077</v>
      </c>
      <c r="G1054" s="21">
        <v>5.496699E-2</v>
      </c>
      <c r="H1054" s="21">
        <v>-4.4550729999999997E-2</v>
      </c>
    </row>
    <row r="1055" spans="1:8" x14ac:dyDescent="0.15">
      <c r="A1055" s="21">
        <v>2.056641E-2</v>
      </c>
      <c r="B1055" s="21">
        <f t="shared" si="32"/>
        <v>1.6048740000000001E-3</v>
      </c>
      <c r="D1055">
        <f t="shared" si="33"/>
        <v>1.2149619496855344</v>
      </c>
      <c r="G1055" s="21">
        <v>-3.8635789999999998E-3</v>
      </c>
      <c r="H1055" s="21">
        <v>1.6048740000000001E-3</v>
      </c>
    </row>
    <row r="1056" spans="1:8" x14ac:dyDescent="0.15">
      <c r="A1056" s="21">
        <v>2.058594E-2</v>
      </c>
      <c r="B1056" s="21">
        <f t="shared" si="32"/>
        <v>4.8249090000000001E-2</v>
      </c>
      <c r="D1056">
        <f t="shared" si="33"/>
        <v>19.874911949685536</v>
      </c>
      <c r="G1056" s="21">
        <v>-6.3202220000000003E-2</v>
      </c>
      <c r="H1056" s="21">
        <v>4.8249090000000001E-2</v>
      </c>
    </row>
    <row r="1057" spans="1:8" x14ac:dyDescent="0.15">
      <c r="A1057" s="21">
        <v>2.0605470000000001E-2</v>
      </c>
      <c r="B1057" s="21">
        <f t="shared" si="32"/>
        <v>9.2987360000000005E-2</v>
      </c>
      <c r="D1057">
        <f t="shared" si="33"/>
        <v>37.769622641509429</v>
      </c>
      <c r="G1057" s="21">
        <v>-0.1201074</v>
      </c>
      <c r="H1057" s="21">
        <v>9.2987360000000005E-2</v>
      </c>
    </row>
    <row r="1058" spans="1:8" x14ac:dyDescent="0.15">
      <c r="A1058" s="21">
        <v>2.0625000000000001E-2</v>
      </c>
      <c r="B1058" s="21">
        <f t="shared" si="32"/>
        <v>0.13427030000000001</v>
      </c>
      <c r="D1058">
        <f t="shared" si="33"/>
        <v>54.316477987421386</v>
      </c>
      <c r="G1058" s="21">
        <v>-0.1727264</v>
      </c>
      <c r="H1058" s="21">
        <v>0.13427030000000001</v>
      </c>
    </row>
    <row r="1059" spans="1:8" x14ac:dyDescent="0.15">
      <c r="A1059" s="21">
        <v>2.0644530000000001E-2</v>
      </c>
      <c r="B1059" s="21">
        <f t="shared" si="32"/>
        <v>0.1707699</v>
      </c>
      <c r="D1059">
        <f t="shared" si="33"/>
        <v>68.968679245283013</v>
      </c>
      <c r="G1059" s="21">
        <v>-0.2193204</v>
      </c>
      <c r="H1059" s="21">
        <v>0.1707699</v>
      </c>
    </row>
    <row r="1060" spans="1:8" x14ac:dyDescent="0.15">
      <c r="A1060" s="21">
        <v>2.0664060000000001E-2</v>
      </c>
      <c r="B1060" s="21">
        <f t="shared" si="32"/>
        <v>0.201574</v>
      </c>
      <c r="D1060">
        <f t="shared" si="33"/>
        <v>81.371823899371066</v>
      </c>
      <c r="G1060" s="21">
        <v>-0.2587624</v>
      </c>
      <c r="H1060" s="21">
        <v>0.201574</v>
      </c>
    </row>
    <row r="1061" spans="1:8" x14ac:dyDescent="0.15">
      <c r="A1061" s="21">
        <v>2.0683590000000002E-2</v>
      </c>
      <c r="B1061" s="21">
        <f t="shared" si="32"/>
        <v>0.22591079999999999</v>
      </c>
      <c r="D1061">
        <f t="shared" si="33"/>
        <v>91.169968553459114</v>
      </c>
      <c r="G1061" s="21">
        <v>-0.28992050000000003</v>
      </c>
      <c r="H1061" s="21">
        <v>0.22591079999999999</v>
      </c>
    </row>
    <row r="1062" spans="1:8" x14ac:dyDescent="0.15">
      <c r="A1062" s="21">
        <v>2.0703119999999998E-2</v>
      </c>
      <c r="B1062" s="21">
        <f t="shared" si="32"/>
        <v>0.24223459999999999</v>
      </c>
      <c r="D1062">
        <f t="shared" si="33"/>
        <v>97.713333333333338</v>
      </c>
      <c r="G1062" s="21">
        <v>-0.31072840000000002</v>
      </c>
      <c r="H1062" s="21">
        <v>0.24223459999999999</v>
      </c>
    </row>
    <row r="1063" spans="1:8" x14ac:dyDescent="0.15">
      <c r="A1063" s="21">
        <v>2.072266E-2</v>
      </c>
      <c r="B1063" s="21">
        <f t="shared" si="32"/>
        <v>0.25058449999999999</v>
      </c>
      <c r="D1063">
        <f t="shared" si="33"/>
        <v>101.20685534591195</v>
      </c>
      <c r="G1063" s="21">
        <v>-0.32183780000000001</v>
      </c>
      <c r="H1063" s="21">
        <v>0.25058449999999999</v>
      </c>
    </row>
    <row r="1064" spans="1:8" x14ac:dyDescent="0.15">
      <c r="A1064" s="21">
        <v>2.0742190000000001E-2</v>
      </c>
      <c r="B1064" s="21">
        <f t="shared" si="32"/>
        <v>0.25094060000000001</v>
      </c>
      <c r="D1064">
        <f t="shared" si="33"/>
        <v>101.45235849056603</v>
      </c>
      <c r="G1064" s="21">
        <v>-0.32261849999999997</v>
      </c>
      <c r="H1064" s="21">
        <v>0.25094060000000001</v>
      </c>
    </row>
    <row r="1065" spans="1:8" x14ac:dyDescent="0.15">
      <c r="A1065" s="21">
        <v>2.0761720000000001E-2</v>
      </c>
      <c r="B1065" s="21">
        <f t="shared" si="32"/>
        <v>0.24231169999999999</v>
      </c>
      <c r="D1065">
        <f t="shared" si="33"/>
        <v>97.923962264150944</v>
      </c>
      <c r="G1065" s="21">
        <v>-0.31139820000000001</v>
      </c>
      <c r="H1065" s="21">
        <v>0.24231169999999999</v>
      </c>
    </row>
    <row r="1066" spans="1:8" x14ac:dyDescent="0.15">
      <c r="A1066" s="21">
        <v>2.0781250000000001E-2</v>
      </c>
      <c r="B1066" s="21">
        <f t="shared" si="32"/>
        <v>0.2257789</v>
      </c>
      <c r="D1066">
        <f t="shared" si="33"/>
        <v>91.363616352201262</v>
      </c>
      <c r="G1066" s="21">
        <v>-0.29053630000000003</v>
      </c>
      <c r="H1066" s="21">
        <v>0.2257789</v>
      </c>
    </row>
    <row r="1067" spans="1:8" x14ac:dyDescent="0.15">
      <c r="A1067" s="21">
        <v>2.0800780000000001E-2</v>
      </c>
      <c r="B1067" s="21">
        <f t="shared" si="32"/>
        <v>0.2020055</v>
      </c>
      <c r="D1067">
        <f t="shared" si="33"/>
        <v>81.884622641509438</v>
      </c>
      <c r="G1067" s="21">
        <v>-0.26039309999999999</v>
      </c>
      <c r="H1067" s="21">
        <v>0.2020055</v>
      </c>
    </row>
    <row r="1068" spans="1:8" x14ac:dyDescent="0.15">
      <c r="A1068" s="21">
        <v>2.0820310000000002E-2</v>
      </c>
      <c r="B1068" s="21">
        <f t="shared" si="32"/>
        <v>0.1706461</v>
      </c>
      <c r="D1068">
        <f t="shared" si="33"/>
        <v>69.257138364779877</v>
      </c>
      <c r="G1068" s="21">
        <v>-0.22023770000000001</v>
      </c>
      <c r="H1068" s="21">
        <v>0.1706461</v>
      </c>
    </row>
    <row r="1069" spans="1:8" x14ac:dyDescent="0.15">
      <c r="A1069" s="21">
        <v>2.0839839999999998E-2</v>
      </c>
      <c r="B1069" s="21">
        <f t="shared" si="32"/>
        <v>0.13365389999999999</v>
      </c>
      <c r="D1069">
        <f t="shared" si="33"/>
        <v>54.510566037735842</v>
      </c>
      <c r="G1069" s="21">
        <v>-0.17334359999999999</v>
      </c>
      <c r="H1069" s="21">
        <v>0.13365389999999999</v>
      </c>
    </row>
    <row r="1070" spans="1:8" x14ac:dyDescent="0.15">
      <c r="A1070" s="21">
        <v>2.0859369999999999E-2</v>
      </c>
      <c r="B1070" s="21">
        <f t="shared" si="32"/>
        <v>9.2265609999999998E-2</v>
      </c>
      <c r="D1070">
        <f t="shared" si="33"/>
        <v>37.935691823899369</v>
      </c>
      <c r="G1070" s="21">
        <v>-0.12063550000000001</v>
      </c>
      <c r="H1070" s="21">
        <v>9.2265609999999998E-2</v>
      </c>
    </row>
    <row r="1071" spans="1:8" x14ac:dyDescent="0.15">
      <c r="A1071" s="21">
        <v>2.0878910000000001E-2</v>
      </c>
      <c r="B1071" s="21">
        <f t="shared" si="32"/>
        <v>4.7099219999999997E-2</v>
      </c>
      <c r="D1071">
        <f t="shared" si="33"/>
        <v>19.805798742138364</v>
      </c>
      <c r="G1071" s="21">
        <v>-6.2982440000000001E-2</v>
      </c>
      <c r="H1071" s="21">
        <v>4.7099219999999997E-2</v>
      </c>
    </row>
    <row r="1072" spans="1:8" x14ac:dyDescent="0.15">
      <c r="A1072" s="21">
        <v>2.0898440000000001E-2</v>
      </c>
      <c r="B1072" s="21">
        <f t="shared" si="32"/>
        <v>8.1748840000000003E-4</v>
      </c>
      <c r="D1072">
        <f t="shared" si="33"/>
        <v>1.3528408805031447</v>
      </c>
      <c r="G1072" s="21">
        <v>-4.3020339999999997E-3</v>
      </c>
      <c r="H1072" s="21">
        <v>8.1748840000000003E-4</v>
      </c>
    </row>
    <row r="1073" spans="1:8" x14ac:dyDescent="0.15">
      <c r="A1073" s="21">
        <v>2.0917970000000001E-2</v>
      </c>
      <c r="B1073" s="21">
        <f t="shared" si="32"/>
        <v>-4.5422249999999997E-2</v>
      </c>
      <c r="D1073">
        <f t="shared" si="33"/>
        <v>-17.247135220125788</v>
      </c>
      <c r="G1073" s="21">
        <v>5.4845890000000001E-2</v>
      </c>
      <c r="H1073" s="21">
        <v>-4.5422249999999997E-2</v>
      </c>
    </row>
    <row r="1074" spans="1:8" x14ac:dyDescent="0.15">
      <c r="A1074" s="21">
        <v>2.0937500000000001E-2</v>
      </c>
      <c r="B1074" s="21">
        <f t="shared" si="32"/>
        <v>-9.0383279999999996E-2</v>
      </c>
      <c r="D1074">
        <f t="shared" si="33"/>
        <v>-35.284591194968549</v>
      </c>
      <c r="G1074" s="21">
        <v>0.112205</v>
      </c>
      <c r="H1074" s="21">
        <v>-9.0383279999999996E-2</v>
      </c>
    </row>
    <row r="1075" spans="1:8" x14ac:dyDescent="0.15">
      <c r="A1075" s="21">
        <v>2.0957030000000001E-2</v>
      </c>
      <c r="B1075" s="21">
        <f t="shared" si="32"/>
        <v>-0.13157630000000001</v>
      </c>
      <c r="D1075">
        <f t="shared" si="33"/>
        <v>-51.710440251572322</v>
      </c>
      <c r="G1075" s="21">
        <v>0.16443920000000001</v>
      </c>
      <c r="H1075" s="21">
        <v>-0.13157630000000001</v>
      </c>
    </row>
    <row r="1076" spans="1:8" x14ac:dyDescent="0.15">
      <c r="A1076" s="21">
        <v>2.0976560000000002E-2</v>
      </c>
      <c r="B1076" s="21">
        <f t="shared" si="32"/>
        <v>-0.16855229999999999</v>
      </c>
      <c r="D1076">
        <f t="shared" si="33"/>
        <v>-66.68103773584906</v>
      </c>
      <c r="G1076" s="21">
        <v>0.2120457</v>
      </c>
      <c r="H1076" s="21">
        <v>-0.16855229999999999</v>
      </c>
    </row>
    <row r="1077" spans="1:8" x14ac:dyDescent="0.15">
      <c r="A1077" s="21">
        <v>2.0996089999999999E-2</v>
      </c>
      <c r="B1077" s="21">
        <f t="shared" si="32"/>
        <v>-0.19992509999999999</v>
      </c>
      <c r="D1077">
        <f t="shared" si="33"/>
        <v>-79.266792452830188</v>
      </c>
      <c r="G1077" s="21">
        <v>0.25206840000000003</v>
      </c>
      <c r="H1077" s="21">
        <v>-0.19992509999999999</v>
      </c>
    </row>
    <row r="1078" spans="1:8" x14ac:dyDescent="0.15">
      <c r="A1078" s="21">
        <v>2.1015619999999999E-2</v>
      </c>
      <c r="B1078" s="21">
        <f t="shared" si="32"/>
        <v>-0.22389680000000001</v>
      </c>
      <c r="D1078">
        <f t="shared" si="33"/>
        <v>-88.844465408805021</v>
      </c>
      <c r="G1078" s="21">
        <v>0.28252539999999998</v>
      </c>
      <c r="H1078" s="21">
        <v>-0.22389680000000001</v>
      </c>
    </row>
    <row r="1079" spans="1:8" x14ac:dyDescent="0.15">
      <c r="A1079" s="21">
        <v>2.1035160000000001E-2</v>
      </c>
      <c r="B1079" s="21">
        <f t="shared" si="32"/>
        <v>-0.2409415</v>
      </c>
      <c r="D1079">
        <f t="shared" si="33"/>
        <v>-95.826257861635199</v>
      </c>
      <c r="G1079" s="21">
        <v>0.30472749999999998</v>
      </c>
      <c r="H1079" s="21">
        <v>-0.2409415</v>
      </c>
    </row>
    <row r="1080" spans="1:8" x14ac:dyDescent="0.15">
      <c r="A1080" s="21">
        <v>2.1054690000000001E-2</v>
      </c>
      <c r="B1080" s="21">
        <f t="shared" si="32"/>
        <v>-0.25042710000000001</v>
      </c>
      <c r="D1080">
        <f t="shared" si="33"/>
        <v>-99.600534591194958</v>
      </c>
      <c r="G1080" s="21">
        <v>0.3167297</v>
      </c>
      <c r="H1080" s="21">
        <v>-0.25042710000000001</v>
      </c>
    </row>
    <row r="1081" spans="1:8" x14ac:dyDescent="0.15">
      <c r="A1081" s="21">
        <v>2.1074220000000001E-2</v>
      </c>
      <c r="B1081" s="21">
        <f t="shared" si="32"/>
        <v>-0.25115219999999999</v>
      </c>
      <c r="D1081">
        <f t="shared" si="33"/>
        <v>-99.903616352201269</v>
      </c>
      <c r="G1081" s="21">
        <v>0.31769350000000002</v>
      </c>
      <c r="H1081" s="21">
        <v>-0.25115219999999999</v>
      </c>
    </row>
    <row r="1082" spans="1:8" x14ac:dyDescent="0.15">
      <c r="A1082" s="21">
        <v>2.1093750000000001E-2</v>
      </c>
      <c r="B1082" s="21">
        <f t="shared" si="32"/>
        <v>-0.24341099999999999</v>
      </c>
      <c r="D1082">
        <f t="shared" si="33"/>
        <v>-96.872547169811327</v>
      </c>
      <c r="G1082" s="21">
        <v>0.30805470000000001</v>
      </c>
      <c r="H1082" s="21">
        <v>-0.24341099999999999</v>
      </c>
    </row>
    <row r="1083" spans="1:8" x14ac:dyDescent="0.15">
      <c r="A1083" s="21">
        <v>2.1113280000000002E-2</v>
      </c>
      <c r="B1083" s="21">
        <f t="shared" si="32"/>
        <v>-0.2272662</v>
      </c>
      <c r="D1083">
        <f t="shared" si="33"/>
        <v>-90.392704402515719</v>
      </c>
      <c r="G1083" s="21">
        <v>0.2874488</v>
      </c>
      <c r="H1083" s="21">
        <v>-0.2272662</v>
      </c>
    </row>
    <row r="1084" spans="1:8" x14ac:dyDescent="0.15">
      <c r="A1084" s="21">
        <v>2.1132809999999998E-2</v>
      </c>
      <c r="B1084" s="21">
        <f t="shared" si="32"/>
        <v>-0.2032812</v>
      </c>
      <c r="D1084">
        <f t="shared" si="33"/>
        <v>-80.872704402515723</v>
      </c>
      <c r="G1084" s="21">
        <v>0.25717519999999999</v>
      </c>
      <c r="H1084" s="21">
        <v>-0.2032812</v>
      </c>
    </row>
    <row r="1085" spans="1:8" x14ac:dyDescent="0.15">
      <c r="A1085" s="21">
        <v>2.1152339999999999E-2</v>
      </c>
      <c r="B1085" s="21">
        <f t="shared" si="32"/>
        <v>-0.17273910000000001</v>
      </c>
      <c r="D1085">
        <f t="shared" si="33"/>
        <v>-68.628867924528294</v>
      </c>
      <c r="G1085" s="21">
        <v>0.21823980000000001</v>
      </c>
      <c r="H1085" s="21">
        <v>-0.17273910000000001</v>
      </c>
    </row>
    <row r="1086" spans="1:8" x14ac:dyDescent="0.15">
      <c r="A1086" s="21">
        <v>2.1171869999999999E-2</v>
      </c>
      <c r="B1086" s="21">
        <f t="shared" si="32"/>
        <v>-0.1361945</v>
      </c>
      <c r="D1086">
        <f t="shared" si="33"/>
        <v>-53.991069182389936</v>
      </c>
      <c r="G1086" s="21">
        <v>0.1716916</v>
      </c>
      <c r="H1086" s="21">
        <v>-0.1361945</v>
      </c>
    </row>
    <row r="1087" spans="1:8" x14ac:dyDescent="0.15">
      <c r="A1087" s="21">
        <v>2.1191410000000001E-2</v>
      </c>
      <c r="B1087" s="21">
        <f t="shared" si="32"/>
        <v>-9.4911809999999999E-2</v>
      </c>
      <c r="D1087">
        <f t="shared" si="33"/>
        <v>-37.543396226415091</v>
      </c>
      <c r="G1087" s="21">
        <v>0.11938799999999999</v>
      </c>
      <c r="H1087" s="21">
        <v>-9.4911809999999999E-2</v>
      </c>
    </row>
    <row r="1088" spans="1:8" x14ac:dyDescent="0.15">
      <c r="A1088" s="21">
        <v>2.1210940000000001E-2</v>
      </c>
      <c r="B1088" s="21">
        <f t="shared" si="32"/>
        <v>-5.0239699999999998E-2</v>
      </c>
      <c r="D1088">
        <f t="shared" si="33"/>
        <v>-19.598147798742136</v>
      </c>
      <c r="G1088" s="21">
        <v>6.232211E-2</v>
      </c>
      <c r="H1088" s="21">
        <v>-5.0239699999999998E-2</v>
      </c>
    </row>
    <row r="1089" spans="1:8" x14ac:dyDescent="0.15">
      <c r="A1089" s="21">
        <v>2.1230470000000001E-2</v>
      </c>
      <c r="B1089" s="21">
        <f t="shared" si="32"/>
        <v>-3.5041209999999998E-3</v>
      </c>
      <c r="D1089">
        <f t="shared" si="33"/>
        <v>-0.88707610062893083</v>
      </c>
      <c r="G1089" s="21">
        <v>2.8209020000000001E-3</v>
      </c>
      <c r="H1089" s="21">
        <v>-3.5041209999999998E-3</v>
      </c>
    </row>
    <row r="1090" spans="1:8" x14ac:dyDescent="0.15">
      <c r="A1090" s="21">
        <v>2.1250000000000002E-2</v>
      </c>
      <c r="B1090" s="21">
        <f t="shared" ref="B1090:B1153" si="34">H1090</f>
        <v>4.2920350000000003E-2</v>
      </c>
      <c r="D1090">
        <f t="shared" ref="D1090:D1153" si="35">G1090*-1000/3.18</f>
        <v>17.684050314465406</v>
      </c>
      <c r="G1090" s="21">
        <v>-5.6235279999999999E-2</v>
      </c>
      <c r="H1090" s="21">
        <v>4.2920350000000003E-2</v>
      </c>
    </row>
    <row r="1091" spans="1:8" x14ac:dyDescent="0.15">
      <c r="A1091" s="21">
        <v>2.1269529999999998E-2</v>
      </c>
      <c r="B1091" s="21">
        <f t="shared" si="34"/>
        <v>8.7792809999999999E-2</v>
      </c>
      <c r="D1091">
        <f t="shared" si="35"/>
        <v>35.696037735849053</v>
      </c>
      <c r="G1091" s="21">
        <v>-0.1135134</v>
      </c>
      <c r="H1091" s="21">
        <v>8.7792809999999999E-2</v>
      </c>
    </row>
    <row r="1092" spans="1:8" x14ac:dyDescent="0.15">
      <c r="A1092" s="21">
        <v>2.1289059999999999E-2</v>
      </c>
      <c r="B1092" s="21">
        <f t="shared" si="34"/>
        <v>0.12962319999999999</v>
      </c>
      <c r="D1092">
        <f t="shared" si="35"/>
        <v>52.465440251572318</v>
      </c>
      <c r="G1092" s="21">
        <v>-0.16684009999999999</v>
      </c>
      <c r="H1092" s="21">
        <v>0.12962319999999999</v>
      </c>
    </row>
    <row r="1093" spans="1:8" x14ac:dyDescent="0.15">
      <c r="A1093" s="21">
        <v>2.1308589999999999E-2</v>
      </c>
      <c r="B1093" s="21">
        <f t="shared" si="34"/>
        <v>0.16659280000000001</v>
      </c>
      <c r="D1093">
        <f t="shared" si="35"/>
        <v>67.348270440251568</v>
      </c>
      <c r="G1093" s="21">
        <v>-0.21416750000000001</v>
      </c>
      <c r="H1093" s="21">
        <v>0.16659280000000001</v>
      </c>
    </row>
    <row r="1094" spans="1:8" x14ac:dyDescent="0.15">
      <c r="A1094" s="21">
        <v>2.1328119999999999E-2</v>
      </c>
      <c r="B1094" s="21">
        <f t="shared" si="34"/>
        <v>0.19830030000000001</v>
      </c>
      <c r="D1094">
        <f t="shared" si="35"/>
        <v>80.093396226415095</v>
      </c>
      <c r="G1094" s="21">
        <v>-0.25469700000000001</v>
      </c>
      <c r="H1094" s="21">
        <v>0.19830030000000001</v>
      </c>
    </row>
    <row r="1095" spans="1:8" x14ac:dyDescent="0.15">
      <c r="A1095" s="21">
        <v>2.1347660000000001E-2</v>
      </c>
      <c r="B1095" s="21">
        <f t="shared" si="34"/>
        <v>0.22346640000000001</v>
      </c>
      <c r="D1095">
        <f t="shared" si="35"/>
        <v>90.235849056603769</v>
      </c>
      <c r="G1095" s="21">
        <v>-0.28694999999999998</v>
      </c>
      <c r="H1095" s="21">
        <v>0.22346640000000001</v>
      </c>
    </row>
    <row r="1096" spans="1:8" x14ac:dyDescent="0.15">
      <c r="A1096" s="21">
        <v>2.1367190000000001E-2</v>
      </c>
      <c r="B1096" s="21">
        <f t="shared" si="34"/>
        <v>0.2410061</v>
      </c>
      <c r="D1096">
        <f t="shared" si="35"/>
        <v>97.338553459119495</v>
      </c>
      <c r="G1096" s="21">
        <v>-0.3095366</v>
      </c>
      <c r="H1096" s="21">
        <v>0.2410061</v>
      </c>
    </row>
    <row r="1097" spans="1:8" x14ac:dyDescent="0.15">
      <c r="A1097" s="21">
        <v>2.1386720000000001E-2</v>
      </c>
      <c r="B1097" s="21">
        <f t="shared" si="34"/>
        <v>0.25067739999999999</v>
      </c>
      <c r="D1097">
        <f t="shared" si="35"/>
        <v>101.21034591194969</v>
      </c>
      <c r="G1097" s="21">
        <v>-0.32184889999999999</v>
      </c>
      <c r="H1097" s="21">
        <v>0.25067739999999999</v>
      </c>
    </row>
    <row r="1098" spans="1:8" x14ac:dyDescent="0.15">
      <c r="A1098" s="21">
        <v>2.1406250000000002E-2</v>
      </c>
      <c r="B1098" s="21">
        <f t="shared" si="34"/>
        <v>0.25187809999999999</v>
      </c>
      <c r="D1098">
        <f t="shared" si="35"/>
        <v>101.74858490566037</v>
      </c>
      <c r="G1098" s="21">
        <v>-0.32356049999999997</v>
      </c>
      <c r="H1098" s="21">
        <v>0.25187809999999999</v>
      </c>
    </row>
    <row r="1099" spans="1:8" x14ac:dyDescent="0.15">
      <c r="A1099" s="21">
        <v>2.1425779999999998E-2</v>
      </c>
      <c r="B1099" s="21">
        <f t="shared" si="34"/>
        <v>0.24459919999999999</v>
      </c>
      <c r="D1099">
        <f t="shared" si="35"/>
        <v>98.851320754716966</v>
      </c>
      <c r="G1099" s="21">
        <v>-0.31434719999999999</v>
      </c>
      <c r="H1099" s="21">
        <v>0.24459919999999999</v>
      </c>
    </row>
    <row r="1100" spans="1:8" x14ac:dyDescent="0.15">
      <c r="A1100" s="21">
        <v>2.1445309999999999E-2</v>
      </c>
      <c r="B1100" s="21">
        <f t="shared" si="34"/>
        <v>0.2291887</v>
      </c>
      <c r="D1100">
        <f t="shared" si="35"/>
        <v>92.713584905660383</v>
      </c>
      <c r="G1100" s="21">
        <v>-0.29482920000000001</v>
      </c>
      <c r="H1100" s="21">
        <v>0.2291887</v>
      </c>
    </row>
    <row r="1101" spans="1:8" x14ac:dyDescent="0.15">
      <c r="A1101" s="21">
        <v>2.1464839999999999E-2</v>
      </c>
      <c r="B1101" s="21">
        <f t="shared" si="34"/>
        <v>0.20598179999999999</v>
      </c>
      <c r="D1101">
        <f t="shared" si="35"/>
        <v>83.499150943396231</v>
      </c>
      <c r="G1101" s="21">
        <v>-0.26552730000000002</v>
      </c>
      <c r="H1101" s="21">
        <v>0.20598179999999999</v>
      </c>
    </row>
    <row r="1102" spans="1:8" x14ac:dyDescent="0.15">
      <c r="A1102" s="21">
        <v>2.1484380000000001E-2</v>
      </c>
      <c r="B1102" s="21">
        <f t="shared" si="34"/>
        <v>0.175514</v>
      </c>
      <c r="D1102">
        <f t="shared" si="35"/>
        <v>71.24968553459118</v>
      </c>
      <c r="G1102" s="21">
        <v>-0.226574</v>
      </c>
      <c r="H1102" s="21">
        <v>0.175514</v>
      </c>
    </row>
    <row r="1103" spans="1:8" x14ac:dyDescent="0.15">
      <c r="A1103" s="21">
        <v>2.1503910000000001E-2</v>
      </c>
      <c r="B1103" s="21">
        <f t="shared" si="34"/>
        <v>0.1392321</v>
      </c>
      <c r="D1103">
        <f t="shared" si="35"/>
        <v>56.736635220125791</v>
      </c>
      <c r="G1103" s="21">
        <v>-0.18042250000000001</v>
      </c>
      <c r="H1103" s="21">
        <v>0.1392321</v>
      </c>
    </row>
    <row r="1104" spans="1:8" x14ac:dyDescent="0.15">
      <c r="A1104" s="21">
        <v>2.1523440000000001E-2</v>
      </c>
      <c r="B1104" s="21">
        <f t="shared" si="34"/>
        <v>9.8365549999999996E-2</v>
      </c>
      <c r="D1104">
        <f t="shared" si="35"/>
        <v>40.359779874213835</v>
      </c>
      <c r="G1104" s="21">
        <v>-0.12834409999999999</v>
      </c>
      <c r="H1104" s="21">
        <v>9.8365549999999996E-2</v>
      </c>
    </row>
    <row r="1105" spans="1:8" x14ac:dyDescent="0.15">
      <c r="A1105" s="21">
        <v>2.1542970000000002E-2</v>
      </c>
      <c r="B1105" s="21">
        <f t="shared" si="34"/>
        <v>5.3583279999999997E-2</v>
      </c>
      <c r="D1105">
        <f t="shared" si="35"/>
        <v>22.342902515723267</v>
      </c>
      <c r="G1105" s="21">
        <v>-7.1050429999999998E-2</v>
      </c>
      <c r="H1105" s="21">
        <v>5.3583279999999997E-2</v>
      </c>
    </row>
    <row r="1106" spans="1:8" x14ac:dyDescent="0.15">
      <c r="A1106" s="21">
        <v>2.1562499999999998E-2</v>
      </c>
      <c r="B1106" s="21">
        <f t="shared" si="34"/>
        <v>7.1690180000000001E-3</v>
      </c>
      <c r="D1106">
        <f t="shared" si="35"/>
        <v>3.8477767295597487</v>
      </c>
      <c r="G1106" s="21">
        <v>-1.2235930000000001E-2</v>
      </c>
      <c r="H1106" s="21">
        <v>7.1690180000000001E-3</v>
      </c>
    </row>
    <row r="1107" spans="1:8" x14ac:dyDescent="0.15">
      <c r="A1107" s="21">
        <v>2.1582029999999999E-2</v>
      </c>
      <c r="B1107" s="21">
        <f t="shared" si="34"/>
        <v>-3.9032959999999998E-2</v>
      </c>
      <c r="D1107">
        <f t="shared" si="35"/>
        <v>-14.655943396226414</v>
      </c>
      <c r="G1107" s="21">
        <v>4.6605899999999999E-2</v>
      </c>
      <c r="H1107" s="21">
        <v>-3.9032959999999998E-2</v>
      </c>
    </row>
    <row r="1108" spans="1:8" x14ac:dyDescent="0.15">
      <c r="A1108" s="21">
        <v>2.1601559999999999E-2</v>
      </c>
      <c r="B1108" s="21">
        <f t="shared" si="34"/>
        <v>-8.4306800000000001E-2</v>
      </c>
      <c r="D1108">
        <f t="shared" si="35"/>
        <v>-32.909968553459116</v>
      </c>
      <c r="G1108" s="21">
        <v>0.1046537</v>
      </c>
      <c r="H1108" s="21">
        <v>-8.4306800000000001E-2</v>
      </c>
    </row>
    <row r="1109" spans="1:8" x14ac:dyDescent="0.15">
      <c r="A1109" s="21">
        <v>2.1621089999999999E-2</v>
      </c>
      <c r="B1109" s="21">
        <f t="shared" si="34"/>
        <v>-0.12636269999999999</v>
      </c>
      <c r="D1109">
        <f t="shared" si="35"/>
        <v>-49.714088050314466</v>
      </c>
      <c r="G1109" s="21">
        <v>0.1580908</v>
      </c>
      <c r="H1109" s="21">
        <v>-0.12636269999999999</v>
      </c>
    </row>
    <row r="1110" spans="1:8" x14ac:dyDescent="0.15">
      <c r="A1110" s="21">
        <v>2.1640630000000001E-2</v>
      </c>
      <c r="B1110" s="21">
        <f t="shared" si="34"/>
        <v>-0.16359290000000001</v>
      </c>
      <c r="D1110">
        <f t="shared" si="35"/>
        <v>-64.643364779874204</v>
      </c>
      <c r="G1110" s="21">
        <v>0.2055659</v>
      </c>
      <c r="H1110" s="21">
        <v>-0.16359290000000001</v>
      </c>
    </row>
    <row r="1111" spans="1:8" x14ac:dyDescent="0.15">
      <c r="A1111" s="21">
        <v>2.1660160000000001E-2</v>
      </c>
      <c r="B1111" s="21">
        <f t="shared" si="34"/>
        <v>-0.19589680000000001</v>
      </c>
      <c r="D1111">
        <f t="shared" si="35"/>
        <v>-77.691666666666663</v>
      </c>
      <c r="G1111" s="21">
        <v>0.24705949999999999</v>
      </c>
      <c r="H1111" s="21">
        <v>-0.19589680000000001</v>
      </c>
    </row>
    <row r="1112" spans="1:8" x14ac:dyDescent="0.15">
      <c r="A1112" s="21">
        <v>2.1679690000000001E-2</v>
      </c>
      <c r="B1112" s="21">
        <f t="shared" si="34"/>
        <v>-0.22153229999999999</v>
      </c>
      <c r="D1112">
        <f t="shared" si="35"/>
        <v>-87.969716981132066</v>
      </c>
      <c r="G1112" s="21">
        <v>0.27974369999999998</v>
      </c>
      <c r="H1112" s="21">
        <v>-0.22153229999999999</v>
      </c>
    </row>
    <row r="1113" spans="1:8" x14ac:dyDescent="0.15">
      <c r="A1113" s="21">
        <v>2.1699220000000002E-2</v>
      </c>
      <c r="B1113" s="21">
        <f t="shared" si="34"/>
        <v>-0.23943729999999999</v>
      </c>
      <c r="D1113">
        <f t="shared" si="35"/>
        <v>-95.170628930817585</v>
      </c>
      <c r="G1113" s="21">
        <v>0.30264259999999998</v>
      </c>
      <c r="H1113" s="21">
        <v>-0.23943729999999999</v>
      </c>
    </row>
    <row r="1114" spans="1:8" x14ac:dyDescent="0.15">
      <c r="A1114" s="21">
        <v>2.1718749999999998E-2</v>
      </c>
      <c r="B1114" s="21">
        <f t="shared" si="34"/>
        <v>-0.249917</v>
      </c>
      <c r="D1114">
        <f t="shared" si="35"/>
        <v>-99.417295597484269</v>
      </c>
      <c r="G1114" s="21">
        <v>0.31614700000000001</v>
      </c>
      <c r="H1114" s="21">
        <v>-0.249917</v>
      </c>
    </row>
    <row r="1115" spans="1:8" x14ac:dyDescent="0.15">
      <c r="A1115" s="21">
        <v>2.1738279999999999E-2</v>
      </c>
      <c r="B1115" s="21">
        <f t="shared" si="34"/>
        <v>-0.25168610000000002</v>
      </c>
      <c r="D1115">
        <f t="shared" si="35"/>
        <v>-100.12905660377358</v>
      </c>
      <c r="G1115" s="21">
        <v>0.31841039999999998</v>
      </c>
      <c r="H1115" s="21">
        <v>-0.25168610000000002</v>
      </c>
    </row>
    <row r="1116" spans="1:8" x14ac:dyDescent="0.15">
      <c r="A1116" s="21">
        <v>2.1757809999999999E-2</v>
      </c>
      <c r="B1116" s="21">
        <f t="shared" si="34"/>
        <v>-0.2448401</v>
      </c>
      <c r="D1116">
        <f t="shared" si="35"/>
        <v>-97.437955974842751</v>
      </c>
      <c r="G1116" s="21">
        <v>0.30985269999999998</v>
      </c>
      <c r="H1116" s="21">
        <v>-0.2448401</v>
      </c>
    </row>
    <row r="1117" spans="1:8" x14ac:dyDescent="0.15">
      <c r="A1117" s="21">
        <v>2.1777339999999999E-2</v>
      </c>
      <c r="B1117" s="21">
        <f t="shared" si="34"/>
        <v>-0.23017760000000001</v>
      </c>
      <c r="D1117">
        <f t="shared" si="35"/>
        <v>-91.611069182389926</v>
      </c>
      <c r="G1117" s="21">
        <v>0.2913232</v>
      </c>
      <c r="H1117" s="21">
        <v>-0.23017760000000001</v>
      </c>
    </row>
    <row r="1118" spans="1:8" x14ac:dyDescent="0.15">
      <c r="A1118" s="21">
        <v>2.1796880000000001E-2</v>
      </c>
      <c r="B1118" s="21">
        <f t="shared" si="34"/>
        <v>-0.20733480000000001</v>
      </c>
      <c r="D1118">
        <f t="shared" si="35"/>
        <v>-82.469433962264162</v>
      </c>
      <c r="G1118" s="21">
        <v>0.26225280000000001</v>
      </c>
      <c r="H1118" s="21">
        <v>-0.20733480000000001</v>
      </c>
    </row>
    <row r="1119" spans="1:8" x14ac:dyDescent="0.15">
      <c r="A1119" s="21">
        <v>2.1816410000000001E-2</v>
      </c>
      <c r="B1119" s="21">
        <f t="shared" si="34"/>
        <v>-0.177652</v>
      </c>
      <c r="D1119">
        <f t="shared" si="35"/>
        <v>-70.612767295597479</v>
      </c>
      <c r="G1119" s="21">
        <v>0.22454859999999999</v>
      </c>
      <c r="H1119" s="21">
        <v>-0.177652</v>
      </c>
    </row>
    <row r="1120" spans="1:8" x14ac:dyDescent="0.15">
      <c r="A1120" s="21">
        <v>2.1835940000000002E-2</v>
      </c>
      <c r="B1120" s="21">
        <f t="shared" si="34"/>
        <v>-0.14184189999999999</v>
      </c>
      <c r="D1120">
        <f t="shared" si="35"/>
        <v>-56.28415094339622</v>
      </c>
      <c r="G1120" s="21">
        <v>0.17898359999999999</v>
      </c>
      <c r="H1120" s="21">
        <v>-0.14184189999999999</v>
      </c>
    </row>
    <row r="1121" spans="1:8" x14ac:dyDescent="0.15">
      <c r="A1121" s="21">
        <v>2.1855469999999998E-2</v>
      </c>
      <c r="B1121" s="21">
        <f t="shared" si="34"/>
        <v>-0.10069939999999999</v>
      </c>
      <c r="D1121">
        <f t="shared" si="35"/>
        <v>-39.828207547169811</v>
      </c>
      <c r="G1121" s="21">
        <v>0.12665370000000001</v>
      </c>
      <c r="H1121" s="21">
        <v>-0.10069939999999999</v>
      </c>
    </row>
    <row r="1122" spans="1:8" x14ac:dyDescent="0.15">
      <c r="A1122" s="21">
        <v>2.1874999999999999E-2</v>
      </c>
      <c r="B1122" s="21">
        <f t="shared" si="34"/>
        <v>-5.6880819999999999E-2</v>
      </c>
      <c r="D1122">
        <f t="shared" si="35"/>
        <v>-22.318028301886791</v>
      </c>
      <c r="G1122" s="21">
        <v>7.0971329999999999E-2</v>
      </c>
      <c r="H1122" s="21">
        <v>-5.6880819999999999E-2</v>
      </c>
    </row>
    <row r="1123" spans="1:8" x14ac:dyDescent="0.15">
      <c r="A1123" s="21">
        <v>2.1894529999999999E-2</v>
      </c>
      <c r="B1123" s="21">
        <f t="shared" si="34"/>
        <v>-1.09184E-2</v>
      </c>
      <c r="D1123">
        <f t="shared" si="35"/>
        <v>-3.8672138364779869</v>
      </c>
      <c r="G1123" s="21">
        <v>1.229774E-2</v>
      </c>
      <c r="H1123" s="21">
        <v>-1.09184E-2</v>
      </c>
    </row>
    <row r="1124" spans="1:8" x14ac:dyDescent="0.15">
      <c r="A1124" s="21">
        <v>2.1914059999999999E-2</v>
      </c>
      <c r="B1124" s="21">
        <f t="shared" si="34"/>
        <v>3.6300010000000001E-2</v>
      </c>
      <c r="D1124">
        <f t="shared" si="35"/>
        <v>15.135493710691824</v>
      </c>
      <c r="G1124" s="21">
        <v>-4.8130869999999999E-2</v>
      </c>
      <c r="H1124" s="21">
        <v>3.6300010000000001E-2</v>
      </c>
    </row>
    <row r="1125" spans="1:8" x14ac:dyDescent="0.15">
      <c r="A1125" s="21">
        <v>2.1933589999999999E-2</v>
      </c>
      <c r="B1125" s="21">
        <f t="shared" si="34"/>
        <v>8.1501569999999995E-2</v>
      </c>
      <c r="D1125">
        <f t="shared" si="35"/>
        <v>33.222452830188679</v>
      </c>
      <c r="G1125" s="21">
        <v>-0.1056474</v>
      </c>
      <c r="H1125" s="21">
        <v>8.1501569999999995E-2</v>
      </c>
    </row>
    <row r="1126" spans="1:8" x14ac:dyDescent="0.15">
      <c r="A1126" s="21">
        <v>2.1953130000000001E-2</v>
      </c>
      <c r="B1126" s="21">
        <f t="shared" si="34"/>
        <v>0.1233754</v>
      </c>
      <c r="D1126">
        <f t="shared" si="35"/>
        <v>49.961446540880502</v>
      </c>
      <c r="G1126" s="21">
        <v>-0.1588774</v>
      </c>
      <c r="H1126" s="21">
        <v>0.1233754</v>
      </c>
    </row>
    <row r="1127" spans="1:8" x14ac:dyDescent="0.15">
      <c r="A1127" s="21">
        <v>2.1972660000000001E-2</v>
      </c>
      <c r="B1127" s="21">
        <f t="shared" si="34"/>
        <v>0.16129279999999999</v>
      </c>
      <c r="D1127">
        <f t="shared" si="35"/>
        <v>65.261383647798738</v>
      </c>
      <c r="G1127" s="21">
        <v>-0.2075312</v>
      </c>
      <c r="H1127" s="21">
        <v>0.16129279999999999</v>
      </c>
    </row>
    <row r="1128" spans="1:8" x14ac:dyDescent="0.15">
      <c r="A1128" s="21">
        <v>2.1992189999999998E-2</v>
      </c>
      <c r="B1128" s="21">
        <f t="shared" si="34"/>
        <v>0.1934717</v>
      </c>
      <c r="D1128">
        <f t="shared" si="35"/>
        <v>78.253364779874204</v>
      </c>
      <c r="G1128" s="21">
        <v>-0.2488457</v>
      </c>
      <c r="H1128" s="21">
        <v>0.1934717</v>
      </c>
    </row>
    <row r="1129" spans="1:8" x14ac:dyDescent="0.15">
      <c r="A1129" s="21">
        <v>2.2011719999999999E-2</v>
      </c>
      <c r="B1129" s="21">
        <f t="shared" si="34"/>
        <v>0.21947439999999999</v>
      </c>
      <c r="D1129">
        <f t="shared" si="35"/>
        <v>88.668805031446553</v>
      </c>
      <c r="G1129" s="21">
        <v>-0.28196680000000002</v>
      </c>
      <c r="H1129" s="21">
        <v>0.21947439999999999</v>
      </c>
    </row>
    <row r="1130" spans="1:8" x14ac:dyDescent="0.15">
      <c r="A1130" s="21">
        <v>2.2031249999999999E-2</v>
      </c>
      <c r="B1130" s="21">
        <f t="shared" si="34"/>
        <v>0.23839460000000001</v>
      </c>
      <c r="D1130">
        <f t="shared" si="35"/>
        <v>96.247389937106917</v>
      </c>
      <c r="G1130" s="21">
        <v>-0.30606670000000002</v>
      </c>
      <c r="H1130" s="21">
        <v>0.23839460000000001</v>
      </c>
    </row>
    <row r="1131" spans="1:8" x14ac:dyDescent="0.15">
      <c r="A1131" s="21">
        <v>2.2050779999999999E-2</v>
      </c>
      <c r="B1131" s="21">
        <f t="shared" si="34"/>
        <v>0.24878629999999999</v>
      </c>
      <c r="D1131">
        <f t="shared" si="35"/>
        <v>100.46191823899372</v>
      </c>
      <c r="G1131" s="21">
        <v>-0.3194689</v>
      </c>
      <c r="H1131" s="21">
        <v>0.24878629999999999</v>
      </c>
    </row>
    <row r="1132" spans="1:8" x14ac:dyDescent="0.15">
      <c r="A1132" s="21">
        <v>2.2070309999999999E-2</v>
      </c>
      <c r="B1132" s="21">
        <f t="shared" si="34"/>
        <v>0.251025</v>
      </c>
      <c r="D1132">
        <f t="shared" si="35"/>
        <v>101.41584905660378</v>
      </c>
      <c r="G1132" s="21">
        <v>-0.32250240000000002</v>
      </c>
      <c r="H1132" s="21">
        <v>0.251025</v>
      </c>
    </row>
    <row r="1133" spans="1:8" x14ac:dyDescent="0.15">
      <c r="A1133" s="21">
        <v>2.2089839999999999E-2</v>
      </c>
      <c r="B1133" s="21">
        <f t="shared" si="34"/>
        <v>0.24494099999999999</v>
      </c>
      <c r="D1133">
        <f t="shared" si="35"/>
        <v>98.988207547169822</v>
      </c>
      <c r="G1133" s="21">
        <v>-0.31478250000000002</v>
      </c>
      <c r="H1133" s="21">
        <v>0.24494099999999999</v>
      </c>
    </row>
    <row r="1134" spans="1:8" x14ac:dyDescent="0.15">
      <c r="A1134" s="21">
        <v>2.2109380000000001E-2</v>
      </c>
      <c r="B1134" s="21">
        <f t="shared" si="34"/>
        <v>0.2306301</v>
      </c>
      <c r="D1134">
        <f t="shared" si="35"/>
        <v>93.272044025157228</v>
      </c>
      <c r="G1134" s="21">
        <v>-0.29660510000000001</v>
      </c>
      <c r="H1134" s="21">
        <v>0.2306301</v>
      </c>
    </row>
    <row r="1135" spans="1:8" x14ac:dyDescent="0.15">
      <c r="A1135" s="21">
        <v>2.2128910000000002E-2</v>
      </c>
      <c r="B1135" s="21">
        <f t="shared" si="34"/>
        <v>0.20870230000000001</v>
      </c>
      <c r="D1135">
        <f t="shared" si="35"/>
        <v>84.518238993710696</v>
      </c>
      <c r="G1135" s="21">
        <v>-0.26876800000000001</v>
      </c>
      <c r="H1135" s="21">
        <v>0.20870230000000001</v>
      </c>
    </row>
    <row r="1136" spans="1:8" x14ac:dyDescent="0.15">
      <c r="A1136" s="21">
        <v>2.2148439999999998E-2</v>
      </c>
      <c r="B1136" s="21">
        <f t="shared" si="34"/>
        <v>0.17877689999999999</v>
      </c>
      <c r="D1136">
        <f t="shared" si="35"/>
        <v>72.502830188679241</v>
      </c>
      <c r="G1136" s="21">
        <v>-0.23055899999999999</v>
      </c>
      <c r="H1136" s="21">
        <v>0.17877689999999999</v>
      </c>
    </row>
    <row r="1137" spans="1:8" x14ac:dyDescent="0.15">
      <c r="A1137" s="21">
        <v>2.2167969999999999E-2</v>
      </c>
      <c r="B1137" s="21">
        <f t="shared" si="34"/>
        <v>0.14284189999999999</v>
      </c>
      <c r="D1137">
        <f t="shared" si="35"/>
        <v>58.155786163522002</v>
      </c>
      <c r="G1137" s="21">
        <v>-0.1849354</v>
      </c>
      <c r="H1137" s="21">
        <v>0.14284189999999999</v>
      </c>
    </row>
    <row r="1138" spans="1:8" x14ac:dyDescent="0.15">
      <c r="A1138" s="21">
        <v>2.2187499999999999E-2</v>
      </c>
      <c r="B1138" s="21">
        <f t="shared" si="34"/>
        <v>0.1029711</v>
      </c>
      <c r="D1138">
        <f t="shared" si="35"/>
        <v>42.27405660377358</v>
      </c>
      <c r="G1138" s="21">
        <v>-0.13443150000000001</v>
      </c>
      <c r="H1138" s="21">
        <v>0.1029711</v>
      </c>
    </row>
    <row r="1139" spans="1:8" x14ac:dyDescent="0.15">
      <c r="A1139" s="21">
        <v>2.2207029999999999E-2</v>
      </c>
      <c r="B1139" s="21">
        <f t="shared" si="34"/>
        <v>5.8867040000000002E-2</v>
      </c>
      <c r="D1139">
        <f t="shared" si="35"/>
        <v>24.51505660377358</v>
      </c>
      <c r="G1139" s="21">
        <v>-7.7957879999999993E-2</v>
      </c>
      <c r="H1139" s="21">
        <v>5.8867040000000002E-2</v>
      </c>
    </row>
    <row r="1140" spans="1:8" x14ac:dyDescent="0.15">
      <c r="A1140" s="21">
        <v>2.2226559999999999E-2</v>
      </c>
      <c r="B1140" s="21">
        <f t="shared" si="34"/>
        <v>1.2343089999999999E-2</v>
      </c>
      <c r="D1140">
        <f t="shared" si="35"/>
        <v>5.8420157232704399</v>
      </c>
      <c r="G1140" s="21">
        <v>-1.8577610000000001E-2</v>
      </c>
      <c r="H1140" s="21">
        <v>1.2343089999999999E-2</v>
      </c>
    </row>
    <row r="1141" spans="1:8" x14ac:dyDescent="0.15">
      <c r="A1141" s="21">
        <v>2.224609E-2</v>
      </c>
      <c r="B1141" s="21">
        <f t="shared" si="34"/>
        <v>-3.4173019999999998E-2</v>
      </c>
      <c r="D1141">
        <f t="shared" si="35"/>
        <v>-12.701245283018867</v>
      </c>
      <c r="G1141" s="21">
        <v>4.0389960000000003E-2</v>
      </c>
      <c r="H1141" s="21">
        <v>-3.4173019999999998E-2</v>
      </c>
    </row>
    <row r="1142" spans="1:8" x14ac:dyDescent="0.15">
      <c r="A1142" s="21">
        <v>2.2265630000000002E-2</v>
      </c>
      <c r="B1142" s="21">
        <f t="shared" si="34"/>
        <v>-7.9664579999999999E-2</v>
      </c>
      <c r="D1142">
        <f t="shared" si="35"/>
        <v>-30.967698113207547</v>
      </c>
      <c r="G1142" s="21">
        <v>9.847728E-2</v>
      </c>
      <c r="H1142" s="21">
        <v>-7.9664579999999999E-2</v>
      </c>
    </row>
    <row r="1143" spans="1:8" x14ac:dyDescent="0.15">
      <c r="A1143" s="21">
        <v>2.2285159999999998E-2</v>
      </c>
      <c r="B1143" s="21">
        <f t="shared" si="34"/>
        <v>-0.1219696</v>
      </c>
      <c r="D1143">
        <f t="shared" si="35"/>
        <v>-47.947610062893077</v>
      </c>
      <c r="G1143" s="21">
        <v>0.15247340000000001</v>
      </c>
      <c r="H1143" s="21">
        <v>-0.1219696</v>
      </c>
    </row>
    <row r="1144" spans="1:8" x14ac:dyDescent="0.15">
      <c r="A1144" s="21">
        <v>2.2304689999999999E-2</v>
      </c>
      <c r="B1144" s="21">
        <f t="shared" si="34"/>
        <v>-0.1597845</v>
      </c>
      <c r="D1144">
        <f t="shared" si="35"/>
        <v>-63.123427672955977</v>
      </c>
      <c r="G1144" s="21">
        <v>0.20073250000000001</v>
      </c>
      <c r="H1144" s="21">
        <v>-0.1597845</v>
      </c>
    </row>
    <row r="1145" spans="1:8" x14ac:dyDescent="0.15">
      <c r="A1145" s="21">
        <v>2.2324219999999999E-2</v>
      </c>
      <c r="B1145" s="21">
        <f t="shared" si="34"/>
        <v>-0.19286809999999999</v>
      </c>
      <c r="D1145">
        <f t="shared" si="35"/>
        <v>-76.453993710691819</v>
      </c>
      <c r="G1145" s="21">
        <v>0.2431237</v>
      </c>
      <c r="H1145" s="21">
        <v>-0.19286809999999999</v>
      </c>
    </row>
    <row r="1146" spans="1:8" x14ac:dyDescent="0.15">
      <c r="A1146" s="21">
        <v>2.2343749999999999E-2</v>
      </c>
      <c r="B1146" s="21">
        <f t="shared" si="34"/>
        <v>-0.21958900000000001</v>
      </c>
      <c r="D1146">
        <f t="shared" si="35"/>
        <v>-87.149716981132073</v>
      </c>
      <c r="G1146" s="21">
        <v>0.2771361</v>
      </c>
      <c r="H1146" s="21">
        <v>-0.21958900000000001</v>
      </c>
    </row>
    <row r="1147" spans="1:8" x14ac:dyDescent="0.15">
      <c r="A1147" s="21">
        <v>2.2363279999999999E-2</v>
      </c>
      <c r="B1147" s="21">
        <f t="shared" si="34"/>
        <v>-0.23877789999999999</v>
      </c>
      <c r="D1147">
        <f t="shared" si="35"/>
        <v>-94.896352201257855</v>
      </c>
      <c r="G1147" s="21">
        <v>0.30177039999999999</v>
      </c>
      <c r="H1147" s="21">
        <v>-0.23877789999999999</v>
      </c>
    </row>
    <row r="1148" spans="1:8" x14ac:dyDescent="0.15">
      <c r="A1148" s="21">
        <v>2.238281E-2</v>
      </c>
      <c r="B1148" s="21">
        <f t="shared" si="34"/>
        <v>-0.24976139999999999</v>
      </c>
      <c r="D1148">
        <f t="shared" si="35"/>
        <v>-99.351194968553457</v>
      </c>
      <c r="G1148" s="21">
        <v>0.31593680000000002</v>
      </c>
      <c r="H1148" s="21">
        <v>-0.24976139999999999</v>
      </c>
    </row>
    <row r="1149" spans="1:8" x14ac:dyDescent="0.15">
      <c r="A1149" s="21">
        <v>2.240234E-2</v>
      </c>
      <c r="B1149" s="21">
        <f t="shared" si="34"/>
        <v>-0.25230200000000003</v>
      </c>
      <c r="D1149">
        <f t="shared" si="35"/>
        <v>-100.3738679245283</v>
      </c>
      <c r="G1149" s="21">
        <v>0.3191889</v>
      </c>
      <c r="H1149" s="21">
        <v>-0.25230200000000003</v>
      </c>
    </row>
    <row r="1150" spans="1:8" x14ac:dyDescent="0.15">
      <c r="A1150" s="21">
        <v>2.2421880000000002E-2</v>
      </c>
      <c r="B1150" s="21">
        <f t="shared" si="34"/>
        <v>-0.24702740000000001</v>
      </c>
      <c r="D1150">
        <f t="shared" si="35"/>
        <v>-98.36666666666666</v>
      </c>
      <c r="G1150" s="21">
        <v>0.31280599999999997</v>
      </c>
      <c r="H1150" s="21">
        <v>-0.24702740000000001</v>
      </c>
    </row>
    <row r="1151" spans="1:8" x14ac:dyDescent="0.15">
      <c r="A1151" s="21">
        <v>2.2441409999999998E-2</v>
      </c>
      <c r="B1151" s="21">
        <f t="shared" si="34"/>
        <v>-0.23340350000000001</v>
      </c>
      <c r="D1151">
        <f t="shared" si="35"/>
        <v>-92.902012578616336</v>
      </c>
      <c r="G1151" s="21">
        <v>0.29542839999999998</v>
      </c>
      <c r="H1151" s="21">
        <v>-0.23340350000000001</v>
      </c>
    </row>
    <row r="1152" spans="1:8" x14ac:dyDescent="0.15">
      <c r="A1152" s="21">
        <v>2.2460939999999999E-2</v>
      </c>
      <c r="B1152" s="21">
        <f t="shared" si="34"/>
        <v>-0.21143960000000001</v>
      </c>
      <c r="D1152">
        <f t="shared" si="35"/>
        <v>-84.046886792452824</v>
      </c>
      <c r="G1152" s="21">
        <v>0.26726909999999998</v>
      </c>
      <c r="H1152" s="21">
        <v>-0.21143960000000001</v>
      </c>
    </row>
    <row r="1153" spans="1:8" x14ac:dyDescent="0.15">
      <c r="A1153" s="21">
        <v>2.2480469999999999E-2</v>
      </c>
      <c r="B1153" s="21">
        <f t="shared" si="34"/>
        <v>-0.18258559999999999</v>
      </c>
      <c r="D1153">
        <f t="shared" si="35"/>
        <v>-72.587515723270428</v>
      </c>
      <c r="G1153" s="21">
        <v>0.23082829999999999</v>
      </c>
      <c r="H1153" s="21">
        <v>-0.18258559999999999</v>
      </c>
    </row>
    <row r="1154" spans="1:8" x14ac:dyDescent="0.15">
      <c r="A1154" s="21">
        <v>2.2499999999999999E-2</v>
      </c>
      <c r="B1154" s="21">
        <f t="shared" ref="B1154:B1217" si="36">H1154</f>
        <v>-0.14757139999999999</v>
      </c>
      <c r="D1154">
        <f t="shared" ref="D1154:D1217" si="37">G1154*-1000/3.18</f>
        <v>-58.615377358490569</v>
      </c>
      <c r="G1154" s="21">
        <v>0.1863969</v>
      </c>
      <c r="H1154" s="21">
        <v>-0.14757139999999999</v>
      </c>
    </row>
    <row r="1155" spans="1:8" x14ac:dyDescent="0.15">
      <c r="A1155" s="21">
        <v>2.2519529999999999E-2</v>
      </c>
      <c r="B1155" s="21">
        <f t="shared" si="36"/>
        <v>-0.10709349999999999</v>
      </c>
      <c r="D1155">
        <f t="shared" si="37"/>
        <v>-42.354339622641511</v>
      </c>
      <c r="G1155" s="21">
        <v>0.1346868</v>
      </c>
      <c r="H1155" s="21">
        <v>-0.10709349999999999</v>
      </c>
    </row>
    <row r="1156" spans="1:8" x14ac:dyDescent="0.15">
      <c r="A1156" s="21">
        <v>2.253906E-2</v>
      </c>
      <c r="B1156" s="21">
        <f t="shared" si="36"/>
        <v>-6.3240840000000006E-2</v>
      </c>
      <c r="D1156">
        <f t="shared" si="37"/>
        <v>-24.798198113207544</v>
      </c>
      <c r="G1156" s="21">
        <v>7.8858269999999994E-2</v>
      </c>
      <c r="H1156" s="21">
        <v>-6.3240840000000006E-2</v>
      </c>
    </row>
    <row r="1157" spans="1:8" x14ac:dyDescent="0.15">
      <c r="A1157" s="21">
        <v>2.255859E-2</v>
      </c>
      <c r="B1157" s="21">
        <f t="shared" si="36"/>
        <v>-1.7603850000000001E-2</v>
      </c>
      <c r="D1157">
        <f t="shared" si="37"/>
        <v>-6.5517358490566027</v>
      </c>
      <c r="G1157" s="21">
        <v>2.0834519999999999E-2</v>
      </c>
      <c r="H1157" s="21">
        <v>-1.7603850000000001E-2</v>
      </c>
    </row>
    <row r="1158" spans="1:8" x14ac:dyDescent="0.15">
      <c r="A1158" s="21">
        <v>2.2578129999999998E-2</v>
      </c>
      <c r="B1158" s="21">
        <f t="shared" si="36"/>
        <v>2.9419580000000001E-2</v>
      </c>
      <c r="D1158">
        <f t="shared" si="37"/>
        <v>12.389600628930816</v>
      </c>
      <c r="G1158" s="21">
        <v>-3.9398929999999999E-2</v>
      </c>
      <c r="H1158" s="21">
        <v>2.9419580000000001E-2</v>
      </c>
    </row>
    <row r="1159" spans="1:8" x14ac:dyDescent="0.15">
      <c r="A1159" s="21">
        <v>2.2597659999999999E-2</v>
      </c>
      <c r="B1159" s="21">
        <f t="shared" si="36"/>
        <v>7.5544780000000006E-2</v>
      </c>
      <c r="D1159">
        <f t="shared" si="37"/>
        <v>30.909198113207541</v>
      </c>
      <c r="G1159" s="21">
        <v>-9.8291249999999997E-2</v>
      </c>
      <c r="H1159" s="21">
        <v>7.5544780000000006E-2</v>
      </c>
    </row>
    <row r="1160" spans="1:8" x14ac:dyDescent="0.15">
      <c r="A1160" s="21">
        <v>2.2617189999999999E-2</v>
      </c>
      <c r="B1160" s="21">
        <f t="shared" si="36"/>
        <v>0.1179311</v>
      </c>
      <c r="D1160">
        <f t="shared" si="37"/>
        <v>47.738993710691823</v>
      </c>
      <c r="G1160" s="21">
        <v>-0.15181</v>
      </c>
      <c r="H1160" s="21">
        <v>0.1179311</v>
      </c>
    </row>
    <row r="1161" spans="1:8" x14ac:dyDescent="0.15">
      <c r="A1161" s="21">
        <v>2.2636719999999999E-2</v>
      </c>
      <c r="B1161" s="21">
        <f t="shared" si="36"/>
        <v>0.15596489999999999</v>
      </c>
      <c r="D1161">
        <f t="shared" si="37"/>
        <v>63.04440251572327</v>
      </c>
      <c r="G1161" s="21">
        <v>-0.2004812</v>
      </c>
      <c r="H1161" s="21">
        <v>0.15596489999999999</v>
      </c>
    </row>
    <row r="1162" spans="1:8" x14ac:dyDescent="0.15">
      <c r="A1162" s="21">
        <v>2.2656249999999999E-2</v>
      </c>
      <c r="B1162" s="21">
        <f t="shared" si="36"/>
        <v>0.18927669999999999</v>
      </c>
      <c r="D1162">
        <f t="shared" si="37"/>
        <v>76.607484276729551</v>
      </c>
      <c r="G1162" s="21">
        <v>-0.24361179999999999</v>
      </c>
      <c r="H1162" s="21">
        <v>0.18927669999999999</v>
      </c>
    </row>
    <row r="1163" spans="1:8" x14ac:dyDescent="0.15">
      <c r="A1163" s="21">
        <v>2.267578E-2</v>
      </c>
      <c r="B1163" s="21">
        <f t="shared" si="36"/>
        <v>0.21646029999999999</v>
      </c>
      <c r="D1163">
        <f t="shared" si="37"/>
        <v>87.483176100628924</v>
      </c>
      <c r="G1163" s="21">
        <v>-0.27819650000000001</v>
      </c>
      <c r="H1163" s="21">
        <v>0.21646029999999999</v>
      </c>
    </row>
    <row r="1164" spans="1:8" x14ac:dyDescent="0.15">
      <c r="A1164" s="21">
        <v>2.269531E-2</v>
      </c>
      <c r="B1164" s="21">
        <f t="shared" si="36"/>
        <v>0.2362175</v>
      </c>
      <c r="D1164">
        <f t="shared" si="37"/>
        <v>95.343238993710699</v>
      </c>
      <c r="G1164" s="21">
        <v>-0.3031915</v>
      </c>
      <c r="H1164" s="21">
        <v>0.2362175</v>
      </c>
    </row>
    <row r="1165" spans="1:8" x14ac:dyDescent="0.15">
      <c r="A1165" s="21">
        <v>2.271484E-2</v>
      </c>
      <c r="B1165" s="21">
        <f t="shared" si="36"/>
        <v>0.2480723</v>
      </c>
      <c r="D1165">
        <f t="shared" si="37"/>
        <v>100.15358490566038</v>
      </c>
      <c r="G1165" s="21">
        <v>-0.3184884</v>
      </c>
      <c r="H1165" s="21">
        <v>0.2480723</v>
      </c>
    </row>
    <row r="1166" spans="1:8" x14ac:dyDescent="0.15">
      <c r="A1166" s="21">
        <v>2.2734379999999998E-2</v>
      </c>
      <c r="B1166" s="21">
        <f t="shared" si="36"/>
        <v>0.25156450000000002</v>
      </c>
      <c r="D1166">
        <f t="shared" si="37"/>
        <v>101.60977987421383</v>
      </c>
      <c r="G1166" s="21">
        <v>-0.32311909999999999</v>
      </c>
      <c r="H1166" s="21">
        <v>0.25156450000000002</v>
      </c>
    </row>
    <row r="1167" spans="1:8" x14ac:dyDescent="0.15">
      <c r="A1167" s="21">
        <v>2.2753909999999999E-2</v>
      </c>
      <c r="B1167" s="21">
        <f t="shared" si="36"/>
        <v>0.24629029999999999</v>
      </c>
      <c r="D1167">
        <f t="shared" si="37"/>
        <v>99.521761006289296</v>
      </c>
      <c r="G1167" s="21">
        <v>-0.31647920000000002</v>
      </c>
      <c r="H1167" s="21">
        <v>0.24629029999999999</v>
      </c>
    </row>
    <row r="1168" spans="1:8" x14ac:dyDescent="0.15">
      <c r="A1168" s="21">
        <v>2.2773439999999999E-2</v>
      </c>
      <c r="B1168" s="21">
        <f t="shared" si="36"/>
        <v>0.2328144</v>
      </c>
      <c r="D1168">
        <f t="shared" si="37"/>
        <v>94.097201257861641</v>
      </c>
      <c r="G1168" s="21">
        <v>-0.29922910000000003</v>
      </c>
      <c r="H1168" s="21">
        <v>0.2328144</v>
      </c>
    </row>
    <row r="1169" spans="1:8" x14ac:dyDescent="0.15">
      <c r="A1169" s="21">
        <v>2.2792969999999999E-2</v>
      </c>
      <c r="B1169" s="21">
        <f t="shared" si="36"/>
        <v>0.2118121</v>
      </c>
      <c r="D1169">
        <f t="shared" si="37"/>
        <v>85.728867924528316</v>
      </c>
      <c r="G1169" s="21">
        <v>-0.27261780000000002</v>
      </c>
      <c r="H1169" s="21">
        <v>0.2118121</v>
      </c>
    </row>
    <row r="1170" spans="1:8" x14ac:dyDescent="0.15">
      <c r="A1170" s="21">
        <v>2.2812499999999999E-2</v>
      </c>
      <c r="B1170" s="21">
        <f t="shared" si="36"/>
        <v>0.18345429999999999</v>
      </c>
      <c r="D1170">
        <f t="shared" si="37"/>
        <v>74.449496855345913</v>
      </c>
      <c r="G1170" s="21">
        <v>-0.2367494</v>
      </c>
      <c r="H1170" s="21">
        <v>0.18345429999999999</v>
      </c>
    </row>
    <row r="1171" spans="1:8" x14ac:dyDescent="0.15">
      <c r="A1171" s="21">
        <v>2.283203E-2</v>
      </c>
      <c r="B1171" s="21">
        <f t="shared" si="36"/>
        <v>0.14847650000000001</v>
      </c>
      <c r="D1171">
        <f t="shared" si="37"/>
        <v>60.38213836477987</v>
      </c>
      <c r="G1171" s="21">
        <v>-0.1920152</v>
      </c>
      <c r="H1171" s="21">
        <v>0.14847650000000001</v>
      </c>
    </row>
    <row r="1172" spans="1:8" x14ac:dyDescent="0.15">
      <c r="A1172" s="21">
        <v>2.285156E-2</v>
      </c>
      <c r="B1172" s="21">
        <f t="shared" si="36"/>
        <v>0.1084036</v>
      </c>
      <c r="D1172">
        <f t="shared" si="37"/>
        <v>44.377138364779874</v>
      </c>
      <c r="G1172" s="21">
        <v>-0.1411193</v>
      </c>
      <c r="H1172" s="21">
        <v>0.1084036</v>
      </c>
    </row>
    <row r="1173" spans="1:8" x14ac:dyDescent="0.15">
      <c r="A1173" s="21">
        <v>2.287109E-2</v>
      </c>
      <c r="B1173" s="21">
        <f t="shared" si="36"/>
        <v>6.4733180000000001E-2</v>
      </c>
      <c r="D1173">
        <f t="shared" si="37"/>
        <v>26.94819811320755</v>
      </c>
      <c r="G1173" s="21">
        <v>-8.5695270000000004E-2</v>
      </c>
      <c r="H1173" s="21">
        <v>6.4733180000000001E-2</v>
      </c>
    </row>
    <row r="1174" spans="1:8" x14ac:dyDescent="0.15">
      <c r="A1174" s="21">
        <v>2.2890629999999999E-2</v>
      </c>
      <c r="B1174" s="21">
        <f t="shared" si="36"/>
        <v>1.8702030000000001E-2</v>
      </c>
      <c r="D1174">
        <f t="shared" si="37"/>
        <v>8.4358930817610052</v>
      </c>
      <c r="G1174" s="21">
        <v>-2.6826139999999998E-2</v>
      </c>
      <c r="H1174" s="21">
        <v>1.8702030000000001E-2</v>
      </c>
    </row>
    <row r="1175" spans="1:8" x14ac:dyDescent="0.15">
      <c r="A1175" s="21">
        <v>2.2910159999999999E-2</v>
      </c>
      <c r="B1175" s="21">
        <f t="shared" si="36"/>
        <v>-2.8148099999999999E-2</v>
      </c>
      <c r="D1175">
        <f t="shared" si="37"/>
        <v>-10.332981132075471</v>
      </c>
      <c r="G1175" s="21">
        <v>3.285888E-2</v>
      </c>
      <c r="H1175" s="21">
        <v>-2.8148099999999999E-2</v>
      </c>
    </row>
    <row r="1176" spans="1:8" x14ac:dyDescent="0.15">
      <c r="A1176" s="21">
        <v>2.2929689999999999E-2</v>
      </c>
      <c r="B1176" s="21">
        <f t="shared" si="36"/>
        <v>-7.3601700000000006E-2</v>
      </c>
      <c r="D1176">
        <f t="shared" si="37"/>
        <v>-28.536927672955976</v>
      </c>
      <c r="G1176" s="21">
        <v>9.0747430000000004E-2</v>
      </c>
      <c r="H1176" s="21">
        <v>-7.3601700000000006E-2</v>
      </c>
    </row>
    <row r="1177" spans="1:8" x14ac:dyDescent="0.15">
      <c r="A1177" s="21">
        <v>2.2949219999999999E-2</v>
      </c>
      <c r="B1177" s="21">
        <f t="shared" si="36"/>
        <v>-0.1162062</v>
      </c>
      <c r="D1177">
        <f t="shared" si="37"/>
        <v>-45.584119496855337</v>
      </c>
      <c r="G1177" s="21">
        <v>0.14495749999999999</v>
      </c>
      <c r="H1177" s="21">
        <v>-0.1162062</v>
      </c>
    </row>
    <row r="1178" spans="1:8" x14ac:dyDescent="0.15">
      <c r="A1178" s="21">
        <v>2.296875E-2</v>
      </c>
      <c r="B1178" s="21">
        <f t="shared" si="36"/>
        <v>-0.1551602</v>
      </c>
      <c r="D1178">
        <f t="shared" si="37"/>
        <v>-61.257106918238989</v>
      </c>
      <c r="G1178" s="21">
        <v>0.19479759999999999</v>
      </c>
      <c r="H1178" s="21">
        <v>-0.1551602</v>
      </c>
    </row>
    <row r="1179" spans="1:8" x14ac:dyDescent="0.15">
      <c r="A1179" s="21">
        <v>2.298828E-2</v>
      </c>
      <c r="B1179" s="21">
        <f t="shared" si="36"/>
        <v>-0.18896350000000001</v>
      </c>
      <c r="D1179">
        <f t="shared" si="37"/>
        <v>-74.917484276729553</v>
      </c>
      <c r="G1179" s="21">
        <v>0.23823759999999999</v>
      </c>
      <c r="H1179" s="21">
        <v>-0.18896350000000001</v>
      </c>
    </row>
    <row r="1180" spans="1:8" x14ac:dyDescent="0.15">
      <c r="A1180" s="21">
        <v>2.300781E-2</v>
      </c>
      <c r="B1180" s="21">
        <f t="shared" si="36"/>
        <v>-0.21639259999999999</v>
      </c>
      <c r="D1180">
        <f t="shared" si="37"/>
        <v>-85.824496855345899</v>
      </c>
      <c r="G1180" s="21">
        <v>0.2729219</v>
      </c>
      <c r="H1180" s="21">
        <v>-0.21639259999999999</v>
      </c>
    </row>
    <row r="1181" spans="1:8" x14ac:dyDescent="0.15">
      <c r="A1181" s="21">
        <v>2.302734E-2</v>
      </c>
      <c r="B1181" s="21">
        <f t="shared" si="36"/>
        <v>-0.23656869999999999</v>
      </c>
      <c r="D1181">
        <f t="shared" si="37"/>
        <v>-93.931666666666658</v>
      </c>
      <c r="G1181" s="21">
        <v>0.29870269999999999</v>
      </c>
      <c r="H1181" s="21">
        <v>-0.23656869999999999</v>
      </c>
    </row>
    <row r="1182" spans="1:8" x14ac:dyDescent="0.15">
      <c r="A1182" s="21">
        <v>2.3046879999999999E-2</v>
      </c>
      <c r="B1182" s="21">
        <f t="shared" si="36"/>
        <v>-0.24884239999999999</v>
      </c>
      <c r="D1182">
        <f t="shared" si="37"/>
        <v>-98.989622641509428</v>
      </c>
      <c r="G1182" s="21">
        <v>0.31478699999999998</v>
      </c>
      <c r="H1182" s="21">
        <v>-0.24884239999999999</v>
      </c>
    </row>
    <row r="1183" spans="1:8" x14ac:dyDescent="0.15">
      <c r="A1183" s="21">
        <v>2.3066409999999999E-2</v>
      </c>
      <c r="B1183" s="21">
        <f t="shared" si="36"/>
        <v>-0.25273420000000002</v>
      </c>
      <c r="D1183">
        <f t="shared" si="37"/>
        <v>-100.56924528301886</v>
      </c>
      <c r="G1183" s="21">
        <v>0.31981019999999999</v>
      </c>
      <c r="H1183" s="21">
        <v>-0.25273420000000002</v>
      </c>
    </row>
    <row r="1184" spans="1:8" x14ac:dyDescent="0.15">
      <c r="A1184" s="21">
        <v>2.3085939999999999E-2</v>
      </c>
      <c r="B1184" s="21">
        <f t="shared" si="36"/>
        <v>-0.24817040000000001</v>
      </c>
      <c r="D1184">
        <f t="shared" si="37"/>
        <v>-98.779842767295605</v>
      </c>
      <c r="G1184" s="21">
        <v>0.31411990000000001</v>
      </c>
      <c r="H1184" s="21">
        <v>-0.24817040000000001</v>
      </c>
    </row>
    <row r="1185" spans="1:8" x14ac:dyDescent="0.15">
      <c r="A1185" s="21">
        <v>2.3105469999999999E-2</v>
      </c>
      <c r="B1185" s="21">
        <f t="shared" si="36"/>
        <v>-0.23587449999999999</v>
      </c>
      <c r="D1185">
        <f t="shared" si="37"/>
        <v>-93.879559748427667</v>
      </c>
      <c r="G1185" s="21">
        <v>0.298537</v>
      </c>
      <c r="H1185" s="21">
        <v>-0.23587449999999999</v>
      </c>
    </row>
    <row r="1186" spans="1:8" x14ac:dyDescent="0.15">
      <c r="A1186" s="21">
        <v>2.3125E-2</v>
      </c>
      <c r="B1186" s="21">
        <f t="shared" si="36"/>
        <v>-0.2154162</v>
      </c>
      <c r="D1186">
        <f t="shared" si="37"/>
        <v>-85.661477987421378</v>
      </c>
      <c r="G1186" s="21">
        <v>0.27240350000000002</v>
      </c>
      <c r="H1186" s="21">
        <v>-0.2154162</v>
      </c>
    </row>
    <row r="1187" spans="1:8" x14ac:dyDescent="0.15">
      <c r="A1187" s="21">
        <v>2.314453E-2</v>
      </c>
      <c r="B1187" s="21">
        <f t="shared" si="36"/>
        <v>-0.18689900000000001</v>
      </c>
      <c r="D1187">
        <f t="shared" si="37"/>
        <v>-74.27943396226415</v>
      </c>
      <c r="G1187" s="21">
        <v>0.23620859999999999</v>
      </c>
      <c r="H1187" s="21">
        <v>-0.18689900000000001</v>
      </c>
    </row>
    <row r="1188" spans="1:8" x14ac:dyDescent="0.15">
      <c r="A1188" s="21">
        <v>2.316406E-2</v>
      </c>
      <c r="B1188" s="21">
        <f t="shared" si="36"/>
        <v>-0.1524037</v>
      </c>
      <c r="D1188">
        <f t="shared" si="37"/>
        <v>-60.532610062893077</v>
      </c>
      <c r="G1188" s="21">
        <v>0.19249369999999999</v>
      </c>
      <c r="H1188" s="21">
        <v>-0.1524037</v>
      </c>
    </row>
    <row r="1189" spans="1:8" x14ac:dyDescent="0.15">
      <c r="A1189" s="21">
        <v>2.318359E-2</v>
      </c>
      <c r="B1189" s="21">
        <f t="shared" si="36"/>
        <v>-0.1131935</v>
      </c>
      <c r="D1189">
        <f t="shared" si="37"/>
        <v>-44.858270440251573</v>
      </c>
      <c r="G1189" s="21">
        <v>0.14264930000000001</v>
      </c>
      <c r="H1189" s="21">
        <v>-0.1131935</v>
      </c>
    </row>
    <row r="1190" spans="1:8" x14ac:dyDescent="0.15">
      <c r="A1190" s="21">
        <v>2.3203129999999999E-2</v>
      </c>
      <c r="B1190" s="21">
        <f t="shared" si="36"/>
        <v>-6.9844219999999999E-2</v>
      </c>
      <c r="D1190">
        <f t="shared" si="37"/>
        <v>-27.455248427672952</v>
      </c>
      <c r="G1190" s="21">
        <v>8.7307689999999993E-2</v>
      </c>
      <c r="H1190" s="21">
        <v>-6.9844219999999999E-2</v>
      </c>
    </row>
    <row r="1191" spans="1:8" x14ac:dyDescent="0.15">
      <c r="A1191" s="21">
        <v>2.3222659999999999E-2</v>
      </c>
      <c r="B1191" s="21">
        <f t="shared" si="36"/>
        <v>-2.3862370000000001E-2</v>
      </c>
      <c r="D1191">
        <f t="shared" si="37"/>
        <v>-9.0071635220125774</v>
      </c>
      <c r="G1191" s="21">
        <v>2.864278E-2</v>
      </c>
      <c r="H1191" s="21">
        <v>-2.3862370000000001E-2</v>
      </c>
    </row>
    <row r="1192" spans="1:8" x14ac:dyDescent="0.15">
      <c r="A1192" s="21">
        <v>2.3242189999999999E-2</v>
      </c>
      <c r="B1192" s="21">
        <f t="shared" si="36"/>
        <v>2.2884310000000001E-2</v>
      </c>
      <c r="D1192">
        <f t="shared" si="37"/>
        <v>9.695462264150942</v>
      </c>
      <c r="G1192" s="21">
        <v>-3.0831569999999999E-2</v>
      </c>
      <c r="H1192" s="21">
        <v>2.2884310000000001E-2</v>
      </c>
    </row>
    <row r="1193" spans="1:8" x14ac:dyDescent="0.15">
      <c r="A1193" s="21">
        <v>2.326172E-2</v>
      </c>
      <c r="B1193" s="21">
        <f t="shared" si="36"/>
        <v>6.8855150000000004E-2</v>
      </c>
      <c r="D1193">
        <f t="shared" si="37"/>
        <v>28.154163522012574</v>
      </c>
      <c r="G1193" s="21">
        <v>-8.9530239999999997E-2</v>
      </c>
      <c r="H1193" s="21">
        <v>6.8855150000000004E-2</v>
      </c>
    </row>
    <row r="1194" spans="1:8" x14ac:dyDescent="0.15">
      <c r="A1194" s="21">
        <v>2.328125E-2</v>
      </c>
      <c r="B1194" s="21">
        <f t="shared" si="36"/>
        <v>0.11210970000000001</v>
      </c>
      <c r="D1194">
        <f t="shared" si="37"/>
        <v>45.545754716981129</v>
      </c>
      <c r="G1194" s="21">
        <v>-0.14483550000000001</v>
      </c>
      <c r="H1194" s="21">
        <v>0.11210970000000001</v>
      </c>
    </row>
    <row r="1195" spans="1:8" x14ac:dyDescent="0.15">
      <c r="A1195" s="21">
        <v>2.330078E-2</v>
      </c>
      <c r="B1195" s="21">
        <f t="shared" si="36"/>
        <v>0.15107809999999999</v>
      </c>
      <c r="D1195">
        <f t="shared" si="37"/>
        <v>61.160566037735848</v>
      </c>
      <c r="G1195" s="21">
        <v>-0.19449060000000001</v>
      </c>
      <c r="H1195" s="21">
        <v>0.15107809999999999</v>
      </c>
    </row>
    <row r="1196" spans="1:8" x14ac:dyDescent="0.15">
      <c r="A1196" s="21">
        <v>2.332031E-2</v>
      </c>
      <c r="B1196" s="21">
        <f t="shared" si="36"/>
        <v>0.18487219999999999</v>
      </c>
      <c r="D1196">
        <f t="shared" si="37"/>
        <v>74.703867924528296</v>
      </c>
      <c r="G1196" s="21">
        <v>-0.2375583</v>
      </c>
      <c r="H1196" s="21">
        <v>0.18487219999999999</v>
      </c>
    </row>
    <row r="1197" spans="1:8" x14ac:dyDescent="0.15">
      <c r="A1197" s="21">
        <v>2.3339840000000001E-2</v>
      </c>
      <c r="B1197" s="21">
        <f t="shared" si="36"/>
        <v>0.21261820000000001</v>
      </c>
      <c r="D1197">
        <f t="shared" si="37"/>
        <v>85.846069182389925</v>
      </c>
      <c r="G1197" s="21">
        <v>-0.27299050000000002</v>
      </c>
      <c r="H1197" s="21">
        <v>0.21261820000000001</v>
      </c>
    </row>
    <row r="1198" spans="1:8" x14ac:dyDescent="0.15">
      <c r="A1198" s="21">
        <v>2.3359379999999999E-2</v>
      </c>
      <c r="B1198" s="21">
        <f t="shared" si="36"/>
        <v>0.2335161</v>
      </c>
      <c r="D1198">
        <f t="shared" si="37"/>
        <v>94.292547169811314</v>
      </c>
      <c r="G1198" s="21">
        <v>-0.29985030000000001</v>
      </c>
      <c r="H1198" s="21">
        <v>0.2335161</v>
      </c>
    </row>
    <row r="1199" spans="1:8" x14ac:dyDescent="0.15">
      <c r="A1199" s="21">
        <v>2.3378909999999999E-2</v>
      </c>
      <c r="B1199" s="21">
        <f t="shared" si="36"/>
        <v>0.2463554</v>
      </c>
      <c r="D1199">
        <f t="shared" si="37"/>
        <v>99.426635220125775</v>
      </c>
      <c r="G1199" s="21">
        <v>-0.31617669999999998</v>
      </c>
      <c r="H1199" s="21">
        <v>0.2463554</v>
      </c>
    </row>
    <row r="1200" spans="1:8" x14ac:dyDescent="0.15">
      <c r="A1200" s="21">
        <v>2.339844E-2</v>
      </c>
      <c r="B1200" s="21">
        <f t="shared" si="36"/>
        <v>0.25092759999999997</v>
      </c>
      <c r="D1200">
        <f t="shared" si="37"/>
        <v>101.25833333333334</v>
      </c>
      <c r="G1200" s="21">
        <v>-0.3220015</v>
      </c>
      <c r="H1200" s="21">
        <v>0.25092759999999997</v>
      </c>
    </row>
    <row r="1201" spans="1:8" x14ac:dyDescent="0.15">
      <c r="A1201" s="21">
        <v>2.341797E-2</v>
      </c>
      <c r="B1201" s="21">
        <f t="shared" si="36"/>
        <v>0.24727469999999999</v>
      </c>
      <c r="D1201">
        <f t="shared" si="37"/>
        <v>99.951006289308168</v>
      </c>
      <c r="G1201" s="21">
        <v>-0.31784420000000002</v>
      </c>
      <c r="H1201" s="21">
        <v>0.24727469999999999</v>
      </c>
    </row>
    <row r="1202" spans="1:8" x14ac:dyDescent="0.15">
      <c r="A1202" s="21">
        <v>2.34375E-2</v>
      </c>
      <c r="B1202" s="21">
        <f t="shared" si="36"/>
        <v>0.23497760000000001</v>
      </c>
      <c r="D1202">
        <f t="shared" si="37"/>
        <v>95.000534591194963</v>
      </c>
      <c r="G1202" s="21">
        <v>-0.30210169999999997</v>
      </c>
      <c r="H1202" s="21">
        <v>0.23497760000000001</v>
      </c>
    </row>
    <row r="1203" spans="1:8" x14ac:dyDescent="0.15">
      <c r="A1203" s="21">
        <v>2.345703E-2</v>
      </c>
      <c r="B1203" s="21">
        <f t="shared" si="36"/>
        <v>0.2146351</v>
      </c>
      <c r="D1203">
        <f t="shared" si="37"/>
        <v>86.786823899371072</v>
      </c>
      <c r="G1203" s="21">
        <v>-0.27598210000000001</v>
      </c>
      <c r="H1203" s="21">
        <v>0.2146351</v>
      </c>
    </row>
    <row r="1204" spans="1:8" x14ac:dyDescent="0.15">
      <c r="A1204" s="21">
        <v>2.347656E-2</v>
      </c>
      <c r="B1204" s="21">
        <f t="shared" si="36"/>
        <v>0.18692429999999999</v>
      </c>
      <c r="D1204">
        <f t="shared" si="37"/>
        <v>75.800251572327042</v>
      </c>
      <c r="G1204" s="21">
        <v>-0.2410448</v>
      </c>
      <c r="H1204" s="21">
        <v>0.18692429999999999</v>
      </c>
    </row>
    <row r="1205" spans="1:8" x14ac:dyDescent="0.15">
      <c r="A1205" s="21">
        <v>2.3496090000000001E-2</v>
      </c>
      <c r="B1205" s="21">
        <f t="shared" si="36"/>
        <v>0.15311230000000001</v>
      </c>
      <c r="D1205">
        <f t="shared" si="37"/>
        <v>62.281006289308166</v>
      </c>
      <c r="G1205" s="21">
        <v>-0.1980536</v>
      </c>
      <c r="H1205" s="21">
        <v>0.15311230000000001</v>
      </c>
    </row>
    <row r="1206" spans="1:8" x14ac:dyDescent="0.15">
      <c r="A1206" s="21">
        <v>2.3515629999999999E-2</v>
      </c>
      <c r="B1206" s="21">
        <f t="shared" si="36"/>
        <v>0.1139719</v>
      </c>
      <c r="D1206">
        <f t="shared" si="37"/>
        <v>46.59732704402515</v>
      </c>
      <c r="G1206" s="21">
        <v>-0.14817949999999999</v>
      </c>
      <c r="H1206" s="21">
        <v>0.1139719</v>
      </c>
    </row>
    <row r="1207" spans="1:8" x14ac:dyDescent="0.15">
      <c r="A1207" s="21">
        <v>2.3535159999999999E-2</v>
      </c>
      <c r="B1207" s="21">
        <f t="shared" si="36"/>
        <v>7.0101780000000002E-2</v>
      </c>
      <c r="D1207">
        <f t="shared" si="37"/>
        <v>29.028449685534593</v>
      </c>
      <c r="G1207" s="21">
        <v>-9.2310470000000006E-2</v>
      </c>
      <c r="H1207" s="21">
        <v>7.0101780000000002E-2</v>
      </c>
    </row>
    <row r="1208" spans="1:8" x14ac:dyDescent="0.15">
      <c r="A1208" s="21">
        <v>2.355469E-2</v>
      </c>
      <c r="B1208" s="21">
        <f t="shared" si="36"/>
        <v>2.4289149999999999E-2</v>
      </c>
      <c r="D1208">
        <f t="shared" si="37"/>
        <v>10.672094339622639</v>
      </c>
      <c r="G1208" s="21">
        <v>-3.3937259999999997E-2</v>
      </c>
      <c r="H1208" s="21">
        <v>2.4289149999999999E-2</v>
      </c>
    </row>
    <row r="1209" spans="1:8" x14ac:dyDescent="0.15">
      <c r="A1209" s="21">
        <v>2.357422E-2</v>
      </c>
      <c r="B1209" s="21">
        <f t="shared" si="36"/>
        <v>-2.1977779999999999E-2</v>
      </c>
      <c r="D1209">
        <f t="shared" si="37"/>
        <v>-7.7946981132075468</v>
      </c>
      <c r="G1209" s="21">
        <v>2.4787139999999999E-2</v>
      </c>
      <c r="H1209" s="21">
        <v>-2.1977779999999999E-2</v>
      </c>
    </row>
    <row r="1210" spans="1:8" x14ac:dyDescent="0.15">
      <c r="A1210" s="21">
        <v>2.359375E-2</v>
      </c>
      <c r="B1210" s="21">
        <f t="shared" si="36"/>
        <v>-6.8026569999999995E-2</v>
      </c>
      <c r="D1210">
        <f t="shared" si="37"/>
        <v>-26.30927044025157</v>
      </c>
      <c r="G1210" s="21">
        <v>8.3663479999999998E-2</v>
      </c>
      <c r="H1210" s="21">
        <v>-6.8026569999999995E-2</v>
      </c>
    </row>
    <row r="1211" spans="1:8" x14ac:dyDescent="0.15">
      <c r="A1211" s="21">
        <v>2.361328E-2</v>
      </c>
      <c r="B1211" s="21">
        <f t="shared" si="36"/>
        <v>-0.1112534</v>
      </c>
      <c r="D1211">
        <f t="shared" si="37"/>
        <v>-43.681698113207545</v>
      </c>
      <c r="G1211" s="21">
        <v>0.1389078</v>
      </c>
      <c r="H1211" s="21">
        <v>-0.1112534</v>
      </c>
    </row>
    <row r="1212" spans="1:8" x14ac:dyDescent="0.15">
      <c r="A1212" s="21">
        <v>2.3632810000000001E-2</v>
      </c>
      <c r="B1212" s="21">
        <f t="shared" si="36"/>
        <v>-0.1503044</v>
      </c>
      <c r="D1212">
        <f t="shared" si="37"/>
        <v>-59.260723270440252</v>
      </c>
      <c r="G1212" s="21">
        <v>0.18844910000000001</v>
      </c>
      <c r="H1212" s="21">
        <v>-0.1503044</v>
      </c>
    </row>
    <row r="1213" spans="1:8" x14ac:dyDescent="0.15">
      <c r="A1213" s="21">
        <v>2.3652340000000001E-2</v>
      </c>
      <c r="B1213" s="21">
        <f t="shared" si="36"/>
        <v>-0.1850309</v>
      </c>
      <c r="D1213">
        <f t="shared" si="37"/>
        <v>-73.260377358490572</v>
      </c>
      <c r="G1213" s="21">
        <v>0.23296800000000001</v>
      </c>
      <c r="H1213" s="21">
        <v>-0.1850309</v>
      </c>
    </row>
    <row r="1214" spans="1:8" x14ac:dyDescent="0.15">
      <c r="A1214" s="21">
        <v>2.3671879999999999E-2</v>
      </c>
      <c r="B1214" s="21">
        <f t="shared" si="36"/>
        <v>-0.21361350000000001</v>
      </c>
      <c r="D1214">
        <f t="shared" si="37"/>
        <v>-84.763081761006291</v>
      </c>
      <c r="G1214" s="21">
        <v>0.26954660000000003</v>
      </c>
      <c r="H1214" s="21">
        <v>-0.21361350000000001</v>
      </c>
    </row>
    <row r="1215" spans="1:8" x14ac:dyDescent="0.15">
      <c r="A1215" s="21">
        <v>2.369141E-2</v>
      </c>
      <c r="B1215" s="21">
        <f t="shared" si="36"/>
        <v>-0.2344485</v>
      </c>
      <c r="D1215">
        <f t="shared" si="37"/>
        <v>-93.086855345911957</v>
      </c>
      <c r="G1215" s="21">
        <v>0.29601620000000001</v>
      </c>
      <c r="H1215" s="21">
        <v>-0.2344485</v>
      </c>
    </row>
    <row r="1216" spans="1:8" x14ac:dyDescent="0.15">
      <c r="A1216" s="21">
        <v>2.371094E-2</v>
      </c>
      <c r="B1216" s="21">
        <f t="shared" si="36"/>
        <v>-0.24780720000000001</v>
      </c>
      <c r="D1216">
        <f t="shared" si="37"/>
        <v>-98.542830188679233</v>
      </c>
      <c r="G1216" s="21">
        <v>0.31336619999999998</v>
      </c>
      <c r="H1216" s="21">
        <v>-0.24780720000000001</v>
      </c>
    </row>
    <row r="1217" spans="1:8" x14ac:dyDescent="0.15">
      <c r="A1217" s="21">
        <v>2.373047E-2</v>
      </c>
      <c r="B1217" s="21">
        <f t="shared" si="36"/>
        <v>-0.25315729999999997</v>
      </c>
      <c r="D1217">
        <f t="shared" si="37"/>
        <v>-100.77273584905659</v>
      </c>
      <c r="G1217" s="21">
        <v>0.3204573</v>
      </c>
      <c r="H1217" s="21">
        <v>-0.25315729999999997</v>
      </c>
    </row>
    <row r="1218" spans="1:8" x14ac:dyDescent="0.15">
      <c r="A1218" s="21">
        <v>2.375E-2</v>
      </c>
      <c r="B1218" s="21">
        <f t="shared" ref="B1218:B1281" si="38">H1218</f>
        <v>-0.2495985</v>
      </c>
      <c r="D1218">
        <f t="shared" ref="D1218:D1281" si="39">G1218*-1000/3.18</f>
        <v>-99.363773584905658</v>
      </c>
      <c r="G1218" s="21">
        <v>0.3159768</v>
      </c>
      <c r="H1218" s="21">
        <v>-0.2495985</v>
      </c>
    </row>
    <row r="1219" spans="1:8" x14ac:dyDescent="0.15">
      <c r="A1219" s="21">
        <v>2.3769530000000001E-2</v>
      </c>
      <c r="B1219" s="21">
        <f t="shared" si="38"/>
        <v>-0.2378102</v>
      </c>
      <c r="D1219">
        <f t="shared" si="39"/>
        <v>-94.663427672955962</v>
      </c>
      <c r="G1219" s="21">
        <v>0.30102970000000001</v>
      </c>
      <c r="H1219" s="21">
        <v>-0.2378102</v>
      </c>
    </row>
    <row r="1220" spans="1:8" x14ac:dyDescent="0.15">
      <c r="A1220" s="21">
        <v>2.3789060000000001E-2</v>
      </c>
      <c r="B1220" s="21">
        <f t="shared" si="38"/>
        <v>-0.21815689999999999</v>
      </c>
      <c r="D1220">
        <f t="shared" si="39"/>
        <v>-86.803867924528305</v>
      </c>
      <c r="G1220" s="21">
        <v>0.27603630000000001</v>
      </c>
      <c r="H1220" s="21">
        <v>-0.21815689999999999</v>
      </c>
    </row>
    <row r="1221" spans="1:8" x14ac:dyDescent="0.15">
      <c r="A1221" s="21">
        <v>2.3808590000000001E-2</v>
      </c>
      <c r="B1221" s="21">
        <f t="shared" si="38"/>
        <v>-0.19115779999999999</v>
      </c>
      <c r="D1221">
        <f t="shared" si="39"/>
        <v>-76.04477987421383</v>
      </c>
      <c r="G1221" s="21">
        <v>0.24182239999999999</v>
      </c>
      <c r="H1221" s="21">
        <v>-0.19115779999999999</v>
      </c>
    </row>
    <row r="1222" spans="1:8" x14ac:dyDescent="0.15">
      <c r="A1222" s="21">
        <v>2.3828129999999999E-2</v>
      </c>
      <c r="B1222" s="21">
        <f t="shared" si="38"/>
        <v>-0.15777260000000001</v>
      </c>
      <c r="D1222">
        <f t="shared" si="39"/>
        <v>-62.697704402515711</v>
      </c>
      <c r="G1222" s="21">
        <v>0.19937869999999999</v>
      </c>
      <c r="H1222" s="21">
        <v>-0.15777260000000001</v>
      </c>
    </row>
    <row r="1223" spans="1:8" x14ac:dyDescent="0.15">
      <c r="A1223" s="21">
        <v>2.384766E-2</v>
      </c>
      <c r="B1223" s="21">
        <f t="shared" si="38"/>
        <v>-0.1185981</v>
      </c>
      <c r="D1223">
        <f t="shared" si="39"/>
        <v>-46.945220125786157</v>
      </c>
      <c r="G1223" s="21">
        <v>0.1492858</v>
      </c>
      <c r="H1223" s="21">
        <v>-0.1185981</v>
      </c>
    </row>
    <row r="1224" spans="1:8" x14ac:dyDescent="0.15">
      <c r="A1224" s="21">
        <v>2.386719E-2</v>
      </c>
      <c r="B1224" s="21">
        <f t="shared" si="38"/>
        <v>-7.5577610000000003E-2</v>
      </c>
      <c r="D1224">
        <f t="shared" si="39"/>
        <v>-29.761314465408802</v>
      </c>
      <c r="G1224" s="21">
        <v>9.464098E-2</v>
      </c>
      <c r="H1224" s="21">
        <v>-7.5577610000000003E-2</v>
      </c>
    </row>
    <row r="1225" spans="1:8" x14ac:dyDescent="0.15">
      <c r="A1225" s="21">
        <v>2.388672E-2</v>
      </c>
      <c r="B1225" s="21">
        <f t="shared" si="38"/>
        <v>-3.001498E-2</v>
      </c>
      <c r="D1225">
        <f t="shared" si="39"/>
        <v>-11.565028301886791</v>
      </c>
      <c r="G1225" s="21">
        <v>3.6776789999999997E-2</v>
      </c>
      <c r="H1225" s="21">
        <v>-3.001498E-2</v>
      </c>
    </row>
    <row r="1226" spans="1:8" x14ac:dyDescent="0.15">
      <c r="A1226" s="21">
        <v>2.390625E-2</v>
      </c>
      <c r="B1226" s="21">
        <f t="shared" si="38"/>
        <v>1.7278180000000001E-2</v>
      </c>
      <c r="D1226">
        <f t="shared" si="39"/>
        <v>7.4559654088050316</v>
      </c>
      <c r="G1226" s="21">
        <v>-2.370997E-2</v>
      </c>
      <c r="H1226" s="21">
        <v>1.7278180000000001E-2</v>
      </c>
    </row>
    <row r="1227" spans="1:8" x14ac:dyDescent="0.15">
      <c r="A1227" s="21">
        <v>2.3925780000000001E-2</v>
      </c>
      <c r="B1227" s="21">
        <f t="shared" si="38"/>
        <v>6.3160019999999997E-2</v>
      </c>
      <c r="D1227">
        <f t="shared" si="39"/>
        <v>25.848990566037731</v>
      </c>
      <c r="G1227" s="21">
        <v>-8.2199789999999995E-2</v>
      </c>
      <c r="H1227" s="21">
        <v>6.3160019999999997E-2</v>
      </c>
    </row>
    <row r="1228" spans="1:8" x14ac:dyDescent="0.15">
      <c r="A1228" s="21">
        <v>2.3945310000000001E-2</v>
      </c>
      <c r="B1228" s="21">
        <f t="shared" si="38"/>
        <v>0.1060885</v>
      </c>
      <c r="D1228">
        <f t="shared" si="39"/>
        <v>43.030754716981136</v>
      </c>
      <c r="G1228" s="21">
        <v>-0.13683780000000001</v>
      </c>
      <c r="H1228" s="21">
        <v>0.1060885</v>
      </c>
    </row>
    <row r="1229" spans="1:8" x14ac:dyDescent="0.15">
      <c r="A1229" s="21">
        <v>2.3964840000000001E-2</v>
      </c>
      <c r="B1229" s="21">
        <f t="shared" si="38"/>
        <v>0.14616509999999999</v>
      </c>
      <c r="D1229">
        <f t="shared" si="39"/>
        <v>59.145849056603772</v>
      </c>
      <c r="G1229" s="21">
        <v>-0.1880838</v>
      </c>
      <c r="H1229" s="21">
        <v>0.14616509999999999</v>
      </c>
    </row>
    <row r="1230" spans="1:8" x14ac:dyDescent="0.15">
      <c r="A1230" s="21">
        <v>2.398438E-2</v>
      </c>
      <c r="B1230" s="21">
        <f t="shared" si="38"/>
        <v>0.18129229999999999</v>
      </c>
      <c r="D1230">
        <f t="shared" si="39"/>
        <v>73.257893081761011</v>
      </c>
      <c r="G1230" s="21">
        <v>-0.2329601</v>
      </c>
      <c r="H1230" s="21">
        <v>0.18129229999999999</v>
      </c>
    </row>
    <row r="1231" spans="1:8" x14ac:dyDescent="0.15">
      <c r="A1231" s="21">
        <v>2.400391E-2</v>
      </c>
      <c r="B1231" s="21">
        <f t="shared" si="38"/>
        <v>0.20983840000000001</v>
      </c>
      <c r="D1231">
        <f t="shared" si="39"/>
        <v>84.695566037735844</v>
      </c>
      <c r="G1231" s="21">
        <v>-0.26933190000000001</v>
      </c>
      <c r="H1231" s="21">
        <v>0.20983840000000001</v>
      </c>
    </row>
    <row r="1232" spans="1:8" x14ac:dyDescent="0.15">
      <c r="A1232" s="21">
        <v>2.402344E-2</v>
      </c>
      <c r="B1232" s="21">
        <f t="shared" si="38"/>
        <v>0.2314631</v>
      </c>
      <c r="D1232">
        <f t="shared" si="39"/>
        <v>93.396037735849063</v>
      </c>
      <c r="G1232" s="21">
        <v>-0.29699940000000002</v>
      </c>
      <c r="H1232" s="21">
        <v>0.2314631</v>
      </c>
    </row>
    <row r="1233" spans="1:8" x14ac:dyDescent="0.15">
      <c r="A1233" s="21">
        <v>2.404297E-2</v>
      </c>
      <c r="B1233" s="21">
        <f t="shared" si="38"/>
        <v>0.24547749999999999</v>
      </c>
      <c r="D1233">
        <f t="shared" si="39"/>
        <v>99.09056603773584</v>
      </c>
      <c r="G1233" s="21">
        <v>-0.315108</v>
      </c>
      <c r="H1233" s="21">
        <v>0.24547749999999999</v>
      </c>
    </row>
    <row r="1234" spans="1:8" x14ac:dyDescent="0.15">
      <c r="A1234" s="21">
        <v>2.4062500000000001E-2</v>
      </c>
      <c r="B1234" s="21">
        <f t="shared" si="38"/>
        <v>0.25113069999999998</v>
      </c>
      <c r="D1234">
        <f t="shared" si="39"/>
        <v>101.35874213836478</v>
      </c>
      <c r="G1234" s="21">
        <v>-0.32232080000000002</v>
      </c>
      <c r="H1234" s="21">
        <v>0.25113069999999998</v>
      </c>
    </row>
    <row r="1235" spans="1:8" x14ac:dyDescent="0.15">
      <c r="A1235" s="21">
        <v>2.4082030000000001E-2</v>
      </c>
      <c r="B1235" s="21">
        <f t="shared" si="38"/>
        <v>0.24807879999999999</v>
      </c>
      <c r="D1235">
        <f t="shared" si="39"/>
        <v>100.12905660377358</v>
      </c>
      <c r="G1235" s="21">
        <v>-0.31841039999999998</v>
      </c>
      <c r="H1235" s="21">
        <v>0.24807879999999999</v>
      </c>
    </row>
    <row r="1236" spans="1:8" x14ac:dyDescent="0.15">
      <c r="A1236" s="21">
        <v>2.4101560000000001E-2</v>
      </c>
      <c r="B1236" s="21">
        <f t="shared" si="38"/>
        <v>0.23714089999999999</v>
      </c>
      <c r="D1236">
        <f t="shared" si="39"/>
        <v>95.841509433962258</v>
      </c>
      <c r="G1236" s="21">
        <v>-0.30477599999999999</v>
      </c>
      <c r="H1236" s="21">
        <v>0.23714089999999999</v>
      </c>
    </row>
    <row r="1237" spans="1:8" x14ac:dyDescent="0.15">
      <c r="A1237" s="21">
        <v>2.4121090000000001E-2</v>
      </c>
      <c r="B1237" s="21">
        <f t="shared" si="38"/>
        <v>0.21827479999999999</v>
      </c>
      <c r="D1237">
        <f t="shared" si="39"/>
        <v>88.31421383647799</v>
      </c>
      <c r="G1237" s="21">
        <v>-0.28083920000000001</v>
      </c>
      <c r="H1237" s="21">
        <v>0.21827479999999999</v>
      </c>
    </row>
    <row r="1238" spans="1:8" x14ac:dyDescent="0.15">
      <c r="A1238" s="21">
        <v>2.4140620000000002E-2</v>
      </c>
      <c r="B1238" s="21">
        <f t="shared" si="38"/>
        <v>0.19113150000000001</v>
      </c>
      <c r="D1238">
        <f t="shared" si="39"/>
        <v>77.409811320754713</v>
      </c>
      <c r="G1238" s="21">
        <v>-0.2461632</v>
      </c>
      <c r="H1238" s="21">
        <v>0.19113150000000001</v>
      </c>
    </row>
    <row r="1239" spans="1:8" x14ac:dyDescent="0.15">
      <c r="A1239" s="21">
        <v>2.416016E-2</v>
      </c>
      <c r="B1239" s="21">
        <f t="shared" si="38"/>
        <v>0.15774650000000001</v>
      </c>
      <c r="D1239">
        <f t="shared" si="39"/>
        <v>64.118836477987415</v>
      </c>
      <c r="G1239" s="21">
        <v>-0.20389789999999999</v>
      </c>
      <c r="H1239" s="21">
        <v>0.15774650000000001</v>
      </c>
    </row>
    <row r="1240" spans="1:8" x14ac:dyDescent="0.15">
      <c r="A1240" s="21">
        <v>2.417969E-2</v>
      </c>
      <c r="B1240" s="21">
        <f t="shared" si="38"/>
        <v>0.11947579999999999</v>
      </c>
      <c r="D1240">
        <f t="shared" si="39"/>
        <v>48.868396226415094</v>
      </c>
      <c r="G1240" s="21">
        <v>-0.1554015</v>
      </c>
      <c r="H1240" s="21">
        <v>0.11947579999999999</v>
      </c>
    </row>
    <row r="1241" spans="1:8" x14ac:dyDescent="0.15">
      <c r="A1241" s="21">
        <v>2.419922E-2</v>
      </c>
      <c r="B1241" s="21">
        <f t="shared" si="38"/>
        <v>7.6657710000000004E-2</v>
      </c>
      <c r="D1241">
        <f t="shared" si="39"/>
        <v>31.628081761006285</v>
      </c>
      <c r="G1241" s="21">
        <v>-0.10057729999999999</v>
      </c>
      <c r="H1241" s="21">
        <v>7.6657710000000004E-2</v>
      </c>
    </row>
    <row r="1242" spans="1:8" x14ac:dyDescent="0.15">
      <c r="A1242" s="21">
        <v>2.4218750000000001E-2</v>
      </c>
      <c r="B1242" s="21">
        <f t="shared" si="38"/>
        <v>3.097546E-2</v>
      </c>
      <c r="D1242">
        <f t="shared" si="39"/>
        <v>13.280147798742137</v>
      </c>
      <c r="G1242" s="21">
        <v>-4.2230869999999997E-2</v>
      </c>
      <c r="H1242" s="21">
        <v>3.097546E-2</v>
      </c>
    </row>
    <row r="1243" spans="1:8" x14ac:dyDescent="0.15">
      <c r="A1243" s="21">
        <v>2.4238280000000001E-2</v>
      </c>
      <c r="B1243" s="21">
        <f t="shared" si="38"/>
        <v>-1.5846659999999999E-2</v>
      </c>
      <c r="D1243">
        <f t="shared" si="39"/>
        <v>-5.350088050314465</v>
      </c>
      <c r="G1243" s="21">
        <v>1.7013279999999999E-2</v>
      </c>
      <c r="H1243" s="21">
        <v>-1.5846659999999999E-2</v>
      </c>
    </row>
    <row r="1244" spans="1:8" x14ac:dyDescent="0.15">
      <c r="A1244" s="21">
        <v>2.4257810000000001E-2</v>
      </c>
      <c r="B1244" s="21">
        <f t="shared" si="38"/>
        <v>-6.2089800000000001E-2</v>
      </c>
      <c r="D1244">
        <f t="shared" si="39"/>
        <v>-23.839786163522014</v>
      </c>
      <c r="G1244" s="21">
        <v>7.5810520000000006E-2</v>
      </c>
      <c r="H1244" s="21">
        <v>-6.2089800000000001E-2</v>
      </c>
    </row>
    <row r="1245" spans="1:8" x14ac:dyDescent="0.15">
      <c r="A1245" s="21">
        <v>2.4277340000000001E-2</v>
      </c>
      <c r="B1245" s="21">
        <f t="shared" si="38"/>
        <v>-0.1057135</v>
      </c>
      <c r="D1245">
        <f t="shared" si="39"/>
        <v>-41.418962264150942</v>
      </c>
      <c r="G1245" s="21">
        <v>0.1317123</v>
      </c>
      <c r="H1245" s="21">
        <v>-0.1057135</v>
      </c>
    </row>
    <row r="1246" spans="1:8" x14ac:dyDescent="0.15">
      <c r="A1246" s="21">
        <v>2.4296870000000002E-2</v>
      </c>
      <c r="B1246" s="21">
        <f t="shared" si="38"/>
        <v>-0.1453285</v>
      </c>
      <c r="D1246">
        <f t="shared" si="39"/>
        <v>-57.346540880503142</v>
      </c>
      <c r="G1246" s="21">
        <v>0.182362</v>
      </c>
      <c r="H1246" s="21">
        <v>-0.1453285</v>
      </c>
    </row>
    <row r="1247" spans="1:8" x14ac:dyDescent="0.15">
      <c r="A1247" s="21">
        <v>2.431641E-2</v>
      </c>
      <c r="B1247" s="21">
        <f t="shared" si="38"/>
        <v>-0.1800572</v>
      </c>
      <c r="D1247">
        <f t="shared" si="39"/>
        <v>-71.304811320754709</v>
      </c>
      <c r="G1247" s="21">
        <v>0.22674929999999999</v>
      </c>
      <c r="H1247" s="21">
        <v>-0.1800572</v>
      </c>
    </row>
    <row r="1248" spans="1:8" x14ac:dyDescent="0.15">
      <c r="A1248" s="21">
        <v>2.433594E-2</v>
      </c>
      <c r="B1248" s="21">
        <f t="shared" si="38"/>
        <v>-0.20924770000000001</v>
      </c>
      <c r="D1248">
        <f t="shared" si="39"/>
        <v>-83.036635220125788</v>
      </c>
      <c r="G1248" s="21">
        <v>0.26405650000000003</v>
      </c>
      <c r="H1248" s="21">
        <v>-0.20924770000000001</v>
      </c>
    </row>
    <row r="1249" spans="1:8" x14ac:dyDescent="0.15">
      <c r="A1249" s="21">
        <v>2.4355470000000001E-2</v>
      </c>
      <c r="B1249" s="21">
        <f t="shared" si="38"/>
        <v>-0.2320063</v>
      </c>
      <c r="D1249">
        <f t="shared" si="39"/>
        <v>-92.197704402515726</v>
      </c>
      <c r="G1249" s="21">
        <v>0.29318870000000002</v>
      </c>
      <c r="H1249" s="21">
        <v>-0.2320063</v>
      </c>
    </row>
    <row r="1250" spans="1:8" x14ac:dyDescent="0.15">
      <c r="A1250" s="21">
        <v>2.4375000000000001E-2</v>
      </c>
      <c r="B1250" s="21">
        <f t="shared" si="38"/>
        <v>-0.2465695</v>
      </c>
      <c r="D1250">
        <f t="shared" si="39"/>
        <v>-98.051006289308162</v>
      </c>
      <c r="G1250" s="21">
        <v>0.31180219999999997</v>
      </c>
      <c r="H1250" s="21">
        <v>-0.2465695</v>
      </c>
    </row>
    <row r="1251" spans="1:8" x14ac:dyDescent="0.15">
      <c r="A1251" s="21">
        <v>2.4394530000000001E-2</v>
      </c>
      <c r="B1251" s="21">
        <f t="shared" si="38"/>
        <v>-0.25227430000000001</v>
      </c>
      <c r="D1251">
        <f t="shared" si="39"/>
        <v>-100.32613207547169</v>
      </c>
      <c r="G1251" s="21">
        <v>0.31903710000000002</v>
      </c>
      <c r="H1251" s="21">
        <v>-0.25227430000000001</v>
      </c>
    </row>
    <row r="1252" spans="1:8" x14ac:dyDescent="0.15">
      <c r="A1252" s="21">
        <v>2.4414060000000001E-2</v>
      </c>
      <c r="B1252" s="21">
        <f t="shared" si="38"/>
        <v>-0.25000240000000001</v>
      </c>
      <c r="D1252">
        <f t="shared" si="39"/>
        <v>-99.512767295597484</v>
      </c>
      <c r="G1252" s="21">
        <v>0.31645060000000003</v>
      </c>
      <c r="H1252" s="21">
        <v>-0.25000240000000001</v>
      </c>
    </row>
    <row r="1253" spans="1:8" x14ac:dyDescent="0.15">
      <c r="A1253" s="21">
        <v>2.4433590000000002E-2</v>
      </c>
      <c r="B1253" s="21">
        <f t="shared" si="38"/>
        <v>-0.2394781</v>
      </c>
      <c r="D1253">
        <f t="shared" si="39"/>
        <v>-95.319937106918232</v>
      </c>
      <c r="G1253" s="21">
        <v>0.30311739999999998</v>
      </c>
      <c r="H1253" s="21">
        <v>-0.2394781</v>
      </c>
    </row>
    <row r="1254" spans="1:8" x14ac:dyDescent="0.15">
      <c r="A1254" s="21">
        <v>2.4453119999999998E-2</v>
      </c>
      <c r="B1254" s="21">
        <f t="shared" si="38"/>
        <v>-0.22067870000000001</v>
      </c>
      <c r="D1254">
        <f t="shared" si="39"/>
        <v>-87.795534591194965</v>
      </c>
      <c r="G1254" s="21">
        <v>0.27918979999999999</v>
      </c>
      <c r="H1254" s="21">
        <v>-0.22067870000000001</v>
      </c>
    </row>
    <row r="1255" spans="1:8" x14ac:dyDescent="0.15">
      <c r="A1255" s="21">
        <v>2.447266E-2</v>
      </c>
      <c r="B1255" s="21">
        <f t="shared" si="38"/>
        <v>-0.1948038</v>
      </c>
      <c r="D1255">
        <f t="shared" si="39"/>
        <v>-77.531289308176099</v>
      </c>
      <c r="G1255" s="21">
        <v>0.2465495</v>
      </c>
      <c r="H1255" s="21">
        <v>-0.1948038</v>
      </c>
    </row>
    <row r="1256" spans="1:8" x14ac:dyDescent="0.15">
      <c r="A1256" s="21">
        <v>2.449219E-2</v>
      </c>
      <c r="B1256" s="21">
        <f t="shared" si="38"/>
        <v>-0.16231889999999999</v>
      </c>
      <c r="D1256">
        <f t="shared" si="39"/>
        <v>-64.488616352201262</v>
      </c>
      <c r="G1256" s="21">
        <v>0.2050738</v>
      </c>
      <c r="H1256" s="21">
        <v>-0.16231889999999999</v>
      </c>
    </row>
    <row r="1257" spans="1:8" x14ac:dyDescent="0.15">
      <c r="A1257" s="21">
        <v>2.4511720000000001E-2</v>
      </c>
      <c r="B1257" s="21">
        <f t="shared" si="38"/>
        <v>-0.12383039999999999</v>
      </c>
      <c r="D1257">
        <f t="shared" si="39"/>
        <v>-49.009025157232706</v>
      </c>
      <c r="G1257" s="21">
        <v>0.15584870000000001</v>
      </c>
      <c r="H1257" s="21">
        <v>-0.12383039999999999</v>
      </c>
    </row>
    <row r="1258" spans="1:8" x14ac:dyDescent="0.15">
      <c r="A1258" s="21">
        <v>2.4531250000000001E-2</v>
      </c>
      <c r="B1258" s="21">
        <f t="shared" si="38"/>
        <v>-8.0867439999999999E-2</v>
      </c>
      <c r="D1258">
        <f t="shared" si="39"/>
        <v>-31.80157232704402</v>
      </c>
      <c r="G1258" s="21">
        <v>0.101129</v>
      </c>
      <c r="H1258" s="21">
        <v>-8.0867439999999999E-2</v>
      </c>
    </row>
    <row r="1259" spans="1:8" x14ac:dyDescent="0.15">
      <c r="A1259" s="21">
        <v>2.4550780000000001E-2</v>
      </c>
      <c r="B1259" s="21">
        <f t="shared" si="38"/>
        <v>-3.5332479999999999E-2</v>
      </c>
      <c r="D1259">
        <f t="shared" si="39"/>
        <v>-13.633144654088049</v>
      </c>
      <c r="G1259" s="21">
        <v>4.33534E-2</v>
      </c>
      <c r="H1259" s="21">
        <v>-3.5332479999999999E-2</v>
      </c>
    </row>
    <row r="1260" spans="1:8" x14ac:dyDescent="0.15">
      <c r="A1260" s="21">
        <v>2.4570310000000001E-2</v>
      </c>
      <c r="B1260" s="21">
        <f t="shared" si="38"/>
        <v>1.126954E-2</v>
      </c>
      <c r="D1260">
        <f t="shared" si="39"/>
        <v>4.9891761006289306</v>
      </c>
      <c r="G1260" s="21">
        <v>-1.5865580000000001E-2</v>
      </c>
      <c r="H1260" s="21">
        <v>1.126954E-2</v>
      </c>
    </row>
    <row r="1261" spans="1:8" x14ac:dyDescent="0.15">
      <c r="A1261" s="21">
        <v>2.4589840000000002E-2</v>
      </c>
      <c r="B1261" s="21">
        <f t="shared" si="38"/>
        <v>5.7541540000000002E-2</v>
      </c>
      <c r="D1261">
        <f t="shared" si="39"/>
        <v>23.617584905660376</v>
      </c>
      <c r="G1261" s="21">
        <v>-7.5103920000000005E-2</v>
      </c>
      <c r="H1261" s="21">
        <v>5.7541540000000002E-2</v>
      </c>
    </row>
    <row r="1262" spans="1:8" x14ac:dyDescent="0.15">
      <c r="A1262" s="21">
        <v>2.4609369999999998E-2</v>
      </c>
      <c r="B1262" s="21">
        <f t="shared" si="38"/>
        <v>0.10131320000000001</v>
      </c>
      <c r="D1262">
        <f t="shared" si="39"/>
        <v>41.163490566037737</v>
      </c>
      <c r="G1262" s="21">
        <v>-0.13089990000000001</v>
      </c>
      <c r="H1262" s="21">
        <v>0.10131320000000001</v>
      </c>
    </row>
    <row r="1263" spans="1:8" x14ac:dyDescent="0.15">
      <c r="A1263" s="21">
        <v>2.462891E-2</v>
      </c>
      <c r="B1263" s="21">
        <f t="shared" si="38"/>
        <v>0.1412513</v>
      </c>
      <c r="D1263">
        <f t="shared" si="39"/>
        <v>57.137955974842768</v>
      </c>
      <c r="G1263" s="21">
        <v>-0.18169869999999999</v>
      </c>
      <c r="H1263" s="21">
        <v>0.1412513</v>
      </c>
    </row>
    <row r="1264" spans="1:8" x14ac:dyDescent="0.15">
      <c r="A1264" s="21">
        <v>2.4648440000000001E-2</v>
      </c>
      <c r="B1264" s="21">
        <f t="shared" si="38"/>
        <v>0.1770562</v>
      </c>
      <c r="D1264">
        <f t="shared" si="39"/>
        <v>71.596666666666664</v>
      </c>
      <c r="G1264" s="21">
        <v>-0.2276774</v>
      </c>
      <c r="H1264" s="21">
        <v>0.1770562</v>
      </c>
    </row>
    <row r="1265" spans="1:8" x14ac:dyDescent="0.15">
      <c r="A1265" s="21">
        <v>2.4667970000000001E-2</v>
      </c>
      <c r="B1265" s="21">
        <f t="shared" si="38"/>
        <v>0.207096</v>
      </c>
      <c r="D1265">
        <f t="shared" si="39"/>
        <v>83.669748427672971</v>
      </c>
      <c r="G1265" s="21">
        <v>-0.26606980000000002</v>
      </c>
      <c r="H1265" s="21">
        <v>0.207096</v>
      </c>
    </row>
    <row r="1266" spans="1:8" x14ac:dyDescent="0.15">
      <c r="A1266" s="21">
        <v>2.4687500000000001E-2</v>
      </c>
      <c r="B1266" s="21">
        <f t="shared" si="38"/>
        <v>0.2295759</v>
      </c>
      <c r="D1266">
        <f t="shared" si="39"/>
        <v>92.644119496855339</v>
      </c>
      <c r="G1266" s="21">
        <v>-0.29460829999999999</v>
      </c>
      <c r="H1266" s="21">
        <v>0.2295759</v>
      </c>
    </row>
    <row r="1267" spans="1:8" x14ac:dyDescent="0.15">
      <c r="A1267" s="21">
        <v>2.4707030000000001E-2</v>
      </c>
      <c r="B1267" s="21">
        <f t="shared" si="38"/>
        <v>0.24433279999999999</v>
      </c>
      <c r="D1267">
        <f t="shared" si="39"/>
        <v>98.646289308176094</v>
      </c>
      <c r="G1267" s="21">
        <v>-0.31369520000000001</v>
      </c>
      <c r="H1267" s="21">
        <v>0.24433279999999999</v>
      </c>
    </row>
    <row r="1268" spans="1:8" x14ac:dyDescent="0.15">
      <c r="A1268" s="21">
        <v>2.4726560000000002E-2</v>
      </c>
      <c r="B1268" s="21">
        <f t="shared" si="38"/>
        <v>0.25090370000000001</v>
      </c>
      <c r="D1268">
        <f t="shared" si="39"/>
        <v>101.33625786163522</v>
      </c>
      <c r="G1268" s="21">
        <v>-0.32224930000000002</v>
      </c>
      <c r="H1268" s="21">
        <v>0.25090370000000001</v>
      </c>
    </row>
    <row r="1269" spans="1:8" x14ac:dyDescent="0.15">
      <c r="A1269" s="21">
        <v>2.4746089999999998E-2</v>
      </c>
      <c r="B1269" s="21">
        <f t="shared" si="38"/>
        <v>0.249116</v>
      </c>
      <c r="D1269">
        <f t="shared" si="39"/>
        <v>100.64858490566037</v>
      </c>
      <c r="G1269" s="21">
        <v>-0.32006250000000003</v>
      </c>
      <c r="H1269" s="21">
        <v>0.249116</v>
      </c>
    </row>
    <row r="1270" spans="1:8" x14ac:dyDescent="0.15">
      <c r="A1270" s="21">
        <v>2.4765619999999999E-2</v>
      </c>
      <c r="B1270" s="21">
        <f t="shared" si="38"/>
        <v>0.23942540000000001</v>
      </c>
      <c r="D1270">
        <f t="shared" si="39"/>
        <v>96.817672955974842</v>
      </c>
      <c r="G1270" s="21">
        <v>-0.30788019999999999</v>
      </c>
      <c r="H1270" s="21">
        <v>0.23942540000000001</v>
      </c>
    </row>
    <row r="1271" spans="1:8" x14ac:dyDescent="0.15">
      <c r="A1271" s="21">
        <v>2.4785160000000001E-2</v>
      </c>
      <c r="B1271" s="21">
        <f t="shared" si="38"/>
        <v>0.2214129</v>
      </c>
      <c r="D1271">
        <f t="shared" si="39"/>
        <v>89.564496855345894</v>
      </c>
      <c r="G1271" s="21">
        <v>-0.28481509999999999</v>
      </c>
      <c r="H1271" s="21">
        <v>0.2214129</v>
      </c>
    </row>
    <row r="1272" spans="1:8" x14ac:dyDescent="0.15">
      <c r="A1272" s="21">
        <v>2.4804690000000001E-2</v>
      </c>
      <c r="B1272" s="21">
        <f t="shared" si="38"/>
        <v>0.19556460000000001</v>
      </c>
      <c r="D1272">
        <f t="shared" si="39"/>
        <v>79.249088050314469</v>
      </c>
      <c r="G1272" s="21">
        <v>-0.25201210000000002</v>
      </c>
      <c r="H1272" s="21">
        <v>0.19556460000000001</v>
      </c>
    </row>
    <row r="1273" spans="1:8" x14ac:dyDescent="0.15">
      <c r="A1273" s="21">
        <v>2.4824220000000001E-2</v>
      </c>
      <c r="B1273" s="21">
        <f t="shared" si="38"/>
        <v>0.1628781</v>
      </c>
      <c r="D1273">
        <f t="shared" si="39"/>
        <v>66.206540880503141</v>
      </c>
      <c r="G1273" s="21">
        <v>-0.2105368</v>
      </c>
      <c r="H1273" s="21">
        <v>0.1628781</v>
      </c>
    </row>
    <row r="1274" spans="1:8" x14ac:dyDescent="0.15">
      <c r="A1274" s="21">
        <v>2.4843750000000001E-2</v>
      </c>
      <c r="B1274" s="21">
        <f t="shared" si="38"/>
        <v>0.1245449</v>
      </c>
      <c r="D1274">
        <f t="shared" si="39"/>
        <v>50.828867924528296</v>
      </c>
      <c r="G1274" s="21">
        <v>-0.1616358</v>
      </c>
      <c r="H1274" s="21">
        <v>0.1245449</v>
      </c>
    </row>
    <row r="1275" spans="1:8" x14ac:dyDescent="0.15">
      <c r="A1275" s="21">
        <v>2.4863280000000001E-2</v>
      </c>
      <c r="B1275" s="21">
        <f t="shared" si="38"/>
        <v>8.2496449999999999E-2</v>
      </c>
      <c r="D1275">
        <f t="shared" si="39"/>
        <v>34.054591194968552</v>
      </c>
      <c r="G1275" s="21">
        <v>-0.1082936</v>
      </c>
      <c r="H1275" s="21">
        <v>8.2496449999999999E-2</v>
      </c>
    </row>
    <row r="1276" spans="1:8" x14ac:dyDescent="0.15">
      <c r="A1276" s="21">
        <v>2.4882810000000002E-2</v>
      </c>
      <c r="B1276" s="21">
        <f t="shared" si="38"/>
        <v>3.7454340000000003E-2</v>
      </c>
      <c r="D1276">
        <f t="shared" si="39"/>
        <v>16.001487421383647</v>
      </c>
      <c r="G1276" s="21">
        <v>-5.0884730000000003E-2</v>
      </c>
      <c r="H1276" s="21">
        <v>3.7454340000000003E-2</v>
      </c>
    </row>
    <row r="1277" spans="1:8" x14ac:dyDescent="0.15">
      <c r="A1277" s="21">
        <v>2.4902339999999999E-2</v>
      </c>
      <c r="B1277" s="21">
        <f t="shared" si="38"/>
        <v>-9.6152879999999996E-3</v>
      </c>
      <c r="D1277">
        <f t="shared" si="39"/>
        <v>-2.8921817610062894</v>
      </c>
      <c r="G1277" s="21">
        <v>9.1971380000000005E-3</v>
      </c>
      <c r="H1277" s="21">
        <v>-9.6152879999999996E-3</v>
      </c>
    </row>
    <row r="1278" spans="1:8" x14ac:dyDescent="0.15">
      <c r="A1278" s="21">
        <v>2.4921869999999999E-2</v>
      </c>
      <c r="B1278" s="21">
        <f t="shared" si="38"/>
        <v>-5.6158449999999999E-2</v>
      </c>
      <c r="D1278">
        <f t="shared" si="39"/>
        <v>-21.474446540880503</v>
      </c>
      <c r="G1278" s="21">
        <v>6.8288740000000001E-2</v>
      </c>
      <c r="H1278" s="21">
        <v>-5.6158449999999999E-2</v>
      </c>
    </row>
    <row r="1279" spans="1:8" x14ac:dyDescent="0.15">
      <c r="A1279" s="21">
        <v>2.4941410000000001E-2</v>
      </c>
      <c r="B1279" s="21">
        <f t="shared" si="38"/>
        <v>-9.998042E-2</v>
      </c>
      <c r="D1279">
        <f t="shared" si="39"/>
        <v>-39.073679245283017</v>
      </c>
      <c r="G1279" s="21">
        <v>0.1242543</v>
      </c>
      <c r="H1279" s="21">
        <v>-9.998042E-2</v>
      </c>
    </row>
    <row r="1280" spans="1:8" x14ac:dyDescent="0.15">
      <c r="A1280" s="21">
        <v>2.4960940000000001E-2</v>
      </c>
      <c r="B1280" s="21">
        <f t="shared" si="38"/>
        <v>-0.1401415</v>
      </c>
      <c r="D1280">
        <f t="shared" si="39"/>
        <v>-55.248364779874215</v>
      </c>
      <c r="G1280" s="21">
        <v>0.17568980000000001</v>
      </c>
      <c r="H1280" s="21">
        <v>-0.1401415</v>
      </c>
    </row>
    <row r="1281" spans="1:8" x14ac:dyDescent="0.15">
      <c r="A1281" s="21">
        <v>2.4980470000000001E-2</v>
      </c>
      <c r="B1281" s="21">
        <f t="shared" si="38"/>
        <v>-0.17590349999999999</v>
      </c>
      <c r="D1281">
        <f t="shared" si="39"/>
        <v>-69.619150943396221</v>
      </c>
      <c r="G1281" s="21">
        <v>0.2213889</v>
      </c>
      <c r="H1281" s="21">
        <v>-0.17590349999999999</v>
      </c>
    </row>
    <row r="1282" spans="1:8" x14ac:dyDescent="0.15">
      <c r="A1282" s="21">
        <v>2.5000000000000001E-2</v>
      </c>
      <c r="B1282" s="21">
        <f t="shared" ref="B1282:B1345" si="40">H1282</f>
        <v>-0.206065</v>
      </c>
      <c r="D1282">
        <f t="shared" ref="D1282:D1345" si="41">G1282*-1000/3.18</f>
        <v>-81.714811320754706</v>
      </c>
      <c r="G1282" s="21">
        <v>0.2598531</v>
      </c>
      <c r="H1282" s="21">
        <v>-0.206065</v>
      </c>
    </row>
    <row r="1283" spans="1:8" x14ac:dyDescent="0.15">
      <c r="A1283" s="21">
        <v>2.5019530000000002E-2</v>
      </c>
      <c r="B1283" s="21">
        <f t="shared" si="40"/>
        <v>-0.2294679</v>
      </c>
      <c r="D1283">
        <f t="shared" si="41"/>
        <v>-91.063270440251557</v>
      </c>
      <c r="G1283" s="21">
        <v>0.28958119999999998</v>
      </c>
      <c r="H1283" s="21">
        <v>-0.2294679</v>
      </c>
    </row>
    <row r="1284" spans="1:8" x14ac:dyDescent="0.15">
      <c r="A1284" s="21">
        <v>2.5039059999999998E-2</v>
      </c>
      <c r="B1284" s="21">
        <f t="shared" si="40"/>
        <v>-0.24492630000000001</v>
      </c>
      <c r="D1284">
        <f t="shared" si="41"/>
        <v>-97.381320754716995</v>
      </c>
      <c r="G1284" s="21">
        <v>0.30967260000000002</v>
      </c>
      <c r="H1284" s="21">
        <v>-0.24492630000000001</v>
      </c>
    </row>
    <row r="1285" spans="1:8" x14ac:dyDescent="0.15">
      <c r="A1285" s="21">
        <v>2.5058589999999999E-2</v>
      </c>
      <c r="B1285" s="21">
        <f t="shared" si="40"/>
        <v>-0.25206099999999998</v>
      </c>
      <c r="D1285">
        <f t="shared" si="41"/>
        <v>-100.34487421383648</v>
      </c>
      <c r="G1285" s="21">
        <v>0.31909670000000001</v>
      </c>
      <c r="H1285" s="21">
        <v>-0.25206099999999998</v>
      </c>
    </row>
    <row r="1286" spans="1:8" x14ac:dyDescent="0.15">
      <c r="A1286" s="21">
        <v>2.5078119999999999E-2</v>
      </c>
      <c r="B1286" s="21">
        <f t="shared" si="40"/>
        <v>-0.2508669</v>
      </c>
      <c r="D1286">
        <f t="shared" si="41"/>
        <v>-99.793899371069159</v>
      </c>
      <c r="G1286" s="21">
        <v>0.31734459999999998</v>
      </c>
      <c r="H1286" s="21">
        <v>-0.2508669</v>
      </c>
    </row>
    <row r="1287" spans="1:8" x14ac:dyDescent="0.15">
      <c r="A1287" s="21">
        <v>2.5097660000000001E-2</v>
      </c>
      <c r="B1287" s="21">
        <f t="shared" si="40"/>
        <v>-0.24138770000000001</v>
      </c>
      <c r="D1287">
        <f t="shared" si="41"/>
        <v>-96.045094339622636</v>
      </c>
      <c r="G1287" s="21">
        <v>0.30542340000000001</v>
      </c>
      <c r="H1287" s="21">
        <v>-0.24138770000000001</v>
      </c>
    </row>
    <row r="1288" spans="1:8" x14ac:dyDescent="0.15">
      <c r="A1288" s="21">
        <v>2.5117190000000001E-2</v>
      </c>
      <c r="B1288" s="21">
        <f t="shared" si="40"/>
        <v>-0.22420490000000001</v>
      </c>
      <c r="D1288">
        <f t="shared" si="41"/>
        <v>-89.267987421383651</v>
      </c>
      <c r="G1288" s="21">
        <v>0.28387220000000002</v>
      </c>
      <c r="H1288" s="21">
        <v>-0.22420490000000001</v>
      </c>
    </row>
    <row r="1289" spans="1:8" x14ac:dyDescent="0.15">
      <c r="A1289" s="21">
        <v>2.5136720000000001E-2</v>
      </c>
      <c r="B1289" s="21">
        <f t="shared" si="40"/>
        <v>-0.1991598</v>
      </c>
      <c r="D1289">
        <f t="shared" si="41"/>
        <v>-79.21955974842767</v>
      </c>
      <c r="G1289" s="21">
        <v>0.25191819999999998</v>
      </c>
      <c r="H1289" s="21">
        <v>-0.1991598</v>
      </c>
    </row>
    <row r="1290" spans="1:8" x14ac:dyDescent="0.15">
      <c r="A1290" s="21">
        <v>2.5156250000000002E-2</v>
      </c>
      <c r="B1290" s="21">
        <f t="shared" si="40"/>
        <v>-0.16687630000000001</v>
      </c>
      <c r="D1290">
        <f t="shared" si="41"/>
        <v>-66.279937106918226</v>
      </c>
      <c r="G1290" s="21">
        <v>0.21077019999999999</v>
      </c>
      <c r="H1290" s="21">
        <v>-0.16687630000000001</v>
      </c>
    </row>
    <row r="1291" spans="1:8" x14ac:dyDescent="0.15">
      <c r="A1291" s="21">
        <v>2.5175779999999998E-2</v>
      </c>
      <c r="B1291" s="21">
        <f t="shared" si="40"/>
        <v>-0.12902949999999999</v>
      </c>
      <c r="D1291">
        <f t="shared" si="41"/>
        <v>-51.182735849056598</v>
      </c>
      <c r="G1291" s="21">
        <v>0.16276109999999999</v>
      </c>
      <c r="H1291" s="21">
        <v>-0.12902949999999999</v>
      </c>
    </row>
    <row r="1292" spans="1:8" x14ac:dyDescent="0.15">
      <c r="A1292" s="21">
        <v>2.5195309999999999E-2</v>
      </c>
      <c r="B1292" s="21">
        <f t="shared" si="40"/>
        <v>-8.6918590000000004E-2</v>
      </c>
      <c r="D1292">
        <f t="shared" si="41"/>
        <v>-34.31320754716981</v>
      </c>
      <c r="G1292" s="21">
        <v>0.109116</v>
      </c>
      <c r="H1292" s="21">
        <v>-8.6918590000000004E-2</v>
      </c>
    </row>
    <row r="1293" spans="1:8" x14ac:dyDescent="0.15">
      <c r="A1293" s="21">
        <v>2.5214839999999999E-2</v>
      </c>
      <c r="B1293" s="21">
        <f t="shared" si="40"/>
        <v>-4.1903509999999998E-2</v>
      </c>
      <c r="D1293">
        <f t="shared" si="41"/>
        <v>-16.224732704402516</v>
      </c>
      <c r="G1293" s="21">
        <v>5.1594649999999999E-2</v>
      </c>
      <c r="H1293" s="21">
        <v>-4.1903509999999998E-2</v>
      </c>
    </row>
    <row r="1294" spans="1:8" x14ac:dyDescent="0.15">
      <c r="A1294" s="21">
        <v>2.5234369999999999E-2</v>
      </c>
      <c r="B1294" s="21">
        <f t="shared" si="40"/>
        <v>4.7044019999999999E-3</v>
      </c>
      <c r="D1294">
        <f t="shared" si="41"/>
        <v>2.419575471698113</v>
      </c>
      <c r="G1294" s="21">
        <v>-7.6942499999999997E-3</v>
      </c>
      <c r="H1294" s="21">
        <v>4.7044019999999999E-3</v>
      </c>
    </row>
    <row r="1295" spans="1:8" x14ac:dyDescent="0.15">
      <c r="A1295" s="21">
        <v>2.5253910000000001E-2</v>
      </c>
      <c r="B1295" s="21">
        <f t="shared" si="40"/>
        <v>5.1039580000000001E-2</v>
      </c>
      <c r="D1295">
        <f t="shared" si="41"/>
        <v>20.993852201257862</v>
      </c>
      <c r="G1295" s="21">
        <v>-6.6760449999999999E-2</v>
      </c>
      <c r="H1295" s="21">
        <v>5.1039580000000001E-2</v>
      </c>
    </row>
    <row r="1296" spans="1:8" x14ac:dyDescent="0.15">
      <c r="A1296" s="21">
        <v>2.5273440000000001E-2</v>
      </c>
      <c r="B1296" s="21">
        <f t="shared" si="40"/>
        <v>9.5495170000000004E-2</v>
      </c>
      <c r="D1296">
        <f t="shared" si="41"/>
        <v>38.815943396226409</v>
      </c>
      <c r="G1296" s="21">
        <v>-0.12343469999999999</v>
      </c>
      <c r="H1296" s="21">
        <v>9.5495170000000004E-2</v>
      </c>
    </row>
    <row r="1297" spans="1:8" x14ac:dyDescent="0.15">
      <c r="A1297" s="21">
        <v>2.5292970000000001E-2</v>
      </c>
      <c r="B1297" s="21">
        <f t="shared" si="40"/>
        <v>0.13662820000000001</v>
      </c>
      <c r="D1297">
        <f t="shared" si="41"/>
        <v>55.265660377358486</v>
      </c>
      <c r="G1297" s="21">
        <v>-0.17574480000000001</v>
      </c>
      <c r="H1297" s="21">
        <v>0.13662820000000001</v>
      </c>
    </row>
    <row r="1298" spans="1:8" x14ac:dyDescent="0.15">
      <c r="A1298" s="21">
        <v>2.5312500000000002E-2</v>
      </c>
      <c r="B1298" s="21">
        <f t="shared" si="40"/>
        <v>0.1724425</v>
      </c>
      <c r="D1298">
        <f t="shared" si="41"/>
        <v>69.708207547169806</v>
      </c>
      <c r="G1298" s="21">
        <v>-0.22167210000000001</v>
      </c>
      <c r="H1298" s="21">
        <v>0.1724425</v>
      </c>
    </row>
    <row r="1299" spans="1:8" x14ac:dyDescent="0.15">
      <c r="A1299" s="21">
        <v>2.5332029999999998E-2</v>
      </c>
      <c r="B1299" s="21">
        <f t="shared" si="40"/>
        <v>0.20256460000000001</v>
      </c>
      <c r="D1299">
        <f t="shared" si="41"/>
        <v>81.835597484276732</v>
      </c>
      <c r="G1299" s="21">
        <v>-0.2602372</v>
      </c>
      <c r="H1299" s="21">
        <v>0.20256460000000001</v>
      </c>
    </row>
    <row r="1300" spans="1:8" x14ac:dyDescent="0.15">
      <c r="A1300" s="21">
        <v>2.5351559999999999E-2</v>
      </c>
      <c r="B1300" s="21">
        <f t="shared" si="40"/>
        <v>0.2266871</v>
      </c>
      <c r="D1300">
        <f t="shared" si="41"/>
        <v>91.534842767295572</v>
      </c>
      <c r="G1300" s="21">
        <v>-0.29108079999999997</v>
      </c>
      <c r="H1300" s="21">
        <v>0.2266871</v>
      </c>
    </row>
    <row r="1301" spans="1:8" x14ac:dyDescent="0.15">
      <c r="A1301" s="21">
        <v>2.5371089999999999E-2</v>
      </c>
      <c r="B1301" s="21">
        <f t="shared" si="40"/>
        <v>0.24289079999999999</v>
      </c>
      <c r="D1301">
        <f t="shared" si="41"/>
        <v>98.111477987421381</v>
      </c>
      <c r="G1301" s="21">
        <v>-0.31199450000000001</v>
      </c>
      <c r="H1301" s="21">
        <v>0.24289079999999999</v>
      </c>
    </row>
    <row r="1302" spans="1:8" x14ac:dyDescent="0.15">
      <c r="A1302" s="21">
        <v>2.5390619999999999E-2</v>
      </c>
      <c r="B1302" s="21">
        <f t="shared" si="40"/>
        <v>0.25034709999999999</v>
      </c>
      <c r="D1302">
        <f t="shared" si="41"/>
        <v>101.09377358490566</v>
      </c>
      <c r="G1302" s="21">
        <v>-0.32147819999999999</v>
      </c>
      <c r="H1302" s="21">
        <v>0.25034709999999999</v>
      </c>
    </row>
    <row r="1303" spans="1:8" x14ac:dyDescent="0.15">
      <c r="A1303" s="21">
        <v>2.5410160000000001E-2</v>
      </c>
      <c r="B1303" s="21">
        <f t="shared" si="40"/>
        <v>0.24963959999999999</v>
      </c>
      <c r="D1303">
        <f t="shared" si="41"/>
        <v>100.85503144654088</v>
      </c>
      <c r="G1303" s="21">
        <v>-0.32071899999999998</v>
      </c>
      <c r="H1303" s="21">
        <v>0.24963959999999999</v>
      </c>
    </row>
    <row r="1304" spans="1:8" x14ac:dyDescent="0.15">
      <c r="A1304" s="21">
        <v>2.5429690000000001E-2</v>
      </c>
      <c r="B1304" s="21">
        <f t="shared" si="40"/>
        <v>0.2408506</v>
      </c>
      <c r="D1304">
        <f t="shared" si="41"/>
        <v>97.409056603773593</v>
      </c>
      <c r="G1304" s="21">
        <v>-0.3097608</v>
      </c>
      <c r="H1304" s="21">
        <v>0.2408506</v>
      </c>
    </row>
    <row r="1305" spans="1:8" x14ac:dyDescent="0.15">
      <c r="A1305" s="21">
        <v>2.5449220000000002E-2</v>
      </c>
      <c r="B1305" s="21">
        <f t="shared" si="40"/>
        <v>0.2238002</v>
      </c>
      <c r="D1305">
        <f t="shared" si="41"/>
        <v>90.588899371069175</v>
      </c>
      <c r="G1305" s="21">
        <v>-0.28807270000000001</v>
      </c>
      <c r="H1305" s="21">
        <v>0.2238002</v>
      </c>
    </row>
    <row r="1306" spans="1:8" x14ac:dyDescent="0.15">
      <c r="A1306" s="21">
        <v>2.5468749999999998E-2</v>
      </c>
      <c r="B1306" s="21">
        <f t="shared" si="40"/>
        <v>0.19914109999999999</v>
      </c>
      <c r="D1306">
        <f t="shared" si="41"/>
        <v>80.707798742138365</v>
      </c>
      <c r="G1306" s="21">
        <v>-0.25665080000000001</v>
      </c>
      <c r="H1306" s="21">
        <v>0.19914109999999999</v>
      </c>
    </row>
    <row r="1307" spans="1:8" x14ac:dyDescent="0.15">
      <c r="A1307" s="21">
        <v>2.5488279999999999E-2</v>
      </c>
      <c r="B1307" s="21">
        <f t="shared" si="40"/>
        <v>0.1677681</v>
      </c>
      <c r="D1307">
        <f t="shared" si="41"/>
        <v>68.138207547169799</v>
      </c>
      <c r="G1307" s="21">
        <v>-0.2166795</v>
      </c>
      <c r="H1307" s="21">
        <v>0.1677681</v>
      </c>
    </row>
    <row r="1308" spans="1:8" x14ac:dyDescent="0.15">
      <c r="A1308" s="21">
        <v>2.5507809999999999E-2</v>
      </c>
      <c r="B1308" s="21">
        <f t="shared" si="40"/>
        <v>0.1304343</v>
      </c>
      <c r="D1308">
        <f t="shared" si="41"/>
        <v>53.195786163522008</v>
      </c>
      <c r="G1308" s="21">
        <v>-0.1691626</v>
      </c>
      <c r="H1308" s="21">
        <v>0.1304343</v>
      </c>
    </row>
    <row r="1309" spans="1:8" x14ac:dyDescent="0.15">
      <c r="A1309" s="21">
        <v>2.5527339999999999E-2</v>
      </c>
      <c r="B1309" s="21">
        <f t="shared" si="40"/>
        <v>8.8262209999999994E-2</v>
      </c>
      <c r="D1309">
        <f t="shared" si="41"/>
        <v>36.288176100628931</v>
      </c>
      <c r="G1309" s="21">
        <v>-0.1153964</v>
      </c>
      <c r="H1309" s="21">
        <v>8.8262209999999994E-2</v>
      </c>
    </row>
    <row r="1310" spans="1:8" x14ac:dyDescent="0.15">
      <c r="A1310" s="21">
        <v>2.5546880000000001E-2</v>
      </c>
      <c r="B1310" s="21">
        <f t="shared" si="40"/>
        <v>4.3060069999999999E-2</v>
      </c>
      <c r="D1310">
        <f t="shared" si="41"/>
        <v>18.228028301886791</v>
      </c>
      <c r="G1310" s="21">
        <v>-5.7965129999999997E-2</v>
      </c>
      <c r="H1310" s="21">
        <v>4.3060069999999999E-2</v>
      </c>
    </row>
    <row r="1311" spans="1:8" x14ac:dyDescent="0.15">
      <c r="A1311" s="21">
        <v>2.5566410000000001E-2</v>
      </c>
      <c r="B1311" s="21">
        <f t="shared" si="40"/>
        <v>-3.3085020000000001E-3</v>
      </c>
      <c r="D1311">
        <f t="shared" si="41"/>
        <v>-0.33719559748427669</v>
      </c>
      <c r="G1311" s="21">
        <v>1.0722819999999999E-3</v>
      </c>
      <c r="H1311" s="21">
        <v>-3.3085020000000001E-3</v>
      </c>
    </row>
    <row r="1312" spans="1:8" x14ac:dyDescent="0.15">
      <c r="A1312" s="21">
        <v>2.5585940000000001E-2</v>
      </c>
      <c r="B1312" s="21">
        <f t="shared" si="40"/>
        <v>-4.9573279999999997E-2</v>
      </c>
      <c r="D1312">
        <f t="shared" si="41"/>
        <v>-18.933584905660375</v>
      </c>
      <c r="G1312" s="21">
        <v>6.02088E-2</v>
      </c>
      <c r="H1312" s="21">
        <v>-4.9573279999999997E-2</v>
      </c>
    </row>
    <row r="1313" spans="1:8" x14ac:dyDescent="0.15">
      <c r="A1313" s="21">
        <v>2.5605470000000002E-2</v>
      </c>
      <c r="B1313" s="21">
        <f t="shared" si="40"/>
        <v>-9.3879660000000004E-2</v>
      </c>
      <c r="D1313">
        <f t="shared" si="41"/>
        <v>-36.659276729559743</v>
      </c>
      <c r="G1313" s="21">
        <v>0.1165765</v>
      </c>
      <c r="H1313" s="21">
        <v>-9.3879660000000004E-2</v>
      </c>
    </row>
    <row r="1314" spans="1:8" x14ac:dyDescent="0.15">
      <c r="A1314" s="21">
        <v>2.5624999999999998E-2</v>
      </c>
      <c r="B1314" s="21">
        <f t="shared" si="40"/>
        <v>-0.13463620000000001</v>
      </c>
      <c r="D1314">
        <f t="shared" si="41"/>
        <v>-52.990125786163517</v>
      </c>
      <c r="G1314" s="21">
        <v>0.16850860000000001</v>
      </c>
      <c r="H1314" s="21">
        <v>-0.13463620000000001</v>
      </c>
    </row>
    <row r="1315" spans="1:8" x14ac:dyDescent="0.15">
      <c r="A1315" s="21">
        <v>2.5644529999999999E-2</v>
      </c>
      <c r="B1315" s="21">
        <f t="shared" si="40"/>
        <v>-0.17133619999999999</v>
      </c>
      <c r="D1315">
        <f t="shared" si="41"/>
        <v>-67.742012578616354</v>
      </c>
      <c r="G1315" s="21">
        <v>0.21541959999999999</v>
      </c>
      <c r="H1315" s="21">
        <v>-0.17133619999999999</v>
      </c>
    </row>
    <row r="1316" spans="1:8" x14ac:dyDescent="0.15">
      <c r="A1316" s="21">
        <v>2.5664059999999999E-2</v>
      </c>
      <c r="B1316" s="21">
        <f t="shared" si="40"/>
        <v>-0.20259759999999999</v>
      </c>
      <c r="D1316">
        <f t="shared" si="41"/>
        <v>-80.338836477987428</v>
      </c>
      <c r="G1316" s="21">
        <v>0.25547750000000002</v>
      </c>
      <c r="H1316" s="21">
        <v>-0.20259759999999999</v>
      </c>
    </row>
    <row r="1317" spans="1:8" x14ac:dyDescent="0.15">
      <c r="A1317" s="21">
        <v>2.5683589999999999E-2</v>
      </c>
      <c r="B1317" s="21">
        <f t="shared" si="40"/>
        <v>-0.22674800000000001</v>
      </c>
      <c r="D1317">
        <f t="shared" si="41"/>
        <v>-90.042201257861635</v>
      </c>
      <c r="G1317" s="21">
        <v>0.28633419999999998</v>
      </c>
      <c r="H1317" s="21">
        <v>-0.22674800000000001</v>
      </c>
    </row>
    <row r="1318" spans="1:8" x14ac:dyDescent="0.15">
      <c r="A1318" s="21">
        <v>2.5703130000000001E-2</v>
      </c>
      <c r="B1318" s="21">
        <f t="shared" si="40"/>
        <v>-0.24286389999999999</v>
      </c>
      <c r="D1318">
        <f t="shared" si="41"/>
        <v>-96.470314465408805</v>
      </c>
      <c r="G1318" s="21">
        <v>0.30677559999999998</v>
      </c>
      <c r="H1318" s="21">
        <v>-0.24286389999999999</v>
      </c>
    </row>
    <row r="1319" spans="1:8" x14ac:dyDescent="0.15">
      <c r="A1319" s="21">
        <v>2.5722660000000001E-2</v>
      </c>
      <c r="B1319" s="21">
        <f t="shared" si="40"/>
        <v>-0.25098959999999998</v>
      </c>
      <c r="D1319">
        <f t="shared" si="41"/>
        <v>-99.826698113207541</v>
      </c>
      <c r="G1319" s="21">
        <v>0.31744889999999998</v>
      </c>
      <c r="H1319" s="21">
        <v>-0.25098959999999998</v>
      </c>
    </row>
    <row r="1320" spans="1:8" x14ac:dyDescent="0.15">
      <c r="A1320" s="21">
        <v>2.5742190000000002E-2</v>
      </c>
      <c r="B1320" s="21">
        <f t="shared" si="40"/>
        <v>-0.25135839999999998</v>
      </c>
      <c r="D1320">
        <f t="shared" si="41"/>
        <v>-100.04962264150943</v>
      </c>
      <c r="G1320" s="21">
        <v>0.31815779999999999</v>
      </c>
      <c r="H1320" s="21">
        <v>-0.25135839999999998</v>
      </c>
    </row>
    <row r="1321" spans="1:8" x14ac:dyDescent="0.15">
      <c r="A1321" s="21">
        <v>2.5761719999999998E-2</v>
      </c>
      <c r="B1321" s="21">
        <f t="shared" si="40"/>
        <v>-0.2429018</v>
      </c>
      <c r="D1321">
        <f t="shared" si="41"/>
        <v>-96.619874213836468</v>
      </c>
      <c r="G1321" s="21">
        <v>0.3072512</v>
      </c>
      <c r="H1321" s="21">
        <v>-0.2429018</v>
      </c>
    </row>
    <row r="1322" spans="1:8" x14ac:dyDescent="0.15">
      <c r="A1322" s="21">
        <v>2.5781249999999999E-2</v>
      </c>
      <c r="B1322" s="21">
        <f t="shared" si="40"/>
        <v>-0.22632440000000001</v>
      </c>
      <c r="D1322">
        <f t="shared" si="41"/>
        <v>-90.052798742138364</v>
      </c>
      <c r="G1322" s="21">
        <v>0.28636790000000001</v>
      </c>
      <c r="H1322" s="21">
        <v>-0.22632440000000001</v>
      </c>
    </row>
    <row r="1323" spans="1:8" x14ac:dyDescent="0.15">
      <c r="A1323" s="21">
        <v>2.5800779999999999E-2</v>
      </c>
      <c r="B1323" s="21">
        <f t="shared" si="40"/>
        <v>-0.20274600000000001</v>
      </c>
      <c r="D1323">
        <f t="shared" si="41"/>
        <v>-80.671949685534599</v>
      </c>
      <c r="G1323" s="21">
        <v>0.25653680000000001</v>
      </c>
      <c r="H1323" s="21">
        <v>-0.20274600000000001</v>
      </c>
    </row>
    <row r="1324" spans="1:8" x14ac:dyDescent="0.15">
      <c r="A1324" s="21">
        <v>2.5820309999999999E-2</v>
      </c>
      <c r="B1324" s="21">
        <f t="shared" si="40"/>
        <v>-0.1711638</v>
      </c>
      <c r="D1324">
        <f t="shared" si="41"/>
        <v>-67.944654088050314</v>
      </c>
      <c r="G1324" s="21">
        <v>0.21606400000000001</v>
      </c>
      <c r="H1324" s="21">
        <v>-0.1711638</v>
      </c>
    </row>
    <row r="1325" spans="1:8" x14ac:dyDescent="0.15">
      <c r="A1325" s="21">
        <v>2.5839839999999999E-2</v>
      </c>
      <c r="B1325" s="21">
        <f t="shared" si="40"/>
        <v>-0.13355239999999999</v>
      </c>
      <c r="D1325">
        <f t="shared" si="41"/>
        <v>-52.939748427672953</v>
      </c>
      <c r="G1325" s="21">
        <v>0.16834840000000001</v>
      </c>
      <c r="H1325" s="21">
        <v>-0.13355239999999999</v>
      </c>
    </row>
    <row r="1326" spans="1:8" x14ac:dyDescent="0.15">
      <c r="A1326" s="21">
        <v>2.5859380000000001E-2</v>
      </c>
      <c r="B1326" s="21">
        <f t="shared" si="40"/>
        <v>-9.2453869999999994E-2</v>
      </c>
      <c r="D1326">
        <f t="shared" si="41"/>
        <v>-36.572798742138367</v>
      </c>
      <c r="G1326" s="21">
        <v>0.1163015</v>
      </c>
      <c r="H1326" s="21">
        <v>-9.2453869999999994E-2</v>
      </c>
    </row>
    <row r="1327" spans="1:8" x14ac:dyDescent="0.15">
      <c r="A1327" s="21">
        <v>2.5878910000000001E-2</v>
      </c>
      <c r="B1327" s="21">
        <f t="shared" si="40"/>
        <v>-4.7643489999999997E-2</v>
      </c>
      <c r="D1327">
        <f t="shared" si="41"/>
        <v>-18.557764150943395</v>
      </c>
      <c r="G1327" s="21">
        <v>5.9013690000000001E-2</v>
      </c>
      <c r="H1327" s="21">
        <v>-4.7643489999999997E-2</v>
      </c>
    </row>
    <row r="1328" spans="1:8" x14ac:dyDescent="0.15">
      <c r="A1328" s="21">
        <v>2.5898439999999998E-2</v>
      </c>
      <c r="B1328" s="21">
        <f t="shared" si="40"/>
        <v>-8.8098850000000004E-4</v>
      </c>
      <c r="D1328">
        <f t="shared" si="41"/>
        <v>0.18578154088050317</v>
      </c>
      <c r="G1328" s="21">
        <v>-5.9078530000000002E-4</v>
      </c>
      <c r="H1328" s="21">
        <v>-8.8098850000000004E-4</v>
      </c>
    </row>
    <row r="1329" spans="1:8" x14ac:dyDescent="0.15">
      <c r="A1329" s="21">
        <v>2.5917969999999999E-2</v>
      </c>
      <c r="B1329" s="21">
        <f t="shared" si="40"/>
        <v>4.5502969999999997E-2</v>
      </c>
      <c r="D1329">
        <f t="shared" si="41"/>
        <v>18.742352201257862</v>
      </c>
      <c r="G1329" s="21">
        <v>-5.9600680000000003E-2</v>
      </c>
      <c r="H1329" s="21">
        <v>4.5502969999999997E-2</v>
      </c>
    </row>
    <row r="1330" spans="1:8" x14ac:dyDescent="0.15">
      <c r="A1330" s="21">
        <v>2.5937499999999999E-2</v>
      </c>
      <c r="B1330" s="21">
        <f t="shared" si="40"/>
        <v>9.0309979999999998E-2</v>
      </c>
      <c r="D1330">
        <f t="shared" si="41"/>
        <v>36.702075471698109</v>
      </c>
      <c r="G1330" s="21">
        <v>-0.1167126</v>
      </c>
      <c r="H1330" s="21">
        <v>9.0309979999999998E-2</v>
      </c>
    </row>
    <row r="1331" spans="1:8" x14ac:dyDescent="0.15">
      <c r="A1331" s="21">
        <v>2.5957029999999999E-2</v>
      </c>
      <c r="B1331" s="21">
        <f t="shared" si="40"/>
        <v>0.1316349</v>
      </c>
      <c r="D1331">
        <f t="shared" si="41"/>
        <v>53.315817610062894</v>
      </c>
      <c r="G1331" s="21">
        <v>-0.16954430000000001</v>
      </c>
      <c r="H1331" s="21">
        <v>0.1316349</v>
      </c>
    </row>
    <row r="1332" spans="1:8" x14ac:dyDescent="0.15">
      <c r="A1332" s="21">
        <v>2.5976559999999999E-2</v>
      </c>
      <c r="B1332" s="21">
        <f t="shared" si="40"/>
        <v>0.16854269999999999</v>
      </c>
      <c r="D1332">
        <f t="shared" si="41"/>
        <v>68.20823899371068</v>
      </c>
      <c r="G1332" s="21">
        <v>-0.21690219999999999</v>
      </c>
      <c r="H1332" s="21">
        <v>0.16854269999999999</v>
      </c>
    </row>
    <row r="1333" spans="1:8" x14ac:dyDescent="0.15">
      <c r="A1333" s="21">
        <v>2.5996089999999999E-2</v>
      </c>
      <c r="B1333" s="21">
        <f t="shared" si="40"/>
        <v>0.19985449999999999</v>
      </c>
      <c r="D1333">
        <f t="shared" si="41"/>
        <v>80.746792452830192</v>
      </c>
      <c r="G1333" s="21">
        <v>-0.25677480000000003</v>
      </c>
      <c r="H1333" s="21">
        <v>0.19985449999999999</v>
      </c>
    </row>
    <row r="1334" spans="1:8" x14ac:dyDescent="0.15">
      <c r="A1334" s="21">
        <v>2.6015630000000001E-2</v>
      </c>
      <c r="B1334" s="21">
        <f t="shared" si="40"/>
        <v>0.22413330000000001</v>
      </c>
      <c r="D1334">
        <f t="shared" si="41"/>
        <v>90.50433962264151</v>
      </c>
      <c r="G1334" s="21">
        <v>-0.2878038</v>
      </c>
      <c r="H1334" s="21">
        <v>0.22413330000000001</v>
      </c>
    </row>
    <row r="1335" spans="1:8" x14ac:dyDescent="0.15">
      <c r="A1335" s="21">
        <v>2.6035160000000002E-2</v>
      </c>
      <c r="B1335" s="21">
        <f t="shared" si="40"/>
        <v>0.2413778</v>
      </c>
      <c r="D1335">
        <f t="shared" si="41"/>
        <v>97.513647798742142</v>
      </c>
      <c r="G1335" s="21">
        <v>-0.31009340000000002</v>
      </c>
      <c r="H1335" s="21">
        <v>0.2413778</v>
      </c>
    </row>
    <row r="1336" spans="1:8" x14ac:dyDescent="0.15">
      <c r="A1336" s="21">
        <v>2.6054689999999998E-2</v>
      </c>
      <c r="B1336" s="21">
        <f t="shared" si="40"/>
        <v>0.25043690000000002</v>
      </c>
      <c r="D1336">
        <f t="shared" si="41"/>
        <v>101.1340251572327</v>
      </c>
      <c r="G1336" s="21">
        <v>-0.32160620000000001</v>
      </c>
      <c r="H1336" s="21">
        <v>0.25043690000000002</v>
      </c>
    </row>
    <row r="1337" spans="1:8" x14ac:dyDescent="0.15">
      <c r="A1337" s="21">
        <v>2.6074219999999999E-2</v>
      </c>
      <c r="B1337" s="21">
        <f t="shared" si="40"/>
        <v>0.25070120000000001</v>
      </c>
      <c r="D1337">
        <f t="shared" si="41"/>
        <v>101.26110062893082</v>
      </c>
      <c r="G1337" s="21">
        <v>-0.32201030000000003</v>
      </c>
      <c r="H1337" s="21">
        <v>0.25070120000000001</v>
      </c>
    </row>
    <row r="1338" spans="1:8" x14ac:dyDescent="0.15">
      <c r="A1338" s="21">
        <v>2.6093749999999999E-2</v>
      </c>
      <c r="B1338" s="21">
        <f t="shared" si="40"/>
        <v>0.24316009999999999</v>
      </c>
      <c r="D1338">
        <f t="shared" si="41"/>
        <v>98.31805031446541</v>
      </c>
      <c r="G1338" s="21">
        <v>-0.31265140000000002</v>
      </c>
      <c r="H1338" s="21">
        <v>0.24316009999999999</v>
      </c>
    </row>
    <row r="1339" spans="1:8" x14ac:dyDescent="0.15">
      <c r="A1339" s="21">
        <v>2.6113279999999999E-2</v>
      </c>
      <c r="B1339" s="21">
        <f t="shared" si="40"/>
        <v>0.227239</v>
      </c>
      <c r="D1339">
        <f t="shared" si="41"/>
        <v>91.968616352201252</v>
      </c>
      <c r="G1339" s="21">
        <v>-0.2924602</v>
      </c>
      <c r="H1339" s="21">
        <v>0.227239</v>
      </c>
    </row>
    <row r="1340" spans="1:8" x14ac:dyDescent="0.15">
      <c r="A1340" s="21">
        <v>2.6132809999999999E-2</v>
      </c>
      <c r="B1340" s="21">
        <f t="shared" si="40"/>
        <v>0.20304920000000001</v>
      </c>
      <c r="D1340">
        <f t="shared" si="41"/>
        <v>82.268836477987406</v>
      </c>
      <c r="G1340" s="21">
        <v>-0.26161489999999998</v>
      </c>
      <c r="H1340" s="21">
        <v>0.20304920000000001</v>
      </c>
    </row>
    <row r="1341" spans="1:8" x14ac:dyDescent="0.15">
      <c r="A1341" s="21">
        <v>2.615234E-2</v>
      </c>
      <c r="B1341" s="21">
        <f t="shared" si="40"/>
        <v>0.17243600000000001</v>
      </c>
      <c r="D1341">
        <f t="shared" si="41"/>
        <v>69.987924528301889</v>
      </c>
      <c r="G1341" s="21">
        <v>-0.2225616</v>
      </c>
      <c r="H1341" s="21">
        <v>0.17243600000000001</v>
      </c>
    </row>
    <row r="1342" spans="1:8" x14ac:dyDescent="0.15">
      <c r="A1342" s="21">
        <v>2.6171880000000002E-2</v>
      </c>
      <c r="B1342" s="21">
        <f t="shared" si="40"/>
        <v>0.1361803</v>
      </c>
      <c r="D1342">
        <f t="shared" si="41"/>
        <v>55.48119496855346</v>
      </c>
      <c r="G1342" s="21">
        <v>-0.17643020000000001</v>
      </c>
      <c r="H1342" s="21">
        <v>0.1361803</v>
      </c>
    </row>
    <row r="1343" spans="1:8" x14ac:dyDescent="0.15">
      <c r="A1343" s="21">
        <v>2.6191409999999998E-2</v>
      </c>
      <c r="B1343" s="21">
        <f t="shared" si="40"/>
        <v>9.4805130000000001E-2</v>
      </c>
      <c r="D1343">
        <f t="shared" si="41"/>
        <v>38.932515723270434</v>
      </c>
      <c r="G1343" s="21">
        <v>-0.1238054</v>
      </c>
      <c r="H1343" s="21">
        <v>9.4805130000000001E-2</v>
      </c>
    </row>
    <row r="1344" spans="1:8" x14ac:dyDescent="0.15">
      <c r="A1344" s="21">
        <v>2.6210939999999999E-2</v>
      </c>
      <c r="B1344" s="21">
        <f t="shared" si="40"/>
        <v>4.973648E-2</v>
      </c>
      <c r="D1344">
        <f t="shared" si="41"/>
        <v>20.902166666666666</v>
      </c>
      <c r="G1344" s="21">
        <v>-6.6468890000000003E-2</v>
      </c>
      <c r="H1344" s="21">
        <v>4.973648E-2</v>
      </c>
    </row>
    <row r="1345" spans="1:8" x14ac:dyDescent="0.15">
      <c r="A1345" s="21">
        <v>2.6230469999999999E-2</v>
      </c>
      <c r="B1345" s="21">
        <f t="shared" si="40"/>
        <v>2.987492E-3</v>
      </c>
      <c r="D1345">
        <f t="shared" si="41"/>
        <v>2.1821880503144651</v>
      </c>
      <c r="G1345" s="21">
        <v>-6.9393579999999996E-3</v>
      </c>
      <c r="H1345" s="21">
        <v>2.987492E-3</v>
      </c>
    </row>
    <row r="1346" spans="1:8" x14ac:dyDescent="0.15">
      <c r="A1346" s="21">
        <v>2.6249999999999999E-2</v>
      </c>
      <c r="B1346" s="21">
        <f t="shared" ref="B1346:B1409" si="42">H1346</f>
        <v>-4.3123359999999999E-2</v>
      </c>
      <c r="D1346">
        <f t="shared" ref="D1346:D1409" si="43">G1346*-1000/3.18</f>
        <v>-16.320396226415092</v>
      </c>
      <c r="G1346" s="21">
        <v>5.1898859999999998E-2</v>
      </c>
      <c r="H1346" s="21">
        <v>-4.3123359999999999E-2</v>
      </c>
    </row>
    <row r="1347" spans="1:8" x14ac:dyDescent="0.15">
      <c r="A1347" s="21">
        <v>2.6269529999999999E-2</v>
      </c>
      <c r="B1347" s="21">
        <f t="shared" si="42"/>
        <v>-8.7545929999999994E-2</v>
      </c>
      <c r="D1347">
        <f t="shared" si="43"/>
        <v>-34.146069182389937</v>
      </c>
      <c r="G1347" s="21">
        <v>0.1085845</v>
      </c>
      <c r="H1347" s="21">
        <v>-8.7545929999999994E-2</v>
      </c>
    </row>
    <row r="1348" spans="1:8" x14ac:dyDescent="0.15">
      <c r="A1348" s="21">
        <v>2.628906E-2</v>
      </c>
      <c r="B1348" s="21">
        <f t="shared" si="42"/>
        <v>-0.12934850000000001</v>
      </c>
      <c r="D1348">
        <f t="shared" si="43"/>
        <v>-50.922767295597488</v>
      </c>
      <c r="G1348" s="21">
        <v>0.16193440000000001</v>
      </c>
      <c r="H1348" s="21">
        <v>-0.12934850000000001</v>
      </c>
    </row>
    <row r="1349" spans="1:8" x14ac:dyDescent="0.15">
      <c r="A1349" s="21">
        <v>2.630859E-2</v>
      </c>
      <c r="B1349" s="21">
        <f t="shared" si="42"/>
        <v>-0.1664291</v>
      </c>
      <c r="D1349">
        <f t="shared" si="43"/>
        <v>-65.783584905660376</v>
      </c>
      <c r="G1349" s="21">
        <v>0.20919180000000001</v>
      </c>
      <c r="H1349" s="21">
        <v>-0.1664291</v>
      </c>
    </row>
    <row r="1350" spans="1:8" x14ac:dyDescent="0.15">
      <c r="A1350" s="21">
        <v>2.6328130000000002E-2</v>
      </c>
      <c r="B1350" s="21">
        <f t="shared" si="42"/>
        <v>-0.19821929999999999</v>
      </c>
      <c r="D1350">
        <f t="shared" si="43"/>
        <v>-78.545094339622636</v>
      </c>
      <c r="G1350" s="21">
        <v>0.24977340000000001</v>
      </c>
      <c r="H1350" s="21">
        <v>-0.19821929999999999</v>
      </c>
    </row>
    <row r="1351" spans="1:8" x14ac:dyDescent="0.15">
      <c r="A1351" s="21">
        <v>2.6347659999999998E-2</v>
      </c>
      <c r="B1351" s="21">
        <f t="shared" si="42"/>
        <v>-0.2238646</v>
      </c>
      <c r="D1351">
        <f t="shared" si="43"/>
        <v>-88.876949685534598</v>
      </c>
      <c r="G1351" s="21">
        <v>0.28262870000000001</v>
      </c>
      <c r="H1351" s="21">
        <v>-0.2238646</v>
      </c>
    </row>
    <row r="1352" spans="1:8" x14ac:dyDescent="0.15">
      <c r="A1352" s="21">
        <v>2.6367189999999999E-2</v>
      </c>
      <c r="B1352" s="21">
        <f t="shared" si="42"/>
        <v>-0.24109340000000001</v>
      </c>
      <c r="D1352">
        <f t="shared" si="43"/>
        <v>-95.775660377358477</v>
      </c>
      <c r="G1352" s="21">
        <v>0.30456660000000002</v>
      </c>
      <c r="H1352" s="21">
        <v>-0.24109340000000001</v>
      </c>
    </row>
    <row r="1353" spans="1:8" x14ac:dyDescent="0.15">
      <c r="A1353" s="21">
        <v>2.6386719999999999E-2</v>
      </c>
      <c r="B1353" s="21">
        <f t="shared" si="42"/>
        <v>-0.25018099999999999</v>
      </c>
      <c r="D1353">
        <f t="shared" si="43"/>
        <v>-99.45355345911949</v>
      </c>
      <c r="G1353" s="21">
        <v>0.3162623</v>
      </c>
      <c r="H1353" s="21">
        <v>-0.25018099999999999</v>
      </c>
    </row>
    <row r="1354" spans="1:8" x14ac:dyDescent="0.15">
      <c r="A1354" s="21">
        <v>2.6406249999999999E-2</v>
      </c>
      <c r="B1354" s="21">
        <f t="shared" si="42"/>
        <v>-0.25165969999999999</v>
      </c>
      <c r="D1354">
        <f t="shared" si="43"/>
        <v>-100.16408805031448</v>
      </c>
      <c r="G1354" s="21">
        <v>0.31852180000000002</v>
      </c>
      <c r="H1354" s="21">
        <v>-0.25165969999999999</v>
      </c>
    </row>
    <row r="1355" spans="1:8" x14ac:dyDescent="0.15">
      <c r="A1355" s="21">
        <v>2.6425779999999999E-2</v>
      </c>
      <c r="B1355" s="21">
        <f t="shared" si="42"/>
        <v>-0.24442410000000001</v>
      </c>
      <c r="D1355">
        <f t="shared" si="43"/>
        <v>-97.277232704402508</v>
      </c>
      <c r="G1355" s="21">
        <v>0.30934159999999999</v>
      </c>
      <c r="H1355" s="21">
        <v>-0.24442410000000001</v>
      </c>
    </row>
    <row r="1356" spans="1:8" x14ac:dyDescent="0.15">
      <c r="A1356" s="21">
        <v>2.644531E-2</v>
      </c>
      <c r="B1356" s="21">
        <f t="shared" si="42"/>
        <v>-0.2287778</v>
      </c>
      <c r="D1356">
        <f t="shared" si="43"/>
        <v>-90.949496855345913</v>
      </c>
      <c r="G1356" s="21">
        <v>0.28921940000000002</v>
      </c>
      <c r="H1356" s="21">
        <v>-0.2287778</v>
      </c>
    </row>
    <row r="1357" spans="1:8" x14ac:dyDescent="0.15">
      <c r="A1357" s="21">
        <v>2.646484E-2</v>
      </c>
      <c r="B1357" s="21">
        <f t="shared" si="42"/>
        <v>-0.2056161</v>
      </c>
      <c r="D1357">
        <f t="shared" si="43"/>
        <v>-81.797044025157234</v>
      </c>
      <c r="G1357" s="21">
        <v>0.26011459999999997</v>
      </c>
      <c r="H1357" s="21">
        <v>-0.2056161</v>
      </c>
    </row>
    <row r="1358" spans="1:8" x14ac:dyDescent="0.15">
      <c r="A1358" s="21">
        <v>2.6484379999999998E-2</v>
      </c>
      <c r="B1358" s="21">
        <f t="shared" si="42"/>
        <v>-0.17547209999999999</v>
      </c>
      <c r="D1358">
        <f t="shared" si="43"/>
        <v>-69.827987421383639</v>
      </c>
      <c r="G1358" s="21">
        <v>0.222053</v>
      </c>
      <c r="H1358" s="21">
        <v>-0.17547209999999999</v>
      </c>
    </row>
    <row r="1359" spans="1:8" x14ac:dyDescent="0.15">
      <c r="A1359" s="21">
        <v>2.6503909999999999E-2</v>
      </c>
      <c r="B1359" s="21">
        <f t="shared" si="42"/>
        <v>-0.13922300000000001</v>
      </c>
      <c r="D1359">
        <f t="shared" si="43"/>
        <v>-55.198301886792457</v>
      </c>
      <c r="G1359" s="21">
        <v>0.17553060000000001</v>
      </c>
      <c r="H1359" s="21">
        <v>-0.13922300000000001</v>
      </c>
    </row>
    <row r="1360" spans="1:8" x14ac:dyDescent="0.15">
      <c r="A1360" s="21">
        <v>2.6523439999999999E-2</v>
      </c>
      <c r="B1360" s="21">
        <f t="shared" si="42"/>
        <v>-9.7856570000000004E-2</v>
      </c>
      <c r="D1360">
        <f t="shared" si="43"/>
        <v>-38.640094339622642</v>
      </c>
      <c r="G1360" s="21">
        <v>0.1228755</v>
      </c>
      <c r="H1360" s="21">
        <v>-9.7856570000000004E-2</v>
      </c>
    </row>
    <row r="1361" spans="1:8" x14ac:dyDescent="0.15">
      <c r="A1361" s="21">
        <v>2.6542969999999999E-2</v>
      </c>
      <c r="B1361" s="21">
        <f t="shared" si="42"/>
        <v>-5.3324419999999997E-2</v>
      </c>
      <c r="D1361">
        <f t="shared" si="43"/>
        <v>-20.873336477987422</v>
      </c>
      <c r="G1361" s="21">
        <v>6.6377210000000006E-2</v>
      </c>
      <c r="H1361" s="21">
        <v>-5.3324419999999997E-2</v>
      </c>
    </row>
    <row r="1362" spans="1:8" x14ac:dyDescent="0.15">
      <c r="A1362" s="21">
        <v>2.6562499999999999E-2</v>
      </c>
      <c r="B1362" s="21">
        <f t="shared" si="42"/>
        <v>-7.2933169999999997E-3</v>
      </c>
      <c r="D1362">
        <f t="shared" si="43"/>
        <v>-2.408100314465409</v>
      </c>
      <c r="G1362" s="21">
        <v>7.6577590000000001E-3</v>
      </c>
      <c r="H1362" s="21">
        <v>-7.2933169999999997E-3</v>
      </c>
    </row>
    <row r="1363" spans="1:8" x14ac:dyDescent="0.15">
      <c r="A1363" s="21">
        <v>2.658203E-2</v>
      </c>
      <c r="B1363" s="21">
        <f t="shared" si="42"/>
        <v>3.953334E-2</v>
      </c>
      <c r="D1363">
        <f t="shared" si="43"/>
        <v>16.356025157232704</v>
      </c>
      <c r="G1363" s="21">
        <v>-5.2012160000000002E-2</v>
      </c>
      <c r="H1363" s="21">
        <v>3.953334E-2</v>
      </c>
    </row>
    <row r="1364" spans="1:8" x14ac:dyDescent="0.15">
      <c r="A1364" s="21">
        <v>2.660156E-2</v>
      </c>
      <c r="B1364" s="21">
        <f t="shared" si="42"/>
        <v>8.4659730000000002E-2</v>
      </c>
      <c r="D1364">
        <f t="shared" si="43"/>
        <v>34.474245283018867</v>
      </c>
      <c r="G1364" s="21">
        <v>-0.10962810000000001</v>
      </c>
      <c r="H1364" s="21">
        <v>8.4659730000000002E-2</v>
      </c>
    </row>
    <row r="1365" spans="1:8" x14ac:dyDescent="0.15">
      <c r="A1365" s="21">
        <v>2.662109E-2</v>
      </c>
      <c r="B1365" s="21">
        <f t="shared" si="42"/>
        <v>0.12599170000000001</v>
      </c>
      <c r="D1365">
        <f t="shared" si="43"/>
        <v>51.054402515723268</v>
      </c>
      <c r="G1365" s="21">
        <v>-0.162353</v>
      </c>
      <c r="H1365" s="21">
        <v>0.12599170000000001</v>
      </c>
    </row>
    <row r="1366" spans="1:8" x14ac:dyDescent="0.15">
      <c r="A1366" s="21">
        <v>2.6640629999999998E-2</v>
      </c>
      <c r="B1366" s="21">
        <f t="shared" si="42"/>
        <v>0.1636553</v>
      </c>
      <c r="D1366">
        <f t="shared" si="43"/>
        <v>66.219779874213827</v>
      </c>
      <c r="G1366" s="21">
        <v>-0.21057890000000001</v>
      </c>
      <c r="H1366" s="21">
        <v>0.1636553</v>
      </c>
    </row>
    <row r="1367" spans="1:8" x14ac:dyDescent="0.15">
      <c r="A1367" s="21">
        <v>2.6660159999999999E-2</v>
      </c>
      <c r="B1367" s="21">
        <f t="shared" si="42"/>
        <v>0.1962045</v>
      </c>
      <c r="D1367">
        <f t="shared" si="43"/>
        <v>79.340094339622638</v>
      </c>
      <c r="G1367" s="21">
        <v>-0.25230150000000001</v>
      </c>
      <c r="H1367" s="21">
        <v>0.1962045</v>
      </c>
    </row>
    <row r="1368" spans="1:8" x14ac:dyDescent="0.15">
      <c r="A1368" s="21">
        <v>2.6679689999999999E-2</v>
      </c>
      <c r="B1368" s="21">
        <f t="shared" si="42"/>
        <v>0.2214633</v>
      </c>
      <c r="D1368">
        <f t="shared" si="43"/>
        <v>89.403238993710687</v>
      </c>
      <c r="G1368" s="21">
        <v>-0.28430230000000001</v>
      </c>
      <c r="H1368" s="21">
        <v>0.2214633</v>
      </c>
    </row>
    <row r="1369" spans="1:8" x14ac:dyDescent="0.15">
      <c r="A1369" s="21">
        <v>2.6699219999999999E-2</v>
      </c>
      <c r="B1369" s="21">
        <f t="shared" si="42"/>
        <v>0.23925879999999999</v>
      </c>
      <c r="D1369">
        <f t="shared" si="43"/>
        <v>96.592735849056609</v>
      </c>
      <c r="G1369" s="21">
        <v>-0.30716490000000002</v>
      </c>
      <c r="H1369" s="21">
        <v>0.23925879999999999</v>
      </c>
    </row>
    <row r="1370" spans="1:8" x14ac:dyDescent="0.15">
      <c r="A1370" s="21">
        <v>2.6718749999999999E-2</v>
      </c>
      <c r="B1370" s="21">
        <f t="shared" si="42"/>
        <v>0.2494895</v>
      </c>
      <c r="D1370">
        <f t="shared" si="43"/>
        <v>100.79477987421383</v>
      </c>
      <c r="G1370" s="21">
        <v>-0.32052740000000002</v>
      </c>
      <c r="H1370" s="21">
        <v>0.2494895</v>
      </c>
    </row>
    <row r="1371" spans="1:8" x14ac:dyDescent="0.15">
      <c r="A1371" s="21">
        <v>2.673828E-2</v>
      </c>
      <c r="B1371" s="21">
        <f t="shared" si="42"/>
        <v>0.25124570000000002</v>
      </c>
      <c r="D1371">
        <f t="shared" si="43"/>
        <v>101.49088050314464</v>
      </c>
      <c r="G1371" s="21">
        <v>-0.322741</v>
      </c>
      <c r="H1371" s="21">
        <v>0.25124570000000002</v>
      </c>
    </row>
    <row r="1372" spans="1:8" x14ac:dyDescent="0.15">
      <c r="A1372" s="21">
        <v>2.675781E-2</v>
      </c>
      <c r="B1372" s="21">
        <f t="shared" si="42"/>
        <v>0.24445169999999999</v>
      </c>
      <c r="D1372">
        <f t="shared" si="43"/>
        <v>98.754811320754712</v>
      </c>
      <c r="G1372" s="21">
        <v>-0.31404029999999999</v>
      </c>
      <c r="H1372" s="21">
        <v>0.24445169999999999</v>
      </c>
    </row>
    <row r="1373" spans="1:8" x14ac:dyDescent="0.15">
      <c r="A1373" s="21">
        <v>2.677734E-2</v>
      </c>
      <c r="B1373" s="21">
        <f t="shared" si="42"/>
        <v>0.2296781</v>
      </c>
      <c r="D1373">
        <f t="shared" si="43"/>
        <v>92.843081761006275</v>
      </c>
      <c r="G1373" s="21">
        <v>-0.29524099999999998</v>
      </c>
      <c r="H1373" s="21">
        <v>0.2296781</v>
      </c>
    </row>
    <row r="1374" spans="1:8" x14ac:dyDescent="0.15">
      <c r="A1374" s="21">
        <v>2.6796879999999999E-2</v>
      </c>
      <c r="B1374" s="21">
        <f t="shared" si="42"/>
        <v>0.20697309999999999</v>
      </c>
      <c r="D1374">
        <f t="shared" si="43"/>
        <v>83.828993710691805</v>
      </c>
      <c r="G1374" s="21">
        <v>-0.26657619999999999</v>
      </c>
      <c r="H1374" s="21">
        <v>0.20697309999999999</v>
      </c>
    </row>
    <row r="1375" spans="1:8" x14ac:dyDescent="0.15">
      <c r="A1375" s="21">
        <v>2.6816409999999999E-2</v>
      </c>
      <c r="B1375" s="21">
        <f t="shared" si="42"/>
        <v>0.1767581</v>
      </c>
      <c r="D1375">
        <f t="shared" si="43"/>
        <v>71.742232704402511</v>
      </c>
      <c r="G1375" s="21">
        <v>-0.22814029999999999</v>
      </c>
      <c r="H1375" s="21">
        <v>0.1767581</v>
      </c>
    </row>
    <row r="1376" spans="1:8" x14ac:dyDescent="0.15">
      <c r="A1376" s="21">
        <v>2.6835939999999999E-2</v>
      </c>
      <c r="B1376" s="21">
        <f t="shared" si="42"/>
        <v>0.14059679999999999</v>
      </c>
      <c r="D1376">
        <f t="shared" si="43"/>
        <v>57.172610062893078</v>
      </c>
      <c r="G1376" s="21">
        <v>-0.1818089</v>
      </c>
      <c r="H1376" s="21">
        <v>0.14059679999999999</v>
      </c>
    </row>
    <row r="1377" spans="1:8" x14ac:dyDescent="0.15">
      <c r="A1377" s="21">
        <v>2.6855469999999999E-2</v>
      </c>
      <c r="B1377" s="21">
        <f t="shared" si="42"/>
        <v>9.9932950000000006E-2</v>
      </c>
      <c r="D1377">
        <f t="shared" si="43"/>
        <v>40.95754716981132</v>
      </c>
      <c r="G1377" s="21">
        <v>-0.130245</v>
      </c>
      <c r="H1377" s="21">
        <v>9.9932950000000006E-2</v>
      </c>
    </row>
    <row r="1378" spans="1:8" x14ac:dyDescent="0.15">
      <c r="A1378" s="21">
        <v>2.6875E-2</v>
      </c>
      <c r="B1378" s="21">
        <f t="shared" si="42"/>
        <v>5.5847220000000003E-2</v>
      </c>
      <c r="D1378">
        <f t="shared" si="43"/>
        <v>23.350396226415093</v>
      </c>
      <c r="G1378" s="21">
        <v>-7.4254260000000002E-2</v>
      </c>
      <c r="H1378" s="21">
        <v>5.5847220000000003E-2</v>
      </c>
    </row>
    <row r="1379" spans="1:8" x14ac:dyDescent="0.15">
      <c r="A1379" s="21">
        <v>2.689453E-2</v>
      </c>
      <c r="B1379" s="21">
        <f t="shared" si="42"/>
        <v>9.5633130000000004E-3</v>
      </c>
      <c r="D1379">
        <f t="shared" si="43"/>
        <v>4.6843553459119498</v>
      </c>
      <c r="G1379" s="21">
        <v>-1.489625E-2</v>
      </c>
      <c r="H1379" s="21">
        <v>9.5633130000000004E-3</v>
      </c>
    </row>
    <row r="1380" spans="1:8" x14ac:dyDescent="0.15">
      <c r="A1380" s="21">
        <v>2.691406E-2</v>
      </c>
      <c r="B1380" s="21">
        <f t="shared" si="42"/>
        <v>-3.727304E-2</v>
      </c>
      <c r="D1380">
        <f t="shared" si="43"/>
        <v>-14.059248427672953</v>
      </c>
      <c r="G1380" s="21">
        <v>4.4708409999999997E-2</v>
      </c>
      <c r="H1380" s="21">
        <v>-3.727304E-2</v>
      </c>
    </row>
    <row r="1381" spans="1:8" x14ac:dyDescent="0.15">
      <c r="A1381" s="21">
        <v>2.693359E-2</v>
      </c>
      <c r="B1381" s="21">
        <f t="shared" si="42"/>
        <v>-8.2269430000000004E-2</v>
      </c>
      <c r="D1381">
        <f t="shared" si="43"/>
        <v>-31.976477987421386</v>
      </c>
      <c r="G1381" s="21">
        <v>0.1016852</v>
      </c>
      <c r="H1381" s="21">
        <v>-8.2269430000000004E-2</v>
      </c>
    </row>
    <row r="1382" spans="1:8" x14ac:dyDescent="0.15">
      <c r="A1382" s="21">
        <v>2.6953129999999999E-2</v>
      </c>
      <c r="B1382" s="21">
        <f t="shared" si="42"/>
        <v>-0.1244179</v>
      </c>
      <c r="D1382">
        <f t="shared" si="43"/>
        <v>-48.91295597484276</v>
      </c>
      <c r="G1382" s="21">
        <v>0.15554319999999999</v>
      </c>
      <c r="H1382" s="21">
        <v>-0.1244179</v>
      </c>
    </row>
    <row r="1383" spans="1:8" x14ac:dyDescent="0.15">
      <c r="A1383" s="21">
        <v>2.6972659999999999E-2</v>
      </c>
      <c r="B1383" s="21">
        <f t="shared" si="42"/>
        <v>-0.16278400000000001</v>
      </c>
      <c r="D1383">
        <f t="shared" si="43"/>
        <v>-64.320786163522001</v>
      </c>
      <c r="G1383" s="21">
        <v>0.2045401</v>
      </c>
      <c r="H1383" s="21">
        <v>-0.16278400000000001</v>
      </c>
    </row>
    <row r="1384" spans="1:8" x14ac:dyDescent="0.15">
      <c r="A1384" s="21">
        <v>2.6992189999999999E-2</v>
      </c>
      <c r="B1384" s="21">
        <f t="shared" si="42"/>
        <v>-0.19475609999999999</v>
      </c>
      <c r="D1384">
        <f t="shared" si="43"/>
        <v>-77.110283018867918</v>
      </c>
      <c r="G1384" s="21">
        <v>0.2452107</v>
      </c>
      <c r="H1384" s="21">
        <v>-0.19475609999999999</v>
      </c>
    </row>
    <row r="1385" spans="1:8" x14ac:dyDescent="0.15">
      <c r="A1385" s="21">
        <v>2.7011719999999999E-2</v>
      </c>
      <c r="B1385" s="21">
        <f t="shared" si="42"/>
        <v>-0.22045210000000001</v>
      </c>
      <c r="D1385">
        <f t="shared" si="43"/>
        <v>-87.503176100628934</v>
      </c>
      <c r="G1385" s="21">
        <v>0.27826010000000001</v>
      </c>
      <c r="H1385" s="21">
        <v>-0.22045210000000001</v>
      </c>
    </row>
    <row r="1386" spans="1:8" x14ac:dyDescent="0.15">
      <c r="A1386" s="21">
        <v>2.703125E-2</v>
      </c>
      <c r="B1386" s="21">
        <f t="shared" si="42"/>
        <v>-0.23977660000000001</v>
      </c>
      <c r="D1386">
        <f t="shared" si="43"/>
        <v>-95.313144654088063</v>
      </c>
      <c r="G1386" s="21">
        <v>0.30309580000000003</v>
      </c>
      <c r="H1386" s="21">
        <v>-0.23977660000000001</v>
      </c>
    </row>
    <row r="1387" spans="1:8" x14ac:dyDescent="0.15">
      <c r="A1387" s="21">
        <v>2.705078E-2</v>
      </c>
      <c r="B1387" s="21">
        <f t="shared" si="42"/>
        <v>-0.25007099999999999</v>
      </c>
      <c r="D1387">
        <f t="shared" si="43"/>
        <v>-99.421981132075473</v>
      </c>
      <c r="G1387" s="21">
        <v>0.3161619</v>
      </c>
      <c r="H1387" s="21">
        <v>-0.25007099999999999</v>
      </c>
    </row>
    <row r="1388" spans="1:8" x14ac:dyDescent="0.15">
      <c r="A1388" s="21">
        <v>2.707031E-2</v>
      </c>
      <c r="B1388" s="21">
        <f t="shared" si="42"/>
        <v>-0.25204290000000001</v>
      </c>
      <c r="D1388">
        <f t="shared" si="43"/>
        <v>-100.27748427672957</v>
      </c>
      <c r="G1388" s="21">
        <v>0.31888240000000001</v>
      </c>
      <c r="H1388" s="21">
        <v>-0.25204290000000001</v>
      </c>
    </row>
    <row r="1389" spans="1:8" x14ac:dyDescent="0.15">
      <c r="A1389" s="21">
        <v>2.708984E-2</v>
      </c>
      <c r="B1389" s="21">
        <f t="shared" si="42"/>
        <v>-0.2463688</v>
      </c>
      <c r="D1389">
        <f t="shared" si="43"/>
        <v>-98.085817610062875</v>
      </c>
      <c r="G1389" s="21">
        <v>0.31191289999999999</v>
      </c>
      <c r="H1389" s="21">
        <v>-0.2463688</v>
      </c>
    </row>
    <row r="1390" spans="1:8" x14ac:dyDescent="0.15">
      <c r="A1390" s="21">
        <v>2.7109379999999999E-2</v>
      </c>
      <c r="B1390" s="21">
        <f t="shared" si="42"/>
        <v>-0.23157929999999999</v>
      </c>
      <c r="D1390">
        <f t="shared" si="43"/>
        <v>-92.161226415094333</v>
      </c>
      <c r="G1390" s="21">
        <v>0.29307270000000002</v>
      </c>
      <c r="H1390" s="21">
        <v>-0.23157929999999999</v>
      </c>
    </row>
    <row r="1391" spans="1:8" x14ac:dyDescent="0.15">
      <c r="A1391" s="21">
        <v>2.7128909999999999E-2</v>
      </c>
      <c r="B1391" s="21">
        <f t="shared" si="42"/>
        <v>-0.20912359999999999</v>
      </c>
      <c r="D1391">
        <f t="shared" si="43"/>
        <v>-83.185283018867921</v>
      </c>
      <c r="G1391" s="21">
        <v>0.26452920000000002</v>
      </c>
      <c r="H1391" s="21">
        <v>-0.20912359999999999</v>
      </c>
    </row>
    <row r="1392" spans="1:8" x14ac:dyDescent="0.15">
      <c r="A1392" s="21">
        <v>2.7148439999999999E-2</v>
      </c>
      <c r="B1392" s="21">
        <f t="shared" si="42"/>
        <v>-0.18025550000000001</v>
      </c>
      <c r="D1392">
        <f t="shared" si="43"/>
        <v>-71.693993710691814</v>
      </c>
      <c r="G1392" s="21">
        <v>0.22798689999999999</v>
      </c>
      <c r="H1392" s="21">
        <v>-0.18025550000000001</v>
      </c>
    </row>
    <row r="1393" spans="1:8" x14ac:dyDescent="0.15">
      <c r="A1393" s="21">
        <v>2.716797E-2</v>
      </c>
      <c r="B1393" s="21">
        <f t="shared" si="42"/>
        <v>-0.1445215</v>
      </c>
      <c r="D1393">
        <f t="shared" si="43"/>
        <v>-57.384119496855341</v>
      </c>
      <c r="G1393" s="21">
        <v>0.18248149999999999</v>
      </c>
      <c r="H1393" s="21">
        <v>-0.1445215</v>
      </c>
    </row>
    <row r="1394" spans="1:8" x14ac:dyDescent="0.15">
      <c r="A1394" s="21">
        <v>2.71875E-2</v>
      </c>
      <c r="B1394" s="21">
        <f t="shared" si="42"/>
        <v>-0.1039286</v>
      </c>
      <c r="D1394">
        <f t="shared" si="43"/>
        <v>-41.141132075471695</v>
      </c>
      <c r="G1394" s="21">
        <v>0.1308288</v>
      </c>
      <c r="H1394" s="21">
        <v>-0.1039286</v>
      </c>
    </row>
    <row r="1395" spans="1:8" x14ac:dyDescent="0.15">
      <c r="A1395" s="21">
        <v>2.720703E-2</v>
      </c>
      <c r="B1395" s="21">
        <f t="shared" si="42"/>
        <v>-6.0035449999999997E-2</v>
      </c>
      <c r="D1395">
        <f t="shared" si="43"/>
        <v>-23.520993710691826</v>
      </c>
      <c r="G1395" s="21">
        <v>7.4796760000000004E-2</v>
      </c>
      <c r="H1395" s="21">
        <v>-6.0035449999999997E-2</v>
      </c>
    </row>
    <row r="1396" spans="1:8" x14ac:dyDescent="0.15">
      <c r="A1396" s="21">
        <v>2.722656E-2</v>
      </c>
      <c r="B1396" s="21">
        <f t="shared" si="42"/>
        <v>-1.339797E-2</v>
      </c>
      <c r="D1396">
        <f t="shared" si="43"/>
        <v>-4.7385911949685537</v>
      </c>
      <c r="G1396" s="21">
        <v>1.5068720000000001E-2</v>
      </c>
      <c r="H1396" s="21">
        <v>-1.339797E-2</v>
      </c>
    </row>
    <row r="1397" spans="1:8" x14ac:dyDescent="0.15">
      <c r="A1397" s="21">
        <v>2.7246090000000001E-2</v>
      </c>
      <c r="B1397" s="21">
        <f t="shared" si="42"/>
        <v>3.3084429999999998E-2</v>
      </c>
      <c r="D1397">
        <f t="shared" si="43"/>
        <v>13.796377358490565</v>
      </c>
      <c r="G1397" s="21">
        <v>-4.3872479999999998E-2</v>
      </c>
      <c r="H1397" s="21">
        <v>3.3084429999999998E-2</v>
      </c>
    </row>
    <row r="1398" spans="1:8" x14ac:dyDescent="0.15">
      <c r="A1398" s="21">
        <v>2.7265629999999999E-2</v>
      </c>
      <c r="B1398" s="21">
        <f t="shared" si="42"/>
        <v>7.7969140000000006E-2</v>
      </c>
      <c r="D1398">
        <f t="shared" si="43"/>
        <v>31.799905660377355</v>
      </c>
      <c r="G1398" s="21">
        <v>-0.1011237</v>
      </c>
      <c r="H1398" s="21">
        <v>7.7969140000000006E-2</v>
      </c>
    </row>
    <row r="1399" spans="1:8" x14ac:dyDescent="0.15">
      <c r="A1399" s="21">
        <v>2.7285159999999999E-2</v>
      </c>
      <c r="B1399" s="21">
        <f t="shared" si="42"/>
        <v>0.120503</v>
      </c>
      <c r="D1399">
        <f t="shared" si="43"/>
        <v>48.95471698113208</v>
      </c>
      <c r="G1399" s="21">
        <v>-0.15567600000000001</v>
      </c>
      <c r="H1399" s="21">
        <v>0.120503</v>
      </c>
    </row>
    <row r="1400" spans="1:8" x14ac:dyDescent="0.15">
      <c r="A1400" s="21">
        <v>2.730469E-2</v>
      </c>
      <c r="B1400" s="21">
        <f t="shared" si="42"/>
        <v>0.1584623</v>
      </c>
      <c r="D1400">
        <f t="shared" si="43"/>
        <v>64.115723270440256</v>
      </c>
      <c r="G1400" s="21">
        <v>-0.20388800000000001</v>
      </c>
      <c r="H1400" s="21">
        <v>0.1584623</v>
      </c>
    </row>
    <row r="1401" spans="1:8" x14ac:dyDescent="0.15">
      <c r="A1401" s="21">
        <v>2.732422E-2</v>
      </c>
      <c r="B1401" s="21">
        <f t="shared" si="42"/>
        <v>0.19142219999999999</v>
      </c>
      <c r="D1401">
        <f t="shared" si="43"/>
        <v>77.41911949685533</v>
      </c>
      <c r="G1401" s="21">
        <v>-0.24619279999999999</v>
      </c>
      <c r="H1401" s="21">
        <v>0.19142219999999999</v>
      </c>
    </row>
    <row r="1402" spans="1:8" x14ac:dyDescent="0.15">
      <c r="A1402" s="21">
        <v>2.734375E-2</v>
      </c>
      <c r="B1402" s="21">
        <f t="shared" si="42"/>
        <v>0.2183853</v>
      </c>
      <c r="D1402">
        <f t="shared" si="43"/>
        <v>88.279308176100614</v>
      </c>
      <c r="G1402" s="21">
        <v>-0.28072819999999998</v>
      </c>
      <c r="H1402" s="21">
        <v>0.2183853</v>
      </c>
    </row>
    <row r="1403" spans="1:8" x14ac:dyDescent="0.15">
      <c r="A1403" s="21">
        <v>2.736328E-2</v>
      </c>
      <c r="B1403" s="21">
        <f t="shared" si="42"/>
        <v>0.2372107</v>
      </c>
      <c r="D1403">
        <f t="shared" si="43"/>
        <v>95.722987421383635</v>
      </c>
      <c r="G1403" s="21">
        <v>-0.30439909999999998</v>
      </c>
      <c r="H1403" s="21">
        <v>0.2372107</v>
      </c>
    </row>
    <row r="1404" spans="1:8" x14ac:dyDescent="0.15">
      <c r="A1404" s="21">
        <v>2.738281E-2</v>
      </c>
      <c r="B1404" s="21">
        <f t="shared" si="42"/>
        <v>0.24806</v>
      </c>
      <c r="D1404">
        <f t="shared" si="43"/>
        <v>100.17968553459119</v>
      </c>
      <c r="G1404" s="21">
        <v>-0.3185714</v>
      </c>
      <c r="H1404" s="21">
        <v>0.24806</v>
      </c>
    </row>
    <row r="1405" spans="1:8" x14ac:dyDescent="0.15">
      <c r="A1405" s="21">
        <v>2.7402340000000001E-2</v>
      </c>
      <c r="B1405" s="21">
        <f t="shared" si="42"/>
        <v>0.25108989999999998</v>
      </c>
      <c r="D1405">
        <f t="shared" si="43"/>
        <v>101.47072327044025</v>
      </c>
      <c r="G1405" s="21">
        <v>-0.32267689999999999</v>
      </c>
      <c r="H1405" s="21">
        <v>0.25108989999999998</v>
      </c>
    </row>
    <row r="1406" spans="1:8" x14ac:dyDescent="0.15">
      <c r="A1406" s="21">
        <v>2.7421879999999999E-2</v>
      </c>
      <c r="B1406" s="21">
        <f t="shared" si="42"/>
        <v>0.2453893</v>
      </c>
      <c r="D1406">
        <f t="shared" si="43"/>
        <v>99.139591194968546</v>
      </c>
      <c r="G1406" s="21">
        <v>-0.31526389999999999</v>
      </c>
      <c r="H1406" s="21">
        <v>0.2453893</v>
      </c>
    </row>
    <row r="1407" spans="1:8" x14ac:dyDescent="0.15">
      <c r="A1407" s="21">
        <v>2.7441409999999999E-2</v>
      </c>
      <c r="B1407" s="21">
        <f t="shared" si="42"/>
        <v>0.23140769999999999</v>
      </c>
      <c r="D1407">
        <f t="shared" si="43"/>
        <v>93.577264150943392</v>
      </c>
      <c r="G1407" s="21">
        <v>-0.2975757</v>
      </c>
      <c r="H1407" s="21">
        <v>0.23140769999999999</v>
      </c>
    </row>
    <row r="1408" spans="1:8" x14ac:dyDescent="0.15">
      <c r="A1408" s="21">
        <v>2.746094E-2</v>
      </c>
      <c r="B1408" s="21">
        <f t="shared" si="42"/>
        <v>0.209728</v>
      </c>
      <c r="D1408">
        <f t="shared" si="43"/>
        <v>84.877515723270434</v>
      </c>
      <c r="G1408" s="21">
        <v>-0.2699105</v>
      </c>
      <c r="H1408" s="21">
        <v>0.209728</v>
      </c>
    </row>
    <row r="1409" spans="1:8" x14ac:dyDescent="0.15">
      <c r="A1409" s="21">
        <v>2.748047E-2</v>
      </c>
      <c r="B1409" s="21">
        <f t="shared" si="42"/>
        <v>0.1808698</v>
      </c>
      <c r="D1409">
        <f t="shared" si="43"/>
        <v>73.34424528301885</v>
      </c>
      <c r="G1409" s="21">
        <v>-0.23323469999999999</v>
      </c>
      <c r="H1409" s="21">
        <v>0.1808698</v>
      </c>
    </row>
    <row r="1410" spans="1:8" x14ac:dyDescent="0.15">
      <c r="A1410" s="21">
        <v>2.75E-2</v>
      </c>
      <c r="B1410" s="21">
        <f t="shared" ref="B1410:B1473" si="44">H1410</f>
        <v>0.1457891</v>
      </c>
      <c r="D1410">
        <f t="shared" ref="D1410:D1473" si="45">G1410*-1000/3.18</f>
        <v>59.341698113207549</v>
      </c>
      <c r="G1410" s="21">
        <v>-0.1887066</v>
      </c>
      <c r="H1410" s="21">
        <v>0.1457891</v>
      </c>
    </row>
    <row r="1411" spans="1:8" x14ac:dyDescent="0.15">
      <c r="A1411" s="21">
        <v>2.751953E-2</v>
      </c>
      <c r="B1411" s="21">
        <f t="shared" si="44"/>
        <v>0.10522860000000001</v>
      </c>
      <c r="D1411">
        <f t="shared" si="45"/>
        <v>43.074811320754719</v>
      </c>
      <c r="G1411" s="21">
        <v>-0.13697790000000001</v>
      </c>
      <c r="H1411" s="21">
        <v>0.10522860000000001</v>
      </c>
    </row>
    <row r="1412" spans="1:8" x14ac:dyDescent="0.15">
      <c r="A1412" s="21">
        <v>2.7539060000000001E-2</v>
      </c>
      <c r="B1412" s="21">
        <f t="shared" si="44"/>
        <v>6.1194110000000003E-2</v>
      </c>
      <c r="D1412">
        <f t="shared" si="45"/>
        <v>25.489223270440252</v>
      </c>
      <c r="G1412" s="21">
        <v>-8.1055730000000006E-2</v>
      </c>
      <c r="H1412" s="21">
        <v>6.1194110000000003E-2</v>
      </c>
    </row>
    <row r="1413" spans="1:8" x14ac:dyDescent="0.15">
      <c r="A1413" s="21">
        <v>2.7558590000000001E-2</v>
      </c>
      <c r="B1413" s="21">
        <f t="shared" si="44"/>
        <v>1.5156009999999999E-2</v>
      </c>
      <c r="D1413">
        <f t="shared" si="45"/>
        <v>7.0471918238993707</v>
      </c>
      <c r="G1413" s="21">
        <v>-2.2410070000000001E-2</v>
      </c>
      <c r="H1413" s="21">
        <v>1.5156009999999999E-2</v>
      </c>
    </row>
    <row r="1414" spans="1:8" x14ac:dyDescent="0.15">
      <c r="A1414" s="21">
        <v>2.7578129999999999E-2</v>
      </c>
      <c r="B1414" s="21">
        <f t="shared" si="44"/>
        <v>-3.1825630000000001E-2</v>
      </c>
      <c r="D1414">
        <f t="shared" si="45"/>
        <v>-11.78046540880503</v>
      </c>
      <c r="G1414" s="21">
        <v>3.7461880000000003E-2</v>
      </c>
      <c r="H1414" s="21">
        <v>-3.1825630000000001E-2</v>
      </c>
    </row>
    <row r="1415" spans="1:8" x14ac:dyDescent="0.15">
      <c r="A1415" s="21">
        <v>2.759766E-2</v>
      </c>
      <c r="B1415" s="21">
        <f t="shared" si="44"/>
        <v>-7.7114279999999993E-2</v>
      </c>
      <c r="D1415">
        <f t="shared" si="45"/>
        <v>-29.865154088050311</v>
      </c>
      <c r="G1415" s="21">
        <v>9.4971189999999997E-2</v>
      </c>
      <c r="H1415" s="21">
        <v>-7.7114279999999993E-2</v>
      </c>
    </row>
    <row r="1416" spans="1:8" x14ac:dyDescent="0.15">
      <c r="A1416" s="21">
        <v>2.761719E-2</v>
      </c>
      <c r="B1416" s="21">
        <f t="shared" si="44"/>
        <v>-0.1194553</v>
      </c>
      <c r="D1416">
        <f t="shared" si="45"/>
        <v>-46.815125786163527</v>
      </c>
      <c r="G1416" s="21">
        <v>0.14887210000000001</v>
      </c>
      <c r="H1416" s="21">
        <v>-0.1194553</v>
      </c>
    </row>
    <row r="1417" spans="1:8" x14ac:dyDescent="0.15">
      <c r="A1417" s="21">
        <v>2.763672E-2</v>
      </c>
      <c r="B1417" s="21">
        <f t="shared" si="44"/>
        <v>-0.1580337</v>
      </c>
      <c r="D1417">
        <f t="shared" si="45"/>
        <v>-62.344968553459111</v>
      </c>
      <c r="G1417" s="21">
        <v>0.19825699999999999</v>
      </c>
      <c r="H1417" s="21">
        <v>-0.1580337</v>
      </c>
    </row>
    <row r="1418" spans="1:8" x14ac:dyDescent="0.15">
      <c r="A1418" s="21">
        <v>2.765625E-2</v>
      </c>
      <c r="B1418" s="21">
        <f t="shared" si="44"/>
        <v>-0.1911976</v>
      </c>
      <c r="D1418">
        <f t="shared" si="45"/>
        <v>-75.790817610062888</v>
      </c>
      <c r="G1418" s="21">
        <v>0.2410148</v>
      </c>
      <c r="H1418" s="21">
        <v>-0.1911976</v>
      </c>
    </row>
    <row r="1419" spans="1:8" x14ac:dyDescent="0.15">
      <c r="A1419" s="21">
        <v>2.7675780000000001E-2</v>
      </c>
      <c r="B1419" s="21">
        <f t="shared" si="44"/>
        <v>-0.21822250000000001</v>
      </c>
      <c r="D1419">
        <f t="shared" si="45"/>
        <v>-86.621918238993715</v>
      </c>
      <c r="G1419" s="21">
        <v>0.27545770000000003</v>
      </c>
      <c r="H1419" s="21">
        <v>-0.21822250000000001</v>
      </c>
    </row>
    <row r="1420" spans="1:8" x14ac:dyDescent="0.15">
      <c r="A1420" s="21">
        <v>2.7695310000000001E-2</v>
      </c>
      <c r="B1420" s="21">
        <f t="shared" si="44"/>
        <v>-0.23791909999999999</v>
      </c>
      <c r="D1420">
        <f t="shared" si="45"/>
        <v>-94.450251572327048</v>
      </c>
      <c r="G1420" s="21">
        <v>0.3003518</v>
      </c>
      <c r="H1420" s="21">
        <v>-0.23791909999999999</v>
      </c>
    </row>
    <row r="1421" spans="1:8" x14ac:dyDescent="0.15">
      <c r="A1421" s="21">
        <v>2.7714840000000001E-2</v>
      </c>
      <c r="B1421" s="21">
        <f t="shared" si="44"/>
        <v>-0.24936159999999999</v>
      </c>
      <c r="D1421">
        <f t="shared" si="45"/>
        <v>-99.121981132075462</v>
      </c>
      <c r="G1421" s="21">
        <v>0.31520789999999999</v>
      </c>
      <c r="H1421" s="21">
        <v>-0.24936159999999999</v>
      </c>
    </row>
    <row r="1422" spans="1:8" x14ac:dyDescent="0.15">
      <c r="A1422" s="21">
        <v>2.7734379999999999E-2</v>
      </c>
      <c r="B1422" s="21">
        <f t="shared" si="44"/>
        <v>-0.25279879999999999</v>
      </c>
      <c r="D1422">
        <f t="shared" si="45"/>
        <v>-100.5861320754717</v>
      </c>
      <c r="G1422" s="21">
        <v>0.31986389999999998</v>
      </c>
      <c r="H1422" s="21">
        <v>-0.25279879999999999</v>
      </c>
    </row>
    <row r="1423" spans="1:8" x14ac:dyDescent="0.15">
      <c r="A1423" s="21">
        <v>2.775391E-2</v>
      </c>
      <c r="B1423" s="21">
        <f t="shared" si="44"/>
        <v>-0.24772830000000001</v>
      </c>
      <c r="D1423">
        <f t="shared" si="45"/>
        <v>-98.581603773584888</v>
      </c>
      <c r="G1423" s="21">
        <v>0.31348949999999998</v>
      </c>
      <c r="H1423" s="21">
        <v>-0.24772830000000001</v>
      </c>
    </row>
    <row r="1424" spans="1:8" x14ac:dyDescent="0.15">
      <c r="A1424" s="21">
        <v>2.777344E-2</v>
      </c>
      <c r="B1424" s="21">
        <f t="shared" si="44"/>
        <v>-0.23436109999999999</v>
      </c>
      <c r="D1424">
        <f t="shared" si="45"/>
        <v>-93.261383647798723</v>
      </c>
      <c r="G1424" s="21">
        <v>0.29657119999999998</v>
      </c>
      <c r="H1424" s="21">
        <v>-0.23436109999999999</v>
      </c>
    </row>
    <row r="1425" spans="1:8" x14ac:dyDescent="0.15">
      <c r="A1425" s="21">
        <v>2.779297E-2</v>
      </c>
      <c r="B1425" s="21">
        <f t="shared" si="44"/>
        <v>-0.2135647</v>
      </c>
      <c r="D1425">
        <f t="shared" si="45"/>
        <v>-84.98732704402515</v>
      </c>
      <c r="G1425" s="21">
        <v>0.27025969999999999</v>
      </c>
      <c r="H1425" s="21">
        <v>-0.2135647</v>
      </c>
    </row>
    <row r="1426" spans="1:8" x14ac:dyDescent="0.15">
      <c r="A1426" s="21">
        <v>2.78125E-2</v>
      </c>
      <c r="B1426" s="21">
        <f t="shared" si="44"/>
        <v>-0.18488280000000001</v>
      </c>
      <c r="D1426">
        <f t="shared" si="45"/>
        <v>-73.484088050314469</v>
      </c>
      <c r="G1426" s="21">
        <v>0.23367940000000001</v>
      </c>
      <c r="H1426" s="21">
        <v>-0.18488280000000001</v>
      </c>
    </row>
    <row r="1427" spans="1:8" x14ac:dyDescent="0.15">
      <c r="A1427" s="21">
        <v>2.7832030000000001E-2</v>
      </c>
      <c r="B1427" s="21">
        <f t="shared" si="44"/>
        <v>-0.14947579999999999</v>
      </c>
      <c r="D1427">
        <f t="shared" si="45"/>
        <v>-59.3025786163522</v>
      </c>
      <c r="G1427" s="21">
        <v>0.18858220000000001</v>
      </c>
      <c r="H1427" s="21">
        <v>-0.14947579999999999</v>
      </c>
    </row>
    <row r="1428" spans="1:8" x14ac:dyDescent="0.15">
      <c r="A1428" s="21">
        <v>2.7851560000000001E-2</v>
      </c>
      <c r="B1428" s="21">
        <f t="shared" si="44"/>
        <v>-0.1097122</v>
      </c>
      <c r="D1428">
        <f t="shared" si="45"/>
        <v>-43.435094339622644</v>
      </c>
      <c r="G1428" s="21">
        <v>0.13812360000000001</v>
      </c>
      <c r="H1428" s="21">
        <v>-0.1097122</v>
      </c>
    </row>
    <row r="1429" spans="1:8" x14ac:dyDescent="0.15">
      <c r="A1429" s="21">
        <v>2.7871090000000001E-2</v>
      </c>
      <c r="B1429" s="21">
        <f t="shared" si="44"/>
        <v>-6.6333569999999994E-2</v>
      </c>
      <c r="D1429">
        <f t="shared" si="45"/>
        <v>-26.055072327044023</v>
      </c>
      <c r="G1429" s="21">
        <v>8.2855129999999999E-2</v>
      </c>
      <c r="H1429" s="21">
        <v>-6.6333569999999994E-2</v>
      </c>
    </row>
    <row r="1430" spans="1:8" x14ac:dyDescent="0.15">
      <c r="A1430" s="21">
        <v>2.789063E-2</v>
      </c>
      <c r="B1430" s="21">
        <f t="shared" si="44"/>
        <v>-2.0343710000000001E-2</v>
      </c>
      <c r="D1430">
        <f t="shared" si="45"/>
        <v>-7.5520314465408793</v>
      </c>
      <c r="G1430" s="21">
        <v>2.4015459999999999E-2</v>
      </c>
      <c r="H1430" s="21">
        <v>-2.0343710000000001E-2</v>
      </c>
    </row>
    <row r="1431" spans="1:8" x14ac:dyDescent="0.15">
      <c r="A1431" s="21">
        <v>2.791016E-2</v>
      </c>
      <c r="B1431" s="21">
        <f t="shared" si="44"/>
        <v>2.6488609999999999E-2</v>
      </c>
      <c r="D1431">
        <f t="shared" si="45"/>
        <v>11.286603773584904</v>
      </c>
      <c r="G1431" s="21">
        <v>-3.5891399999999997E-2</v>
      </c>
      <c r="H1431" s="21">
        <v>2.6488609999999999E-2</v>
      </c>
    </row>
    <row r="1432" spans="1:8" x14ac:dyDescent="0.15">
      <c r="A1432" s="21">
        <v>2.792969E-2</v>
      </c>
      <c r="B1432" s="21">
        <f t="shared" si="44"/>
        <v>7.2246309999999994E-2</v>
      </c>
      <c r="D1432">
        <f t="shared" si="45"/>
        <v>29.538377358490564</v>
      </c>
      <c r="G1432" s="21">
        <v>-9.3932039999999994E-2</v>
      </c>
      <c r="H1432" s="21">
        <v>7.2246309999999994E-2</v>
      </c>
    </row>
    <row r="1433" spans="1:8" x14ac:dyDescent="0.15">
      <c r="A1433" s="21">
        <v>2.794922E-2</v>
      </c>
      <c r="B1433" s="21">
        <f t="shared" si="44"/>
        <v>0.1153864</v>
      </c>
      <c r="D1433">
        <f t="shared" si="45"/>
        <v>46.79544025157233</v>
      </c>
      <c r="G1433" s="21">
        <v>-0.14880950000000001</v>
      </c>
      <c r="H1433" s="21">
        <v>0.1153864</v>
      </c>
    </row>
    <row r="1434" spans="1:8" x14ac:dyDescent="0.15">
      <c r="A1434" s="21">
        <v>2.7968750000000001E-2</v>
      </c>
      <c r="B1434" s="21">
        <f t="shared" si="44"/>
        <v>0.15442649999999999</v>
      </c>
      <c r="D1434">
        <f t="shared" si="45"/>
        <v>62.562138364779869</v>
      </c>
      <c r="G1434" s="21">
        <v>-0.1989476</v>
      </c>
      <c r="H1434" s="21">
        <v>0.15442649999999999</v>
      </c>
    </row>
    <row r="1435" spans="1:8" x14ac:dyDescent="0.15">
      <c r="A1435" s="21">
        <v>2.7988280000000001E-2</v>
      </c>
      <c r="B1435" s="21">
        <f t="shared" si="44"/>
        <v>0.18739410000000001</v>
      </c>
      <c r="D1435">
        <f t="shared" si="45"/>
        <v>75.766069182389927</v>
      </c>
      <c r="G1435" s="21">
        <v>-0.24093609999999999</v>
      </c>
      <c r="H1435" s="21">
        <v>0.18739410000000001</v>
      </c>
    </row>
    <row r="1436" spans="1:8" x14ac:dyDescent="0.15">
      <c r="A1436" s="21">
        <v>2.8007810000000001E-2</v>
      </c>
      <c r="B1436" s="21">
        <f t="shared" si="44"/>
        <v>0.214416</v>
      </c>
      <c r="D1436">
        <f t="shared" si="45"/>
        <v>86.613459119496838</v>
      </c>
      <c r="G1436" s="21">
        <v>-0.27543079999999998</v>
      </c>
      <c r="H1436" s="21">
        <v>0.214416</v>
      </c>
    </row>
    <row r="1437" spans="1:8" x14ac:dyDescent="0.15">
      <c r="A1437" s="21">
        <v>2.8027340000000001E-2</v>
      </c>
      <c r="B1437" s="21">
        <f t="shared" si="44"/>
        <v>0.23529929999999999</v>
      </c>
      <c r="D1437">
        <f t="shared" si="45"/>
        <v>95.056415094339599</v>
      </c>
      <c r="G1437" s="21">
        <v>-0.30227939999999998</v>
      </c>
      <c r="H1437" s="21">
        <v>0.23529929999999999</v>
      </c>
    </row>
    <row r="1438" spans="1:8" x14ac:dyDescent="0.15">
      <c r="A1438" s="21">
        <v>2.8046870000000002E-2</v>
      </c>
      <c r="B1438" s="21">
        <f t="shared" si="44"/>
        <v>0.24763760000000001</v>
      </c>
      <c r="D1438">
        <f t="shared" si="45"/>
        <v>99.980534591194967</v>
      </c>
      <c r="G1438" s="21">
        <v>-0.3179381</v>
      </c>
      <c r="H1438" s="21">
        <v>0.24763760000000001</v>
      </c>
    </row>
    <row r="1439" spans="1:8" x14ac:dyDescent="0.15">
      <c r="A1439" s="21">
        <v>2.806641E-2</v>
      </c>
      <c r="B1439" s="21">
        <f t="shared" si="44"/>
        <v>0.2514556</v>
      </c>
      <c r="D1439">
        <f t="shared" si="45"/>
        <v>101.55238993710691</v>
      </c>
      <c r="G1439" s="21">
        <v>-0.32293660000000002</v>
      </c>
      <c r="H1439" s="21">
        <v>0.2514556</v>
      </c>
    </row>
    <row r="1440" spans="1:8" x14ac:dyDescent="0.15">
      <c r="A1440" s="21">
        <v>2.808594E-2</v>
      </c>
      <c r="B1440" s="21">
        <f t="shared" si="44"/>
        <v>0.24711069999999999</v>
      </c>
      <c r="D1440">
        <f t="shared" si="45"/>
        <v>99.850911949685539</v>
      </c>
      <c r="G1440" s="21">
        <v>-0.31752590000000003</v>
      </c>
      <c r="H1440" s="21">
        <v>0.24711069999999999</v>
      </c>
    </row>
    <row r="1441" spans="1:8" x14ac:dyDescent="0.15">
      <c r="A1441" s="21">
        <v>2.810547E-2</v>
      </c>
      <c r="B1441" s="21">
        <f t="shared" si="44"/>
        <v>0.23400940000000001</v>
      </c>
      <c r="D1441">
        <f t="shared" si="45"/>
        <v>94.637578616352187</v>
      </c>
      <c r="G1441" s="21">
        <v>-0.30094749999999998</v>
      </c>
      <c r="H1441" s="21">
        <v>0.23400940000000001</v>
      </c>
    </row>
    <row r="1442" spans="1:8" x14ac:dyDescent="0.15">
      <c r="A1442" s="21">
        <v>2.8125000000000001E-2</v>
      </c>
      <c r="B1442" s="21">
        <f t="shared" si="44"/>
        <v>0.21320330000000001</v>
      </c>
      <c r="D1442">
        <f t="shared" si="45"/>
        <v>86.318364779874216</v>
      </c>
      <c r="G1442" s="21">
        <v>-0.27449240000000003</v>
      </c>
      <c r="H1442" s="21">
        <v>0.21320330000000001</v>
      </c>
    </row>
    <row r="1443" spans="1:8" x14ac:dyDescent="0.15">
      <c r="A1443" s="21">
        <v>2.8144530000000001E-2</v>
      </c>
      <c r="B1443" s="21">
        <f t="shared" si="44"/>
        <v>0.18505289999999999</v>
      </c>
      <c r="D1443">
        <f t="shared" si="45"/>
        <v>75.036792452830184</v>
      </c>
      <c r="G1443" s="21">
        <v>-0.238617</v>
      </c>
      <c r="H1443" s="21">
        <v>0.18505289999999999</v>
      </c>
    </row>
    <row r="1444" spans="1:8" x14ac:dyDescent="0.15">
      <c r="A1444" s="21">
        <v>2.8164060000000001E-2</v>
      </c>
      <c r="B1444" s="21">
        <f t="shared" si="44"/>
        <v>0.15085699999999999</v>
      </c>
      <c r="D1444">
        <f t="shared" si="45"/>
        <v>61.455691823899372</v>
      </c>
      <c r="G1444" s="21">
        <v>-0.19542909999999999</v>
      </c>
      <c r="H1444" s="21">
        <v>0.15085699999999999</v>
      </c>
    </row>
    <row r="1445" spans="1:8" x14ac:dyDescent="0.15">
      <c r="A1445" s="21">
        <v>2.8183590000000001E-2</v>
      </c>
      <c r="B1445" s="21">
        <f t="shared" si="44"/>
        <v>0.1118045</v>
      </c>
      <c r="D1445">
        <f t="shared" si="45"/>
        <v>45.756918238993713</v>
      </c>
      <c r="G1445" s="21">
        <v>-0.145507</v>
      </c>
      <c r="H1445" s="21">
        <v>0.1118045</v>
      </c>
    </row>
    <row r="1446" spans="1:8" x14ac:dyDescent="0.15">
      <c r="A1446" s="21">
        <v>2.8203120000000002E-2</v>
      </c>
      <c r="B1446" s="21">
        <f t="shared" si="44"/>
        <v>6.7652610000000002E-2</v>
      </c>
      <c r="D1446">
        <f t="shared" si="45"/>
        <v>27.986191823899368</v>
      </c>
      <c r="G1446" s="21">
        <v>-8.899609E-2</v>
      </c>
      <c r="H1446" s="21">
        <v>6.7652610000000002E-2</v>
      </c>
    </row>
    <row r="1447" spans="1:8" x14ac:dyDescent="0.15">
      <c r="A1447" s="21">
        <v>2.822266E-2</v>
      </c>
      <c r="B1447" s="21">
        <f t="shared" si="44"/>
        <v>2.1541859999999999E-2</v>
      </c>
      <c r="D1447">
        <f t="shared" si="45"/>
        <v>9.656723270440251</v>
      </c>
      <c r="G1447" s="21">
        <v>-3.070838E-2</v>
      </c>
      <c r="H1447" s="21">
        <v>2.1541859999999999E-2</v>
      </c>
    </row>
    <row r="1448" spans="1:8" x14ac:dyDescent="0.15">
      <c r="A1448" s="21">
        <v>2.824219E-2</v>
      </c>
      <c r="B1448" s="21">
        <f t="shared" si="44"/>
        <v>-2.48221E-2</v>
      </c>
      <c r="D1448">
        <f t="shared" si="45"/>
        <v>-8.909349056603773</v>
      </c>
      <c r="G1448" s="21">
        <v>2.8331729999999999E-2</v>
      </c>
      <c r="H1448" s="21">
        <v>-2.48221E-2</v>
      </c>
    </row>
    <row r="1449" spans="1:8" x14ac:dyDescent="0.15">
      <c r="A1449" s="21">
        <v>2.8261720000000001E-2</v>
      </c>
      <c r="B1449" s="21">
        <f t="shared" si="44"/>
        <v>-7.1102479999999996E-2</v>
      </c>
      <c r="D1449">
        <f t="shared" si="45"/>
        <v>-27.489716981132073</v>
      </c>
      <c r="G1449" s="21">
        <v>8.7417300000000003E-2</v>
      </c>
      <c r="H1449" s="21">
        <v>-7.1102479999999996E-2</v>
      </c>
    </row>
    <row r="1450" spans="1:8" x14ac:dyDescent="0.15">
      <c r="A1450" s="21">
        <v>2.8281250000000001E-2</v>
      </c>
      <c r="B1450" s="21">
        <f t="shared" si="44"/>
        <v>-0.1138439</v>
      </c>
      <c r="D1450">
        <f t="shared" si="45"/>
        <v>-44.589528301886794</v>
      </c>
      <c r="G1450" s="21">
        <v>0.1417947</v>
      </c>
      <c r="H1450" s="21">
        <v>-0.1138439</v>
      </c>
    </row>
    <row r="1451" spans="1:8" x14ac:dyDescent="0.15">
      <c r="A1451" s="21">
        <v>2.8300780000000001E-2</v>
      </c>
      <c r="B1451" s="21">
        <f t="shared" si="44"/>
        <v>-0.15231520000000001</v>
      </c>
      <c r="D1451">
        <f t="shared" si="45"/>
        <v>-60.060943396226413</v>
      </c>
      <c r="G1451" s="21">
        <v>0.19099379999999999</v>
      </c>
      <c r="H1451" s="21">
        <v>-0.15231520000000001</v>
      </c>
    </row>
    <row r="1452" spans="1:8" x14ac:dyDescent="0.15">
      <c r="A1452" s="21">
        <v>2.8320310000000001E-2</v>
      </c>
      <c r="B1452" s="21">
        <f t="shared" si="44"/>
        <v>-0.18633549999999999</v>
      </c>
      <c r="D1452">
        <f t="shared" si="45"/>
        <v>-73.706352201257857</v>
      </c>
      <c r="G1452" s="21">
        <v>0.23438619999999999</v>
      </c>
      <c r="H1452" s="21">
        <v>-0.18633549999999999</v>
      </c>
    </row>
    <row r="1453" spans="1:8" x14ac:dyDescent="0.15">
      <c r="A1453" s="21">
        <v>2.8339840000000002E-2</v>
      </c>
      <c r="B1453" s="21">
        <f t="shared" si="44"/>
        <v>-0.21418970000000001</v>
      </c>
      <c r="D1453">
        <f t="shared" si="45"/>
        <v>-84.917641509433949</v>
      </c>
      <c r="G1453" s="21">
        <v>0.2700381</v>
      </c>
      <c r="H1453" s="21">
        <v>-0.21418970000000001</v>
      </c>
    </row>
    <row r="1454" spans="1:8" x14ac:dyDescent="0.15">
      <c r="A1454" s="21">
        <v>2.8359369999999998E-2</v>
      </c>
      <c r="B1454" s="21">
        <f t="shared" si="44"/>
        <v>-0.23558570000000001</v>
      </c>
      <c r="D1454">
        <f t="shared" si="45"/>
        <v>-93.531792452830189</v>
      </c>
      <c r="G1454" s="21">
        <v>0.2974311</v>
      </c>
      <c r="H1454" s="21">
        <v>-0.23558570000000001</v>
      </c>
    </row>
    <row r="1455" spans="1:8" x14ac:dyDescent="0.15">
      <c r="A1455" s="21">
        <v>2.837891E-2</v>
      </c>
      <c r="B1455" s="21">
        <f t="shared" si="44"/>
        <v>-0.24844459999999999</v>
      </c>
      <c r="D1455">
        <f t="shared" si="45"/>
        <v>-98.663238993710692</v>
      </c>
      <c r="G1455" s="21">
        <v>0.3137491</v>
      </c>
      <c r="H1455" s="21">
        <v>-0.24844459999999999</v>
      </c>
    </row>
    <row r="1456" spans="1:8" x14ac:dyDescent="0.15">
      <c r="A1456" s="21">
        <v>2.839844E-2</v>
      </c>
      <c r="B1456" s="21">
        <f t="shared" si="44"/>
        <v>-0.25211080000000002</v>
      </c>
      <c r="D1456">
        <f t="shared" si="45"/>
        <v>-100.2733962264151</v>
      </c>
      <c r="G1456" s="21">
        <v>0.31886940000000003</v>
      </c>
      <c r="H1456" s="21">
        <v>-0.25211080000000002</v>
      </c>
    </row>
    <row r="1457" spans="1:8" x14ac:dyDescent="0.15">
      <c r="A1457" s="21">
        <v>2.8417970000000001E-2</v>
      </c>
      <c r="B1457" s="21">
        <f t="shared" si="44"/>
        <v>-0.2484083</v>
      </c>
      <c r="D1457">
        <f t="shared" si="45"/>
        <v>-98.904119496855344</v>
      </c>
      <c r="G1457" s="21">
        <v>0.31451509999999999</v>
      </c>
      <c r="H1457" s="21">
        <v>-0.2484083</v>
      </c>
    </row>
    <row r="1458" spans="1:8" x14ac:dyDescent="0.15">
      <c r="A1458" s="21">
        <v>2.8437500000000001E-2</v>
      </c>
      <c r="B1458" s="21">
        <f t="shared" si="44"/>
        <v>-0.23604749999999999</v>
      </c>
      <c r="D1458">
        <f t="shared" si="45"/>
        <v>-93.934339622641517</v>
      </c>
      <c r="G1458" s="21">
        <v>0.29871120000000001</v>
      </c>
      <c r="H1458" s="21">
        <v>-0.23604749999999999</v>
      </c>
    </row>
    <row r="1459" spans="1:8" x14ac:dyDescent="0.15">
      <c r="A1459" s="21">
        <v>2.8457030000000001E-2</v>
      </c>
      <c r="B1459" s="21">
        <f t="shared" si="44"/>
        <v>-0.2153959</v>
      </c>
      <c r="D1459">
        <f t="shared" si="45"/>
        <v>-85.676132075471685</v>
      </c>
      <c r="G1459" s="21">
        <v>0.27245009999999997</v>
      </c>
      <c r="H1459" s="21">
        <v>-0.2153959</v>
      </c>
    </row>
    <row r="1460" spans="1:8" x14ac:dyDescent="0.15">
      <c r="A1460" s="21">
        <v>2.8476560000000001E-2</v>
      </c>
      <c r="B1460" s="21">
        <f t="shared" si="44"/>
        <v>-0.18873989999999999</v>
      </c>
      <c r="D1460">
        <f t="shared" si="45"/>
        <v>-75.06896226415094</v>
      </c>
      <c r="G1460" s="21">
        <v>0.2387193</v>
      </c>
      <c r="H1460" s="21">
        <v>-0.18873989999999999</v>
      </c>
    </row>
    <row r="1461" spans="1:8" x14ac:dyDescent="0.15">
      <c r="A1461" s="21">
        <v>2.8496090000000002E-2</v>
      </c>
      <c r="B1461" s="21">
        <f t="shared" si="44"/>
        <v>-0.15470349999999999</v>
      </c>
      <c r="D1461">
        <f t="shared" si="45"/>
        <v>-61.449654088050309</v>
      </c>
      <c r="G1461" s="21">
        <v>0.1954099</v>
      </c>
      <c r="H1461" s="21">
        <v>-0.15470349999999999</v>
      </c>
    </row>
    <row r="1462" spans="1:8" x14ac:dyDescent="0.15">
      <c r="A1462" s="21">
        <v>2.8515619999999998E-2</v>
      </c>
      <c r="B1462" s="21">
        <f t="shared" si="44"/>
        <v>-0.1145318</v>
      </c>
      <c r="D1462">
        <f t="shared" si="45"/>
        <v>-45.326132075471698</v>
      </c>
      <c r="G1462" s="21">
        <v>0.14413709999999999</v>
      </c>
      <c r="H1462" s="21">
        <v>-0.1145318</v>
      </c>
    </row>
    <row r="1463" spans="1:8" x14ac:dyDescent="0.15">
      <c r="A1463" s="21">
        <v>2.853516E-2</v>
      </c>
      <c r="B1463" s="21">
        <f t="shared" si="44"/>
        <v>-7.1630280000000005E-2</v>
      </c>
      <c r="D1463">
        <f t="shared" si="45"/>
        <v>-28.221625786163521</v>
      </c>
      <c r="G1463" s="21">
        <v>8.9744770000000001E-2</v>
      </c>
      <c r="H1463" s="21">
        <v>-7.1630280000000005E-2</v>
      </c>
    </row>
    <row r="1464" spans="1:8" x14ac:dyDescent="0.15">
      <c r="A1464" s="21">
        <v>2.8554690000000001E-2</v>
      </c>
      <c r="B1464" s="21">
        <f t="shared" si="44"/>
        <v>-2.6044390000000001E-2</v>
      </c>
      <c r="D1464">
        <f t="shared" si="45"/>
        <v>-9.9108553459119495</v>
      </c>
      <c r="G1464" s="21">
        <v>3.1516519999999999E-2</v>
      </c>
      <c r="H1464" s="21">
        <v>-2.6044390000000001E-2</v>
      </c>
    </row>
    <row r="1465" spans="1:8" x14ac:dyDescent="0.15">
      <c r="A1465" s="21">
        <v>2.8574220000000001E-2</v>
      </c>
      <c r="B1465" s="21">
        <f t="shared" si="44"/>
        <v>2.0951600000000001E-2</v>
      </c>
      <c r="D1465">
        <f t="shared" si="45"/>
        <v>9.0509622641509431</v>
      </c>
      <c r="G1465" s="21">
        <v>-2.8782060000000002E-2</v>
      </c>
      <c r="H1465" s="21">
        <v>2.0951600000000001E-2</v>
      </c>
    </row>
    <row r="1466" spans="1:8" x14ac:dyDescent="0.15">
      <c r="A1466" s="21">
        <v>2.8593750000000001E-2</v>
      </c>
      <c r="B1466" s="21">
        <f t="shared" si="44"/>
        <v>6.6804290000000002E-2</v>
      </c>
      <c r="D1466">
        <f t="shared" si="45"/>
        <v>27.34630188679245</v>
      </c>
      <c r="G1466" s="21">
        <v>-8.6961239999999995E-2</v>
      </c>
      <c r="H1466" s="21">
        <v>6.6804290000000002E-2</v>
      </c>
    </row>
    <row r="1467" spans="1:8" x14ac:dyDescent="0.15">
      <c r="A1467" s="21">
        <v>2.8613280000000001E-2</v>
      </c>
      <c r="B1467" s="21">
        <f t="shared" si="44"/>
        <v>0.10982939999999999</v>
      </c>
      <c r="D1467">
        <f t="shared" si="45"/>
        <v>44.554213836477977</v>
      </c>
      <c r="G1467" s="21">
        <v>-0.14168239999999999</v>
      </c>
      <c r="H1467" s="21">
        <v>0.10982939999999999</v>
      </c>
    </row>
    <row r="1468" spans="1:8" x14ac:dyDescent="0.15">
      <c r="A1468" s="21">
        <v>2.8632810000000002E-2</v>
      </c>
      <c r="B1468" s="21">
        <f t="shared" si="44"/>
        <v>0.14896999999999999</v>
      </c>
      <c r="D1468">
        <f t="shared" si="45"/>
        <v>60.306132075471702</v>
      </c>
      <c r="G1468" s="21">
        <v>-0.19177350000000001</v>
      </c>
      <c r="H1468" s="21">
        <v>0.14896999999999999</v>
      </c>
    </row>
    <row r="1469" spans="1:8" x14ac:dyDescent="0.15">
      <c r="A1469" s="21">
        <v>2.8652339999999998E-2</v>
      </c>
      <c r="B1469" s="21">
        <f t="shared" si="44"/>
        <v>0.18378520000000001</v>
      </c>
      <c r="D1469">
        <f t="shared" si="45"/>
        <v>74.32597484276728</v>
      </c>
      <c r="G1469" s="21">
        <v>-0.2363566</v>
      </c>
      <c r="H1469" s="21">
        <v>0.18378520000000001</v>
      </c>
    </row>
    <row r="1470" spans="1:8" x14ac:dyDescent="0.15">
      <c r="A1470" s="21">
        <v>2.8671869999999999E-2</v>
      </c>
      <c r="B1470" s="21">
        <f t="shared" si="44"/>
        <v>0.21228269999999999</v>
      </c>
      <c r="D1470">
        <f t="shared" si="45"/>
        <v>85.769811320754712</v>
      </c>
      <c r="G1470" s="21">
        <v>-0.27274799999999999</v>
      </c>
      <c r="H1470" s="21">
        <v>0.21228269999999999</v>
      </c>
    </row>
    <row r="1471" spans="1:8" x14ac:dyDescent="0.15">
      <c r="A1471" s="21">
        <v>2.8691410000000001E-2</v>
      </c>
      <c r="B1471" s="21">
        <f t="shared" si="44"/>
        <v>0.23298269999999999</v>
      </c>
      <c r="D1471">
        <f t="shared" si="45"/>
        <v>93.995283018867909</v>
      </c>
      <c r="G1471" s="21">
        <v>-0.29890499999999998</v>
      </c>
      <c r="H1471" s="21">
        <v>0.23298269999999999</v>
      </c>
    </row>
    <row r="1472" spans="1:8" x14ac:dyDescent="0.15">
      <c r="A1472" s="21">
        <v>2.8710940000000001E-2</v>
      </c>
      <c r="B1472" s="21">
        <f t="shared" si="44"/>
        <v>0.24622920000000001</v>
      </c>
      <c r="D1472">
        <f t="shared" si="45"/>
        <v>99.392452830188688</v>
      </c>
      <c r="G1472" s="21">
        <v>-0.31606800000000002</v>
      </c>
      <c r="H1472" s="21">
        <v>0.24622920000000001</v>
      </c>
    </row>
    <row r="1473" spans="1:8" x14ac:dyDescent="0.15">
      <c r="A1473" s="21">
        <v>2.8730470000000001E-2</v>
      </c>
      <c r="B1473" s="21">
        <f t="shared" si="44"/>
        <v>0.25132280000000001</v>
      </c>
      <c r="D1473">
        <f t="shared" si="45"/>
        <v>101.57216981132075</v>
      </c>
      <c r="G1473" s="21">
        <v>-0.32299949999999999</v>
      </c>
      <c r="H1473" s="21">
        <v>0.25132280000000001</v>
      </c>
    </row>
    <row r="1474" spans="1:8" x14ac:dyDescent="0.15">
      <c r="A1474" s="21">
        <v>2.8750000000000001E-2</v>
      </c>
      <c r="B1474" s="21">
        <f t="shared" ref="B1474:B1537" si="46">H1474</f>
        <v>0.24778539999999999</v>
      </c>
      <c r="D1474">
        <f t="shared" ref="D1474:D1537" si="47">G1474*-1000/3.18</f>
        <v>100.12179245283018</v>
      </c>
      <c r="G1474" s="21">
        <v>-0.31838729999999998</v>
      </c>
      <c r="H1474" s="21">
        <v>0.24778539999999999</v>
      </c>
    </row>
    <row r="1475" spans="1:8" x14ac:dyDescent="0.15">
      <c r="A1475" s="21">
        <v>2.8769530000000001E-2</v>
      </c>
      <c r="B1475" s="21">
        <f t="shared" si="46"/>
        <v>0.2363026</v>
      </c>
      <c r="D1475">
        <f t="shared" si="47"/>
        <v>95.556289308176105</v>
      </c>
      <c r="G1475" s="21">
        <v>-0.303869</v>
      </c>
      <c r="H1475" s="21">
        <v>0.2363026</v>
      </c>
    </row>
    <row r="1476" spans="1:8" x14ac:dyDescent="0.15">
      <c r="A1476" s="21">
        <v>2.8789060000000002E-2</v>
      </c>
      <c r="B1476" s="21">
        <f t="shared" si="46"/>
        <v>0.21683649999999999</v>
      </c>
      <c r="D1476">
        <f t="shared" si="47"/>
        <v>87.756729559748422</v>
      </c>
      <c r="G1476" s="21">
        <v>-0.27906639999999999</v>
      </c>
      <c r="H1476" s="21">
        <v>0.21683649999999999</v>
      </c>
    </row>
    <row r="1477" spans="1:8" x14ac:dyDescent="0.15">
      <c r="A1477" s="21">
        <v>2.8808589999999999E-2</v>
      </c>
      <c r="B1477" s="21">
        <f t="shared" si="46"/>
        <v>0.18952279999999999</v>
      </c>
      <c r="D1477">
        <f t="shared" si="47"/>
        <v>76.745974842767296</v>
      </c>
      <c r="G1477" s="21">
        <v>-0.2440522</v>
      </c>
      <c r="H1477" s="21">
        <v>0.18952279999999999</v>
      </c>
    </row>
    <row r="1478" spans="1:8" x14ac:dyDescent="0.15">
      <c r="A1478" s="21">
        <v>2.8828119999999999E-2</v>
      </c>
      <c r="B1478" s="21">
        <f t="shared" si="46"/>
        <v>0.15563260000000001</v>
      </c>
      <c r="D1478">
        <f t="shared" si="47"/>
        <v>63.286509433962252</v>
      </c>
      <c r="G1478" s="21">
        <v>-0.20125109999999999</v>
      </c>
      <c r="H1478" s="21">
        <v>0.15563260000000001</v>
      </c>
    </row>
    <row r="1479" spans="1:8" x14ac:dyDescent="0.15">
      <c r="A1479" s="21">
        <v>2.8847660000000001E-2</v>
      </c>
      <c r="B1479" s="21">
        <f t="shared" si="46"/>
        <v>0.1165636</v>
      </c>
      <c r="D1479">
        <f t="shared" si="47"/>
        <v>47.652327044025157</v>
      </c>
      <c r="G1479" s="21">
        <v>-0.15153440000000001</v>
      </c>
      <c r="H1479" s="21">
        <v>0.1165636</v>
      </c>
    </row>
    <row r="1480" spans="1:8" x14ac:dyDescent="0.15">
      <c r="A1480" s="21">
        <v>2.8867190000000001E-2</v>
      </c>
      <c r="B1480" s="21">
        <f t="shared" si="46"/>
        <v>7.3394989999999993E-2</v>
      </c>
      <c r="D1480">
        <f t="shared" si="47"/>
        <v>30.261779874213836</v>
      </c>
      <c r="G1480" s="21">
        <v>-9.6232460000000006E-2</v>
      </c>
      <c r="H1480" s="21">
        <v>7.3394989999999993E-2</v>
      </c>
    </row>
    <row r="1481" spans="1:8" x14ac:dyDescent="0.15">
      <c r="A1481" s="21">
        <v>2.8886720000000001E-2</v>
      </c>
      <c r="B1481" s="21">
        <f t="shared" si="46"/>
        <v>2.764318E-2</v>
      </c>
      <c r="D1481">
        <f t="shared" si="47"/>
        <v>11.986364779874211</v>
      </c>
      <c r="G1481" s="21">
        <v>-3.811664E-2</v>
      </c>
      <c r="H1481" s="21">
        <v>2.764318E-2</v>
      </c>
    </row>
    <row r="1482" spans="1:8" x14ac:dyDescent="0.15">
      <c r="A1482" s="21">
        <v>2.8906250000000001E-2</v>
      </c>
      <c r="B1482" s="21">
        <f t="shared" si="46"/>
        <v>-1.88814E-2</v>
      </c>
      <c r="D1482">
        <f t="shared" si="47"/>
        <v>-6.6238333333333319</v>
      </c>
      <c r="G1482" s="21">
        <v>2.1063789999999999E-2</v>
      </c>
      <c r="H1482" s="21">
        <v>-1.88814E-2</v>
      </c>
    </row>
    <row r="1483" spans="1:8" x14ac:dyDescent="0.15">
      <c r="A1483" s="21">
        <v>2.8925780000000002E-2</v>
      </c>
      <c r="B1483" s="21">
        <f t="shared" si="46"/>
        <v>-6.4783930000000003E-2</v>
      </c>
      <c r="D1483">
        <f t="shared" si="47"/>
        <v>-24.976591194968552</v>
      </c>
      <c r="G1483" s="21">
        <v>7.9425560000000006E-2</v>
      </c>
      <c r="H1483" s="21">
        <v>-6.4783930000000003E-2</v>
      </c>
    </row>
    <row r="1484" spans="1:8" x14ac:dyDescent="0.15">
      <c r="A1484" s="21">
        <v>2.8945309999999998E-2</v>
      </c>
      <c r="B1484" s="21">
        <f t="shared" si="46"/>
        <v>-0.10819090000000001</v>
      </c>
      <c r="D1484">
        <f t="shared" si="47"/>
        <v>-42.33672955974842</v>
      </c>
      <c r="G1484" s="21">
        <v>0.13463079999999999</v>
      </c>
      <c r="H1484" s="21">
        <v>-0.10819090000000001</v>
      </c>
    </row>
    <row r="1485" spans="1:8" x14ac:dyDescent="0.15">
      <c r="A1485" s="21">
        <v>2.8964839999999999E-2</v>
      </c>
      <c r="B1485" s="21">
        <f t="shared" si="46"/>
        <v>-0.14778359999999999</v>
      </c>
      <c r="D1485">
        <f t="shared" si="47"/>
        <v>-58.313773584905661</v>
      </c>
      <c r="G1485" s="21">
        <v>0.18543780000000001</v>
      </c>
      <c r="H1485" s="21">
        <v>-0.14778359999999999</v>
      </c>
    </row>
    <row r="1486" spans="1:8" x14ac:dyDescent="0.15">
      <c r="A1486" s="21">
        <v>2.8984369999999999E-2</v>
      </c>
      <c r="B1486" s="21">
        <f t="shared" si="46"/>
        <v>-0.18263460000000001</v>
      </c>
      <c r="D1486">
        <f t="shared" si="47"/>
        <v>-72.307641509433964</v>
      </c>
      <c r="G1486" s="21">
        <v>0.22993830000000001</v>
      </c>
      <c r="H1486" s="21">
        <v>-0.18263460000000001</v>
      </c>
    </row>
    <row r="1487" spans="1:8" x14ac:dyDescent="0.15">
      <c r="A1487" s="21">
        <v>2.9003910000000001E-2</v>
      </c>
      <c r="B1487" s="21">
        <f t="shared" si="46"/>
        <v>-0.21124780000000001</v>
      </c>
      <c r="D1487">
        <f t="shared" si="47"/>
        <v>-83.755157232704406</v>
      </c>
      <c r="G1487" s="21">
        <v>0.26634140000000001</v>
      </c>
      <c r="H1487" s="21">
        <v>-0.21124780000000001</v>
      </c>
    </row>
    <row r="1488" spans="1:8" x14ac:dyDescent="0.15">
      <c r="A1488" s="21">
        <v>2.9023440000000001E-2</v>
      </c>
      <c r="B1488" s="21">
        <f t="shared" si="46"/>
        <v>-0.23310800000000001</v>
      </c>
      <c r="D1488">
        <f t="shared" si="47"/>
        <v>-92.627704402515718</v>
      </c>
      <c r="G1488" s="21">
        <v>0.29455609999999999</v>
      </c>
      <c r="H1488" s="21">
        <v>-0.23310800000000001</v>
      </c>
    </row>
    <row r="1489" spans="1:8" x14ac:dyDescent="0.15">
      <c r="A1489" s="21">
        <v>2.9042970000000001E-2</v>
      </c>
      <c r="B1489" s="21">
        <f t="shared" si="46"/>
        <v>-0.24694050000000001</v>
      </c>
      <c r="D1489">
        <f t="shared" si="47"/>
        <v>-98.260157232704401</v>
      </c>
      <c r="G1489" s="21">
        <v>0.3124673</v>
      </c>
      <c r="H1489" s="21">
        <v>-0.24694050000000001</v>
      </c>
    </row>
    <row r="1490" spans="1:8" x14ac:dyDescent="0.15">
      <c r="A1490" s="21">
        <v>2.9062500000000002E-2</v>
      </c>
      <c r="B1490" s="21">
        <f t="shared" si="46"/>
        <v>-0.25189250000000002</v>
      </c>
      <c r="D1490">
        <f t="shared" si="47"/>
        <v>-100.26261006289306</v>
      </c>
      <c r="G1490" s="21">
        <v>0.31883509999999998</v>
      </c>
      <c r="H1490" s="21">
        <v>-0.25189250000000002</v>
      </c>
    </row>
    <row r="1491" spans="1:8" x14ac:dyDescent="0.15">
      <c r="A1491" s="21">
        <v>2.9082029999999998E-2</v>
      </c>
      <c r="B1491" s="21">
        <f t="shared" si="46"/>
        <v>-0.2491738</v>
      </c>
      <c r="D1491">
        <f t="shared" si="47"/>
        <v>-99.204025157232692</v>
      </c>
      <c r="G1491" s="21">
        <v>0.31546879999999999</v>
      </c>
      <c r="H1491" s="21">
        <v>-0.2491738</v>
      </c>
    </row>
    <row r="1492" spans="1:8" x14ac:dyDescent="0.15">
      <c r="A1492" s="21">
        <v>2.9101559999999999E-2</v>
      </c>
      <c r="B1492" s="21">
        <f t="shared" si="46"/>
        <v>-0.23837369999999999</v>
      </c>
      <c r="D1492">
        <f t="shared" si="47"/>
        <v>-94.919276729559741</v>
      </c>
      <c r="G1492" s="21">
        <v>0.30184329999999998</v>
      </c>
      <c r="H1492" s="21">
        <v>-0.23837369999999999</v>
      </c>
    </row>
    <row r="1493" spans="1:8" x14ac:dyDescent="0.15">
      <c r="A1493" s="21">
        <v>2.9121089999999999E-2</v>
      </c>
      <c r="B1493" s="21">
        <f t="shared" si="46"/>
        <v>-0.21889049999999999</v>
      </c>
      <c r="D1493">
        <f t="shared" si="47"/>
        <v>-87.170628930817614</v>
      </c>
      <c r="G1493" s="21">
        <v>0.27720260000000002</v>
      </c>
      <c r="H1493" s="21">
        <v>-0.21889049999999999</v>
      </c>
    </row>
    <row r="1494" spans="1:8" x14ac:dyDescent="0.15">
      <c r="A1494" s="21">
        <v>2.9140619999999999E-2</v>
      </c>
      <c r="B1494" s="21">
        <f t="shared" si="46"/>
        <v>-0.19212589999999999</v>
      </c>
      <c r="D1494">
        <f t="shared" si="47"/>
        <v>-76.50716981132075</v>
      </c>
      <c r="G1494" s="21">
        <v>0.2432928</v>
      </c>
      <c r="H1494" s="21">
        <v>-0.19212589999999999</v>
      </c>
    </row>
    <row r="1495" spans="1:8" x14ac:dyDescent="0.15">
      <c r="A1495" s="21">
        <v>2.9160160000000001E-2</v>
      </c>
      <c r="B1495" s="21">
        <f t="shared" si="46"/>
        <v>-0.1590655</v>
      </c>
      <c r="D1495">
        <f t="shared" si="47"/>
        <v>-63.253773584905652</v>
      </c>
      <c r="G1495" s="21">
        <v>0.20114699999999999</v>
      </c>
      <c r="H1495" s="21">
        <v>-0.1590655</v>
      </c>
    </row>
    <row r="1496" spans="1:8" x14ac:dyDescent="0.15">
      <c r="A1496" s="21">
        <v>2.9179690000000001E-2</v>
      </c>
      <c r="B1496" s="21">
        <f t="shared" si="46"/>
        <v>-0.1202062</v>
      </c>
      <c r="D1496">
        <f t="shared" si="47"/>
        <v>-47.638333333333335</v>
      </c>
      <c r="G1496" s="21">
        <v>0.15148990000000001</v>
      </c>
      <c r="H1496" s="21">
        <v>-0.1202062</v>
      </c>
    </row>
    <row r="1497" spans="1:8" x14ac:dyDescent="0.15">
      <c r="A1497" s="21">
        <v>2.9199220000000001E-2</v>
      </c>
      <c r="B1497" s="21">
        <f t="shared" si="46"/>
        <v>-7.7294390000000004E-2</v>
      </c>
      <c r="D1497">
        <f t="shared" si="47"/>
        <v>-30.49516981132075</v>
      </c>
      <c r="G1497" s="21">
        <v>9.6974640000000001E-2</v>
      </c>
      <c r="H1497" s="21">
        <v>-7.7294390000000004E-2</v>
      </c>
    </row>
    <row r="1498" spans="1:8" x14ac:dyDescent="0.15">
      <c r="A1498" s="21">
        <v>2.9218750000000002E-2</v>
      </c>
      <c r="B1498" s="21">
        <f t="shared" si="46"/>
        <v>-3.194106E-2</v>
      </c>
      <c r="D1498">
        <f t="shared" si="47"/>
        <v>-12.374037735849056</v>
      </c>
      <c r="G1498" s="21">
        <v>3.9349439999999999E-2</v>
      </c>
      <c r="H1498" s="21">
        <v>-3.194106E-2</v>
      </c>
    </row>
    <row r="1499" spans="1:8" x14ac:dyDescent="0.15">
      <c r="A1499" s="21">
        <v>2.9238279999999998E-2</v>
      </c>
      <c r="B1499" s="21">
        <f t="shared" si="46"/>
        <v>1.498555E-2</v>
      </c>
      <c r="D1499">
        <f t="shared" si="47"/>
        <v>6.5092578616352199</v>
      </c>
      <c r="G1499" s="21">
        <v>-2.069944E-2</v>
      </c>
      <c r="H1499" s="21">
        <v>1.498555E-2</v>
      </c>
    </row>
    <row r="1500" spans="1:8" x14ac:dyDescent="0.15">
      <c r="A1500" s="21">
        <v>2.9257809999999999E-2</v>
      </c>
      <c r="B1500" s="21">
        <f t="shared" si="46"/>
        <v>6.1117350000000001E-2</v>
      </c>
      <c r="D1500">
        <f t="shared" si="47"/>
        <v>25.042396226415089</v>
      </c>
      <c r="G1500" s="21">
        <v>-7.9634819999999995E-2</v>
      </c>
      <c r="H1500" s="21">
        <v>6.1117350000000001E-2</v>
      </c>
    </row>
    <row r="1501" spans="1:8" x14ac:dyDescent="0.15">
      <c r="A1501" s="21">
        <v>2.9277339999999999E-2</v>
      </c>
      <c r="B1501" s="21">
        <f t="shared" si="46"/>
        <v>0.10456169999999999</v>
      </c>
      <c r="D1501">
        <f t="shared" si="47"/>
        <v>42.404056603773583</v>
      </c>
      <c r="G1501" s="21">
        <v>-0.13484489999999999</v>
      </c>
      <c r="H1501" s="21">
        <v>0.10456169999999999</v>
      </c>
    </row>
    <row r="1502" spans="1:8" x14ac:dyDescent="0.15">
      <c r="A1502" s="21">
        <v>2.9296880000000001E-2</v>
      </c>
      <c r="B1502" s="21">
        <f t="shared" si="46"/>
        <v>0.14468300000000001</v>
      </c>
      <c r="D1502">
        <f t="shared" si="47"/>
        <v>58.534811320754706</v>
      </c>
      <c r="G1502" s="21">
        <v>-0.18614069999999999</v>
      </c>
      <c r="H1502" s="21">
        <v>0.14468300000000001</v>
      </c>
    </row>
    <row r="1503" spans="1:8" x14ac:dyDescent="0.15">
      <c r="A1503" s="21">
        <v>2.9316410000000001E-2</v>
      </c>
      <c r="B1503" s="21">
        <f t="shared" si="46"/>
        <v>0.17982509999999999</v>
      </c>
      <c r="D1503">
        <f t="shared" si="47"/>
        <v>72.735597484276724</v>
      </c>
      <c r="G1503" s="21">
        <v>-0.23129920000000001</v>
      </c>
      <c r="H1503" s="21">
        <v>0.17982509999999999</v>
      </c>
    </row>
    <row r="1504" spans="1:8" x14ac:dyDescent="0.15">
      <c r="A1504" s="21">
        <v>2.9335940000000001E-2</v>
      </c>
      <c r="B1504" s="21">
        <f t="shared" si="46"/>
        <v>0.20905409999999999</v>
      </c>
      <c r="D1504">
        <f t="shared" si="47"/>
        <v>84.466352201257862</v>
      </c>
      <c r="G1504" s="21">
        <v>-0.26860299999999998</v>
      </c>
      <c r="H1504" s="21">
        <v>0.20905409999999999</v>
      </c>
    </row>
    <row r="1505" spans="1:8" x14ac:dyDescent="0.15">
      <c r="A1505" s="21">
        <v>2.9355470000000002E-2</v>
      </c>
      <c r="B1505" s="21">
        <f t="shared" si="46"/>
        <v>0.23146549999999999</v>
      </c>
      <c r="D1505">
        <f t="shared" si="47"/>
        <v>93.438081761006273</v>
      </c>
      <c r="G1505" s="21">
        <v>-0.29713309999999998</v>
      </c>
      <c r="H1505" s="21">
        <v>0.23146549999999999</v>
      </c>
    </row>
    <row r="1506" spans="1:8" x14ac:dyDescent="0.15">
      <c r="A1506" s="21">
        <v>2.9374999999999998E-2</v>
      </c>
      <c r="B1506" s="21">
        <f t="shared" si="46"/>
        <v>0.24531539999999999</v>
      </c>
      <c r="D1506">
        <f t="shared" si="47"/>
        <v>99.013207547169799</v>
      </c>
      <c r="G1506" s="21">
        <v>-0.31486199999999998</v>
      </c>
      <c r="H1506" s="21">
        <v>0.24531539999999999</v>
      </c>
    </row>
    <row r="1507" spans="1:8" x14ac:dyDescent="0.15">
      <c r="A1507" s="21">
        <v>2.9394529999999999E-2</v>
      </c>
      <c r="B1507" s="21">
        <f t="shared" si="46"/>
        <v>0.25108130000000001</v>
      </c>
      <c r="D1507">
        <f t="shared" si="47"/>
        <v>101.42685534591195</v>
      </c>
      <c r="G1507" s="21">
        <v>-0.32253739999999997</v>
      </c>
      <c r="H1507" s="21">
        <v>0.25108130000000001</v>
      </c>
    </row>
    <row r="1508" spans="1:8" x14ac:dyDescent="0.15">
      <c r="A1508" s="21">
        <v>2.9414059999999999E-2</v>
      </c>
      <c r="B1508" s="21">
        <f t="shared" si="46"/>
        <v>0.24929299999999999</v>
      </c>
      <c r="D1508">
        <f t="shared" si="47"/>
        <v>100.79320754716981</v>
      </c>
      <c r="G1508" s="21">
        <v>-0.32052239999999999</v>
      </c>
      <c r="H1508" s="21">
        <v>0.24929299999999999</v>
      </c>
    </row>
    <row r="1509" spans="1:8" x14ac:dyDescent="0.15">
      <c r="A1509" s="21">
        <v>2.9433589999999999E-2</v>
      </c>
      <c r="B1509" s="21">
        <f t="shared" si="46"/>
        <v>0.23877370000000001</v>
      </c>
      <c r="D1509">
        <f t="shared" si="47"/>
        <v>96.46798742138364</v>
      </c>
      <c r="G1509" s="21">
        <v>-0.30676819999999999</v>
      </c>
      <c r="H1509" s="21">
        <v>0.23877370000000001</v>
      </c>
    </row>
    <row r="1510" spans="1:8" x14ac:dyDescent="0.15">
      <c r="A1510" s="21">
        <v>2.9453130000000001E-2</v>
      </c>
      <c r="B1510" s="21">
        <f t="shared" si="46"/>
        <v>0.2201592</v>
      </c>
      <c r="D1510">
        <f t="shared" si="47"/>
        <v>89.012798742138358</v>
      </c>
      <c r="G1510" s="21">
        <v>-0.2830607</v>
      </c>
      <c r="H1510" s="21">
        <v>0.2201592</v>
      </c>
    </row>
    <row r="1511" spans="1:8" x14ac:dyDescent="0.15">
      <c r="A1511" s="21">
        <v>2.9472660000000001E-2</v>
      </c>
      <c r="B1511" s="21">
        <f t="shared" si="46"/>
        <v>0.1940673</v>
      </c>
      <c r="D1511">
        <f t="shared" si="47"/>
        <v>78.681132075471695</v>
      </c>
      <c r="G1511" s="21">
        <v>-0.25020599999999998</v>
      </c>
      <c r="H1511" s="21">
        <v>0.1940673</v>
      </c>
    </row>
    <row r="1512" spans="1:8" x14ac:dyDescent="0.15">
      <c r="A1512" s="21">
        <v>2.9492190000000001E-2</v>
      </c>
      <c r="B1512" s="21">
        <f t="shared" si="46"/>
        <v>0.1604894</v>
      </c>
      <c r="D1512">
        <f t="shared" si="47"/>
        <v>65.206383647798745</v>
      </c>
      <c r="G1512" s="21">
        <v>-0.20735629999999999</v>
      </c>
      <c r="H1512" s="21">
        <v>0.1604894</v>
      </c>
    </row>
    <row r="1513" spans="1:8" x14ac:dyDescent="0.15">
      <c r="A1513" s="21">
        <v>2.9511720000000002E-2</v>
      </c>
      <c r="B1513" s="21">
        <f t="shared" si="46"/>
        <v>0.12195789999999999</v>
      </c>
      <c r="D1513">
        <f t="shared" si="47"/>
        <v>49.821257861635218</v>
      </c>
      <c r="G1513" s="21">
        <v>-0.15843160000000001</v>
      </c>
      <c r="H1513" s="21">
        <v>0.12195789999999999</v>
      </c>
    </row>
    <row r="1514" spans="1:8" x14ac:dyDescent="0.15">
      <c r="A1514" s="21">
        <v>2.9531249999999998E-2</v>
      </c>
      <c r="B1514" s="21">
        <f t="shared" si="46"/>
        <v>7.9766420000000005E-2</v>
      </c>
      <c r="D1514">
        <f t="shared" si="47"/>
        <v>32.908836477987421</v>
      </c>
      <c r="G1514" s="21">
        <v>-0.1046501</v>
      </c>
      <c r="H1514" s="21">
        <v>7.9766420000000005E-2</v>
      </c>
    </row>
    <row r="1515" spans="1:8" x14ac:dyDescent="0.15">
      <c r="A1515" s="21">
        <v>2.9550779999999999E-2</v>
      </c>
      <c r="B1515" s="21">
        <f t="shared" si="46"/>
        <v>3.4107279999999997E-2</v>
      </c>
      <c r="D1515">
        <f t="shared" si="47"/>
        <v>14.574342767295596</v>
      </c>
      <c r="G1515" s="21">
        <v>-4.6346409999999998E-2</v>
      </c>
      <c r="H1515" s="21">
        <v>3.4107279999999997E-2</v>
      </c>
    </row>
    <row r="1516" spans="1:8" x14ac:dyDescent="0.15">
      <c r="A1516" s="21">
        <v>2.9570309999999999E-2</v>
      </c>
      <c r="B1516" s="21">
        <f t="shared" si="46"/>
        <v>-1.2558990000000001E-2</v>
      </c>
      <c r="D1516">
        <f t="shared" si="47"/>
        <v>-3.990770440251572</v>
      </c>
      <c r="G1516" s="21">
        <v>1.269065E-2</v>
      </c>
      <c r="H1516" s="21">
        <v>-1.2558990000000001E-2</v>
      </c>
    </row>
    <row r="1517" spans="1:8" x14ac:dyDescent="0.15">
      <c r="A1517" s="21">
        <v>2.9589839999999999E-2</v>
      </c>
      <c r="B1517" s="21">
        <f t="shared" si="46"/>
        <v>-5.8641359999999997E-2</v>
      </c>
      <c r="D1517">
        <f t="shared" si="47"/>
        <v>-22.482317610062893</v>
      </c>
      <c r="G1517" s="21">
        <v>7.1493769999999998E-2</v>
      </c>
      <c r="H1517" s="21">
        <v>-5.8641359999999997E-2</v>
      </c>
    </row>
    <row r="1518" spans="1:8" x14ac:dyDescent="0.15">
      <c r="A1518" s="21">
        <v>2.9609380000000001E-2</v>
      </c>
      <c r="B1518" s="21">
        <f t="shared" si="46"/>
        <v>-0.1026223</v>
      </c>
      <c r="D1518">
        <f t="shared" si="47"/>
        <v>-40.136226415094342</v>
      </c>
      <c r="G1518" s="21">
        <v>0.1276332</v>
      </c>
      <c r="H1518" s="21">
        <v>-0.1026223</v>
      </c>
    </row>
    <row r="1519" spans="1:8" x14ac:dyDescent="0.15">
      <c r="A1519" s="21">
        <v>2.9628910000000001E-2</v>
      </c>
      <c r="B1519" s="21">
        <f t="shared" si="46"/>
        <v>-0.14260490000000001</v>
      </c>
      <c r="D1519">
        <f t="shared" si="47"/>
        <v>-56.140974842767292</v>
      </c>
      <c r="G1519" s="21">
        <v>0.1785283</v>
      </c>
      <c r="H1519" s="21">
        <v>-0.14260490000000001</v>
      </c>
    </row>
    <row r="1520" spans="1:8" x14ac:dyDescent="0.15">
      <c r="A1520" s="21">
        <v>2.9648440000000002E-2</v>
      </c>
      <c r="B1520" s="21">
        <f t="shared" si="46"/>
        <v>-0.17836150000000001</v>
      </c>
      <c r="D1520">
        <f t="shared" si="47"/>
        <v>-70.565911949685528</v>
      </c>
      <c r="G1520" s="21">
        <v>0.2243996</v>
      </c>
      <c r="H1520" s="21">
        <v>-0.17836150000000001</v>
      </c>
    </row>
    <row r="1521" spans="1:8" x14ac:dyDescent="0.15">
      <c r="A1521" s="21">
        <v>2.9667969999999998E-2</v>
      </c>
      <c r="B1521" s="21">
        <f t="shared" si="46"/>
        <v>-0.20827399999999999</v>
      </c>
      <c r="D1521">
        <f t="shared" si="47"/>
        <v>-82.517484276729547</v>
      </c>
      <c r="G1521" s="21">
        <v>0.26240560000000002</v>
      </c>
      <c r="H1521" s="21">
        <v>-0.20827399999999999</v>
      </c>
    </row>
    <row r="1522" spans="1:8" x14ac:dyDescent="0.15">
      <c r="A1522" s="21">
        <v>2.9687499999999999E-2</v>
      </c>
      <c r="B1522" s="21">
        <f t="shared" si="46"/>
        <v>-0.2305722</v>
      </c>
      <c r="D1522">
        <f t="shared" si="47"/>
        <v>-91.486415094339606</v>
      </c>
      <c r="G1522" s="21">
        <v>0.29092679999999999</v>
      </c>
      <c r="H1522" s="21">
        <v>-0.2305722</v>
      </c>
    </row>
    <row r="1523" spans="1:8" x14ac:dyDescent="0.15">
      <c r="A1523" s="21">
        <v>2.9707029999999999E-2</v>
      </c>
      <c r="B1523" s="21">
        <f t="shared" si="46"/>
        <v>-0.24551100000000001</v>
      </c>
      <c r="D1523">
        <f t="shared" si="47"/>
        <v>-97.61525157232704</v>
      </c>
      <c r="G1523" s="21">
        <v>0.31041649999999998</v>
      </c>
      <c r="H1523" s="21">
        <v>-0.24551100000000001</v>
      </c>
    </row>
    <row r="1524" spans="1:8" x14ac:dyDescent="0.15">
      <c r="A1524" s="21">
        <v>2.9726559999999999E-2</v>
      </c>
      <c r="B1524" s="21">
        <f t="shared" si="46"/>
        <v>-0.25224380000000002</v>
      </c>
      <c r="D1524">
        <f t="shared" si="47"/>
        <v>-100.34062893081762</v>
      </c>
      <c r="G1524" s="21">
        <v>0.31908320000000001</v>
      </c>
      <c r="H1524" s="21">
        <v>-0.25224380000000002</v>
      </c>
    </row>
    <row r="1525" spans="1:8" x14ac:dyDescent="0.15">
      <c r="A1525" s="21">
        <v>2.9746089999999999E-2</v>
      </c>
      <c r="B1525" s="21">
        <f t="shared" si="46"/>
        <v>-0.25029269999999998</v>
      </c>
      <c r="D1525">
        <f t="shared" si="47"/>
        <v>-99.581415094339604</v>
      </c>
      <c r="G1525" s="21">
        <v>0.31666889999999998</v>
      </c>
      <c r="H1525" s="21">
        <v>-0.25029269999999998</v>
      </c>
    </row>
    <row r="1526" spans="1:8" x14ac:dyDescent="0.15">
      <c r="A1526" s="21">
        <v>2.9765630000000001E-2</v>
      </c>
      <c r="B1526" s="21">
        <f t="shared" si="46"/>
        <v>-0.24074229999999999</v>
      </c>
      <c r="D1526">
        <f t="shared" si="47"/>
        <v>-95.792264150943382</v>
      </c>
      <c r="G1526" s="21">
        <v>0.30461939999999998</v>
      </c>
      <c r="H1526" s="21">
        <v>-0.24074229999999999</v>
      </c>
    </row>
    <row r="1527" spans="1:8" x14ac:dyDescent="0.15">
      <c r="A1527" s="21">
        <v>2.9785160000000001E-2</v>
      </c>
      <c r="B1527" s="21">
        <f t="shared" si="46"/>
        <v>-0.22282660000000001</v>
      </c>
      <c r="D1527">
        <f t="shared" si="47"/>
        <v>-88.666477987421388</v>
      </c>
      <c r="G1527" s="21">
        <v>0.28195940000000003</v>
      </c>
      <c r="H1527" s="21">
        <v>-0.22282660000000001</v>
      </c>
    </row>
    <row r="1528" spans="1:8" x14ac:dyDescent="0.15">
      <c r="A1528" s="21">
        <v>2.9804689999999998E-2</v>
      </c>
      <c r="B1528" s="21">
        <f t="shared" si="46"/>
        <v>-0.196488</v>
      </c>
      <c r="D1528">
        <f t="shared" si="47"/>
        <v>-78.188899371069169</v>
      </c>
      <c r="G1528" s="21">
        <v>0.24864069999999999</v>
      </c>
      <c r="H1528" s="21">
        <v>-0.196488</v>
      </c>
    </row>
    <row r="1529" spans="1:8" x14ac:dyDescent="0.15">
      <c r="A1529" s="21">
        <v>2.9824219999999999E-2</v>
      </c>
      <c r="B1529" s="21">
        <f t="shared" si="46"/>
        <v>-0.1641078</v>
      </c>
      <c r="D1529">
        <f t="shared" si="47"/>
        <v>-65.253805031446547</v>
      </c>
      <c r="G1529" s="21">
        <v>0.2075071</v>
      </c>
      <c r="H1529" s="21">
        <v>-0.1641078</v>
      </c>
    </row>
    <row r="1530" spans="1:8" x14ac:dyDescent="0.15">
      <c r="A1530" s="21">
        <v>2.9843749999999999E-2</v>
      </c>
      <c r="B1530" s="21">
        <f t="shared" si="46"/>
        <v>-0.12633720000000001</v>
      </c>
      <c r="D1530">
        <f t="shared" si="47"/>
        <v>-50.096540880503149</v>
      </c>
      <c r="G1530" s="21">
        <v>0.159307</v>
      </c>
      <c r="H1530" s="21">
        <v>-0.12633720000000001</v>
      </c>
    </row>
    <row r="1531" spans="1:8" x14ac:dyDescent="0.15">
      <c r="A1531" s="21">
        <v>2.9863279999999999E-2</v>
      </c>
      <c r="B1531" s="21">
        <f t="shared" si="46"/>
        <v>-8.3971920000000005E-2</v>
      </c>
      <c r="D1531">
        <f t="shared" si="47"/>
        <v>-33.096949685534589</v>
      </c>
      <c r="G1531" s="21">
        <v>0.1052483</v>
      </c>
      <c r="H1531" s="21">
        <v>-8.3971920000000005E-2</v>
      </c>
    </row>
    <row r="1532" spans="1:8" x14ac:dyDescent="0.15">
      <c r="A1532" s="21">
        <v>2.9882809999999999E-2</v>
      </c>
      <c r="B1532" s="21">
        <f t="shared" si="46"/>
        <v>-3.8896149999999997E-2</v>
      </c>
      <c r="D1532">
        <f t="shared" si="47"/>
        <v>-15.049962264150942</v>
      </c>
      <c r="G1532" s="21">
        <v>4.7858879999999999E-2</v>
      </c>
      <c r="H1532" s="21">
        <v>-3.8896149999999997E-2</v>
      </c>
    </row>
    <row r="1533" spans="1:8" x14ac:dyDescent="0.15">
      <c r="A1533" s="21">
        <v>2.9902339999999999E-2</v>
      </c>
      <c r="B1533" s="21">
        <f t="shared" si="46"/>
        <v>8.0703200000000006E-3</v>
      </c>
      <c r="D1533">
        <f t="shared" si="47"/>
        <v>3.7813710691823901</v>
      </c>
      <c r="G1533" s="21">
        <v>-1.2024760000000001E-2</v>
      </c>
      <c r="H1533" s="21">
        <v>8.0703200000000006E-3</v>
      </c>
    </row>
    <row r="1534" spans="1:8" x14ac:dyDescent="0.15">
      <c r="A1534" s="21">
        <v>2.9921880000000001E-2</v>
      </c>
      <c r="B1534" s="21">
        <f t="shared" si="46"/>
        <v>5.4539619999999997E-2</v>
      </c>
      <c r="D1534">
        <f t="shared" si="47"/>
        <v>22.392044025157229</v>
      </c>
      <c r="G1534" s="21">
        <v>-7.1206699999999998E-2</v>
      </c>
      <c r="H1534" s="21">
        <v>5.4539619999999997E-2</v>
      </c>
    </row>
    <row r="1535" spans="1:8" x14ac:dyDescent="0.15">
      <c r="A1535" s="21">
        <v>2.9941410000000002E-2</v>
      </c>
      <c r="B1535" s="21">
        <f t="shared" si="46"/>
        <v>9.8176620000000006E-2</v>
      </c>
      <c r="D1535">
        <f t="shared" si="47"/>
        <v>39.897767295597482</v>
      </c>
      <c r="G1535" s="21">
        <v>-0.12687490000000001</v>
      </c>
      <c r="H1535" s="21">
        <v>9.8176620000000006E-2</v>
      </c>
    </row>
    <row r="1536" spans="1:8" x14ac:dyDescent="0.15">
      <c r="A1536" s="21">
        <v>2.9960939999999998E-2</v>
      </c>
      <c r="B1536" s="21">
        <f t="shared" si="46"/>
        <v>0.13854040000000001</v>
      </c>
      <c r="D1536">
        <f t="shared" si="47"/>
        <v>56.182610062893083</v>
      </c>
      <c r="G1536" s="21">
        <v>-0.17866070000000001</v>
      </c>
      <c r="H1536" s="21">
        <v>0.13854040000000001</v>
      </c>
    </row>
    <row r="1537" spans="1:8" x14ac:dyDescent="0.15">
      <c r="A1537" s="21">
        <v>2.9980469999999999E-2</v>
      </c>
      <c r="B1537" s="21">
        <f t="shared" si="46"/>
        <v>0.17438409999999999</v>
      </c>
      <c r="D1537">
        <f t="shared" si="47"/>
        <v>70.567358490566036</v>
      </c>
      <c r="G1537" s="21">
        <v>-0.2244042</v>
      </c>
      <c r="H1537" s="21">
        <v>0.17438409999999999</v>
      </c>
    </row>
    <row r="1538" spans="1:8" x14ac:dyDescent="0.15">
      <c r="A1538" s="21">
        <v>0.03</v>
      </c>
      <c r="B1538" s="21">
        <f t="shared" ref="B1538:B1601" si="48">H1538</f>
        <v>0.2044578</v>
      </c>
      <c r="D1538">
        <f t="shared" ref="D1538:D1601" si="49">G1538*-1000/3.18</f>
        <v>82.62959119496854</v>
      </c>
      <c r="G1538" s="21">
        <v>-0.2627621</v>
      </c>
      <c r="H1538" s="21">
        <v>0.2044578</v>
      </c>
    </row>
    <row r="1539" spans="1:8" x14ac:dyDescent="0.15">
      <c r="A1539" s="21">
        <v>3.0019529999999999E-2</v>
      </c>
      <c r="B1539" s="21">
        <f t="shared" si="48"/>
        <v>0.2277593</v>
      </c>
      <c r="D1539">
        <f t="shared" si="49"/>
        <v>92.032610062893085</v>
      </c>
      <c r="G1539" s="21">
        <v>-0.29266370000000003</v>
      </c>
      <c r="H1539" s="21">
        <v>0.2277593</v>
      </c>
    </row>
    <row r="1540" spans="1:8" x14ac:dyDescent="0.15">
      <c r="A1540" s="21">
        <v>3.0039059999999999E-2</v>
      </c>
      <c r="B1540" s="21">
        <f t="shared" si="48"/>
        <v>0.24292150000000001</v>
      </c>
      <c r="D1540">
        <f t="shared" si="49"/>
        <v>98.111352201257858</v>
      </c>
      <c r="G1540" s="21">
        <v>-0.3119941</v>
      </c>
      <c r="H1540" s="21">
        <v>0.24292150000000001</v>
      </c>
    </row>
    <row r="1541" spans="1:8" x14ac:dyDescent="0.15">
      <c r="A1541" s="21">
        <v>3.005859E-2</v>
      </c>
      <c r="B1541" s="21">
        <f t="shared" si="48"/>
        <v>0.2498688</v>
      </c>
      <c r="D1541">
        <f t="shared" si="49"/>
        <v>100.92308176100627</v>
      </c>
      <c r="G1541" s="21">
        <v>-0.32093539999999998</v>
      </c>
      <c r="H1541" s="21">
        <v>0.2498688</v>
      </c>
    </row>
    <row r="1542" spans="1:8" x14ac:dyDescent="0.15">
      <c r="A1542" s="21">
        <v>3.0078130000000002E-2</v>
      </c>
      <c r="B1542" s="21">
        <f t="shared" si="48"/>
        <v>0.24892159999999999</v>
      </c>
      <c r="D1542">
        <f t="shared" si="49"/>
        <v>100.61591194968553</v>
      </c>
      <c r="G1542" s="21">
        <v>-0.31995859999999998</v>
      </c>
      <c r="H1542" s="21">
        <v>0.24892159999999999</v>
      </c>
    </row>
    <row r="1543" spans="1:8" x14ac:dyDescent="0.15">
      <c r="A1543" s="21">
        <v>3.0097659999999998E-2</v>
      </c>
      <c r="B1543" s="21">
        <f t="shared" si="48"/>
        <v>0.23973439999999999</v>
      </c>
      <c r="D1543">
        <f t="shared" si="49"/>
        <v>96.936981132075474</v>
      </c>
      <c r="G1543" s="21">
        <v>-0.30825960000000002</v>
      </c>
      <c r="H1543" s="21">
        <v>0.23973439999999999</v>
      </c>
    </row>
    <row r="1544" spans="1:8" x14ac:dyDescent="0.15">
      <c r="A1544" s="21">
        <v>3.0117189999999999E-2</v>
      </c>
      <c r="B1544" s="21">
        <f t="shared" si="48"/>
        <v>0.22208720000000001</v>
      </c>
      <c r="D1544">
        <f t="shared" si="49"/>
        <v>89.811981132075474</v>
      </c>
      <c r="G1544" s="21">
        <v>-0.28560210000000003</v>
      </c>
      <c r="H1544" s="21">
        <v>0.22208720000000001</v>
      </c>
    </row>
    <row r="1545" spans="1:8" x14ac:dyDescent="0.15">
      <c r="A1545" s="21">
        <v>3.0136719999999999E-2</v>
      </c>
      <c r="B1545" s="21">
        <f t="shared" si="48"/>
        <v>0.1963946</v>
      </c>
      <c r="D1545">
        <f t="shared" si="49"/>
        <v>79.567138364779879</v>
      </c>
      <c r="G1545" s="21">
        <v>-0.25302350000000001</v>
      </c>
      <c r="H1545" s="21">
        <v>0.1963946</v>
      </c>
    </row>
    <row r="1546" spans="1:8" x14ac:dyDescent="0.15">
      <c r="A1546" s="21">
        <v>3.0156249999999999E-2</v>
      </c>
      <c r="B1546" s="21">
        <f t="shared" si="48"/>
        <v>0.16419909999999999</v>
      </c>
      <c r="D1546">
        <f t="shared" si="49"/>
        <v>66.753553459119487</v>
      </c>
      <c r="G1546" s="21">
        <v>-0.2122763</v>
      </c>
      <c r="H1546" s="21">
        <v>0.16419909999999999</v>
      </c>
    </row>
    <row r="1547" spans="1:8" x14ac:dyDescent="0.15">
      <c r="A1547" s="21">
        <v>3.0175779999999999E-2</v>
      </c>
      <c r="B1547" s="21">
        <f t="shared" si="48"/>
        <v>0.12670229999999999</v>
      </c>
      <c r="D1547">
        <f t="shared" si="49"/>
        <v>51.731981132075468</v>
      </c>
      <c r="G1547" s="21">
        <v>-0.16450770000000001</v>
      </c>
      <c r="H1547" s="21">
        <v>0.12670229999999999</v>
      </c>
    </row>
    <row r="1548" spans="1:8" x14ac:dyDescent="0.15">
      <c r="A1548" s="21">
        <v>3.019531E-2</v>
      </c>
      <c r="B1548" s="21">
        <f t="shared" si="48"/>
        <v>8.4592849999999997E-2</v>
      </c>
      <c r="D1548">
        <f t="shared" si="49"/>
        <v>34.85619496855346</v>
      </c>
      <c r="G1548" s="21">
        <v>-0.1108427</v>
      </c>
      <c r="H1548" s="21">
        <v>8.4592849999999997E-2</v>
      </c>
    </row>
    <row r="1549" spans="1:8" x14ac:dyDescent="0.15">
      <c r="A1549" s="21">
        <v>3.021484E-2</v>
      </c>
      <c r="B1549" s="21">
        <f t="shared" si="48"/>
        <v>3.9512220000000001E-2</v>
      </c>
      <c r="D1549">
        <f t="shared" si="49"/>
        <v>16.813418238993709</v>
      </c>
      <c r="G1549" s="21">
        <v>-5.3466670000000001E-2</v>
      </c>
      <c r="H1549" s="21">
        <v>3.9512220000000001E-2</v>
      </c>
    </row>
    <row r="1550" spans="1:8" x14ac:dyDescent="0.15">
      <c r="A1550" s="21">
        <v>3.0234380000000002E-2</v>
      </c>
      <c r="B1550" s="21">
        <f t="shared" si="48"/>
        <v>-7.0811520000000003E-3</v>
      </c>
      <c r="D1550">
        <f t="shared" si="49"/>
        <v>-1.7666213836477986</v>
      </c>
      <c r="G1550" s="21">
        <v>5.6178560000000001E-3</v>
      </c>
      <c r="H1550" s="21">
        <v>-7.0811520000000003E-3</v>
      </c>
    </row>
    <row r="1551" spans="1:8" x14ac:dyDescent="0.15">
      <c r="A1551" s="21">
        <v>3.0253909999999998E-2</v>
      </c>
      <c r="B1551" s="21">
        <f t="shared" si="48"/>
        <v>-5.3549220000000002E-2</v>
      </c>
      <c r="D1551">
        <f t="shared" si="49"/>
        <v>-20.368025157232708</v>
      </c>
      <c r="G1551" s="21">
        <v>6.4770320000000006E-2</v>
      </c>
      <c r="H1551" s="21">
        <v>-5.3549220000000002E-2</v>
      </c>
    </row>
    <row r="1552" spans="1:8" x14ac:dyDescent="0.15">
      <c r="A1552" s="21">
        <v>3.0273439999999999E-2</v>
      </c>
      <c r="B1552" s="21">
        <f t="shared" si="48"/>
        <v>-9.7831340000000003E-2</v>
      </c>
      <c r="D1552">
        <f t="shared" si="49"/>
        <v>-38.200345911949682</v>
      </c>
      <c r="G1552" s="21">
        <v>0.1214771</v>
      </c>
      <c r="H1552" s="21">
        <v>-9.7831340000000003E-2</v>
      </c>
    </row>
    <row r="1553" spans="1:8" x14ac:dyDescent="0.15">
      <c r="A1553" s="21">
        <v>3.0292969999999999E-2</v>
      </c>
      <c r="B1553" s="21">
        <f t="shared" si="48"/>
        <v>-0.13848189999999999</v>
      </c>
      <c r="D1553">
        <f t="shared" si="49"/>
        <v>-54.485345911949686</v>
      </c>
      <c r="G1553" s="21">
        <v>0.17326340000000001</v>
      </c>
      <c r="H1553" s="21">
        <v>-0.13848189999999999</v>
      </c>
    </row>
    <row r="1554" spans="1:8" x14ac:dyDescent="0.15">
      <c r="A1554" s="21">
        <v>3.0312499999999999E-2</v>
      </c>
      <c r="B1554" s="21">
        <f t="shared" si="48"/>
        <v>-0.17437900000000001</v>
      </c>
      <c r="D1554">
        <f t="shared" si="49"/>
        <v>-68.899402515723267</v>
      </c>
      <c r="G1554" s="21">
        <v>0.21910009999999999</v>
      </c>
      <c r="H1554" s="21">
        <v>-0.17437900000000001</v>
      </c>
    </row>
    <row r="1555" spans="1:8" x14ac:dyDescent="0.15">
      <c r="A1555" s="21">
        <v>3.0332029999999999E-2</v>
      </c>
      <c r="B1555" s="21">
        <f t="shared" si="48"/>
        <v>-0.20479530000000001</v>
      </c>
      <c r="D1555">
        <f t="shared" si="49"/>
        <v>-81.150314465408798</v>
      </c>
      <c r="G1555" s="21">
        <v>0.25805800000000001</v>
      </c>
      <c r="H1555" s="21">
        <v>-0.20479530000000001</v>
      </c>
    </row>
    <row r="1556" spans="1:8" x14ac:dyDescent="0.15">
      <c r="A1556" s="21">
        <v>3.035156E-2</v>
      </c>
      <c r="B1556" s="21">
        <f t="shared" si="48"/>
        <v>-0.22854469999999999</v>
      </c>
      <c r="D1556">
        <f t="shared" si="49"/>
        <v>-90.690974842767304</v>
      </c>
      <c r="G1556" s="21">
        <v>0.28839730000000002</v>
      </c>
      <c r="H1556" s="21">
        <v>-0.22854469999999999</v>
      </c>
    </row>
    <row r="1557" spans="1:8" x14ac:dyDescent="0.15">
      <c r="A1557" s="21">
        <v>3.037109E-2</v>
      </c>
      <c r="B1557" s="21">
        <f t="shared" si="48"/>
        <v>-0.24453939999999999</v>
      </c>
      <c r="D1557">
        <f t="shared" si="49"/>
        <v>-97.18179245283018</v>
      </c>
      <c r="G1557" s="21">
        <v>0.30903809999999998</v>
      </c>
      <c r="H1557" s="21">
        <v>-0.24453939999999999</v>
      </c>
    </row>
    <row r="1558" spans="1:8" x14ac:dyDescent="0.15">
      <c r="A1558" s="21">
        <v>3.0390629999999998E-2</v>
      </c>
      <c r="B1558" s="21">
        <f t="shared" si="48"/>
        <v>-0.2524016</v>
      </c>
      <c r="D1558">
        <f t="shared" si="49"/>
        <v>-100.37672955974841</v>
      </c>
      <c r="G1558" s="21">
        <v>0.31919799999999998</v>
      </c>
      <c r="H1558" s="21">
        <v>-0.2524016</v>
      </c>
    </row>
    <row r="1559" spans="1:8" x14ac:dyDescent="0.15">
      <c r="A1559" s="21">
        <v>3.0410159999999999E-2</v>
      </c>
      <c r="B1559" s="21">
        <f t="shared" si="48"/>
        <v>-0.25156640000000002</v>
      </c>
      <c r="D1559">
        <f t="shared" si="49"/>
        <v>-100.06242138364779</v>
      </c>
      <c r="G1559" s="21">
        <v>0.3181985</v>
      </c>
      <c r="H1559" s="21">
        <v>-0.25156640000000002</v>
      </c>
    </row>
    <row r="1560" spans="1:8" x14ac:dyDescent="0.15">
      <c r="A1560" s="21">
        <v>3.0429689999999999E-2</v>
      </c>
      <c r="B1560" s="21">
        <f t="shared" si="48"/>
        <v>-0.24239939999999999</v>
      </c>
      <c r="D1560">
        <f t="shared" si="49"/>
        <v>-96.460691823899367</v>
      </c>
      <c r="G1560" s="21">
        <v>0.30674499999999999</v>
      </c>
      <c r="H1560" s="21">
        <v>-0.24239939999999999</v>
      </c>
    </row>
    <row r="1561" spans="1:8" x14ac:dyDescent="0.15">
      <c r="A1561" s="21">
        <v>3.0449219999999999E-2</v>
      </c>
      <c r="B1561" s="21">
        <f t="shared" si="48"/>
        <v>-0.22540640000000001</v>
      </c>
      <c r="D1561">
        <f t="shared" si="49"/>
        <v>-89.722578616352209</v>
      </c>
      <c r="G1561" s="21">
        <v>0.28531780000000001</v>
      </c>
      <c r="H1561" s="21">
        <v>-0.22540640000000001</v>
      </c>
    </row>
    <row r="1562" spans="1:8" x14ac:dyDescent="0.15">
      <c r="A1562" s="21">
        <v>3.0468749999999999E-2</v>
      </c>
      <c r="B1562" s="21">
        <f t="shared" si="48"/>
        <v>-0.20060449999999999</v>
      </c>
      <c r="D1562">
        <f t="shared" si="49"/>
        <v>-79.786163522012572</v>
      </c>
      <c r="G1562" s="21">
        <v>0.25372</v>
      </c>
      <c r="H1562" s="21">
        <v>-0.20060449999999999</v>
      </c>
    </row>
    <row r="1563" spans="1:8" x14ac:dyDescent="0.15">
      <c r="A1563" s="21">
        <v>3.048828E-2</v>
      </c>
      <c r="B1563" s="21">
        <f t="shared" si="48"/>
        <v>-0.16907939999999999</v>
      </c>
      <c r="D1563">
        <f t="shared" si="49"/>
        <v>-67.151918238993716</v>
      </c>
      <c r="G1563" s="21">
        <v>0.21354310000000001</v>
      </c>
      <c r="H1563" s="21">
        <v>-0.16907939999999999</v>
      </c>
    </row>
    <row r="1564" spans="1:8" x14ac:dyDescent="0.15">
      <c r="A1564" s="21">
        <v>3.050781E-2</v>
      </c>
      <c r="B1564" s="21">
        <f t="shared" si="48"/>
        <v>-0.1318945</v>
      </c>
      <c r="D1564">
        <f t="shared" si="49"/>
        <v>-52.299150943396221</v>
      </c>
      <c r="G1564" s="21">
        <v>0.1663113</v>
      </c>
      <c r="H1564" s="21">
        <v>-0.1318945</v>
      </c>
    </row>
    <row r="1565" spans="1:8" x14ac:dyDescent="0.15">
      <c r="A1565" s="21">
        <v>3.052734E-2</v>
      </c>
      <c r="B1565" s="21">
        <f t="shared" si="48"/>
        <v>-8.9865029999999999E-2</v>
      </c>
      <c r="D1565">
        <f t="shared" si="49"/>
        <v>-35.430188679245283</v>
      </c>
      <c r="G1565" s="21">
        <v>0.112668</v>
      </c>
      <c r="H1565" s="21">
        <v>-8.9865029999999999E-2</v>
      </c>
    </row>
    <row r="1566" spans="1:8" x14ac:dyDescent="0.15">
      <c r="A1566" s="21">
        <v>3.0546879999999998E-2</v>
      </c>
      <c r="B1566" s="21">
        <f t="shared" si="48"/>
        <v>-4.4886250000000003E-2</v>
      </c>
      <c r="D1566">
        <f t="shared" si="49"/>
        <v>-17.402540880503143</v>
      </c>
      <c r="G1566" s="21">
        <v>5.534008E-2</v>
      </c>
      <c r="H1566" s="21">
        <v>-4.4886250000000003E-2</v>
      </c>
    </row>
    <row r="1567" spans="1:8" x14ac:dyDescent="0.15">
      <c r="A1567" s="21">
        <v>3.0566409999999999E-2</v>
      </c>
      <c r="B1567" s="21">
        <f t="shared" si="48"/>
        <v>1.5592729999999999E-3</v>
      </c>
      <c r="D1567">
        <f t="shared" si="49"/>
        <v>1.2320713836477988</v>
      </c>
      <c r="G1567" s="21">
        <v>-3.9179870000000004E-3</v>
      </c>
      <c r="H1567" s="21">
        <v>1.5592729999999999E-3</v>
      </c>
    </row>
    <row r="1568" spans="1:8" x14ac:dyDescent="0.15">
      <c r="A1568" s="21">
        <v>3.0585939999999999E-2</v>
      </c>
      <c r="B1568" s="21">
        <f t="shared" si="48"/>
        <v>4.8460139999999999E-2</v>
      </c>
      <c r="D1568">
        <f t="shared" si="49"/>
        <v>20.106937106918242</v>
      </c>
      <c r="G1568" s="21">
        <v>-6.3940060000000007E-2</v>
      </c>
      <c r="H1568" s="21">
        <v>4.8460139999999999E-2</v>
      </c>
    </row>
    <row r="1569" spans="1:8" x14ac:dyDescent="0.15">
      <c r="A1569" s="21">
        <v>3.0605469999999999E-2</v>
      </c>
      <c r="B1569" s="21">
        <f t="shared" si="48"/>
        <v>9.2924999999999994E-2</v>
      </c>
      <c r="D1569">
        <f t="shared" si="49"/>
        <v>37.840534591194967</v>
      </c>
      <c r="G1569" s="21">
        <v>-0.12033290000000001</v>
      </c>
      <c r="H1569" s="21">
        <v>9.2924999999999994E-2</v>
      </c>
    </row>
    <row r="1570" spans="1:8" x14ac:dyDescent="0.15">
      <c r="A1570" s="21">
        <v>3.0624999999999999E-2</v>
      </c>
      <c r="B1570" s="21">
        <f t="shared" si="48"/>
        <v>0.1331744</v>
      </c>
      <c r="D1570">
        <f t="shared" si="49"/>
        <v>53.960597484276725</v>
      </c>
      <c r="G1570" s="21">
        <v>-0.17159469999999999</v>
      </c>
      <c r="H1570" s="21">
        <v>0.1331744</v>
      </c>
    </row>
    <row r="1571" spans="1:8" x14ac:dyDescent="0.15">
      <c r="A1571" s="21">
        <v>3.064453E-2</v>
      </c>
      <c r="B1571" s="21">
        <f t="shared" si="48"/>
        <v>0.1697533</v>
      </c>
      <c r="D1571">
        <f t="shared" si="49"/>
        <v>68.761540880503134</v>
      </c>
      <c r="G1571" s="21">
        <v>-0.21866169999999999</v>
      </c>
      <c r="H1571" s="21">
        <v>0.1697533</v>
      </c>
    </row>
    <row r="1572" spans="1:8" x14ac:dyDescent="0.15">
      <c r="A1572" s="21">
        <v>3.066406E-2</v>
      </c>
      <c r="B1572" s="21">
        <f t="shared" si="48"/>
        <v>0.20113</v>
      </c>
      <c r="D1572">
        <f t="shared" si="49"/>
        <v>81.358176100628924</v>
      </c>
      <c r="G1572" s="21">
        <v>-0.25871899999999998</v>
      </c>
      <c r="H1572" s="21">
        <v>0.20113</v>
      </c>
    </row>
    <row r="1573" spans="1:8" x14ac:dyDescent="0.15">
      <c r="A1573" s="21">
        <v>3.068359E-2</v>
      </c>
      <c r="B1573" s="21">
        <f t="shared" si="48"/>
        <v>0.22532199999999999</v>
      </c>
      <c r="D1573">
        <f t="shared" si="49"/>
        <v>90.989465408805017</v>
      </c>
      <c r="G1573" s="21">
        <v>-0.28934650000000001</v>
      </c>
      <c r="H1573" s="21">
        <v>0.22532199999999999</v>
      </c>
    </row>
    <row r="1574" spans="1:8" x14ac:dyDescent="0.15">
      <c r="A1574" s="21">
        <v>3.0703129999999999E-2</v>
      </c>
      <c r="B1574" s="21">
        <f t="shared" si="48"/>
        <v>0.2419172</v>
      </c>
      <c r="D1574">
        <f t="shared" si="49"/>
        <v>97.649591194968551</v>
      </c>
      <c r="G1574" s="21">
        <v>-0.31052570000000002</v>
      </c>
      <c r="H1574" s="21">
        <v>0.2419172</v>
      </c>
    </row>
    <row r="1575" spans="1:8" x14ac:dyDescent="0.15">
      <c r="A1575" s="21">
        <v>3.0722659999999999E-2</v>
      </c>
      <c r="B1575" s="21">
        <f t="shared" si="48"/>
        <v>0.25014789999999998</v>
      </c>
      <c r="D1575">
        <f t="shared" si="49"/>
        <v>101.03503144654088</v>
      </c>
      <c r="G1575" s="21">
        <v>-0.3212914</v>
      </c>
      <c r="H1575" s="21">
        <v>0.25014789999999998</v>
      </c>
    </row>
    <row r="1576" spans="1:8" x14ac:dyDescent="0.15">
      <c r="A1576" s="21">
        <v>3.0742189999999999E-2</v>
      </c>
      <c r="B1576" s="21">
        <f t="shared" si="48"/>
        <v>0.2497172</v>
      </c>
      <c r="D1576">
        <f t="shared" si="49"/>
        <v>100.89738993710691</v>
      </c>
      <c r="G1576" s="21">
        <v>-0.32085370000000002</v>
      </c>
      <c r="H1576" s="21">
        <v>0.2497172</v>
      </c>
    </row>
    <row r="1577" spans="1:8" x14ac:dyDescent="0.15">
      <c r="A1577" s="21">
        <v>3.0761719999999999E-2</v>
      </c>
      <c r="B1577" s="21">
        <f t="shared" si="48"/>
        <v>0.2412224</v>
      </c>
      <c r="D1577">
        <f t="shared" si="49"/>
        <v>97.484999999999985</v>
      </c>
      <c r="G1577" s="21">
        <v>-0.31000230000000001</v>
      </c>
      <c r="H1577" s="21">
        <v>0.2412224</v>
      </c>
    </row>
    <row r="1578" spans="1:8" x14ac:dyDescent="0.15">
      <c r="A1578" s="21">
        <v>3.078125E-2</v>
      </c>
      <c r="B1578" s="21">
        <f t="shared" si="48"/>
        <v>0.22507050000000001</v>
      </c>
      <c r="D1578">
        <f t="shared" si="49"/>
        <v>91.014088050314456</v>
      </c>
      <c r="G1578" s="21">
        <v>-0.28942479999999998</v>
      </c>
      <c r="H1578" s="21">
        <v>0.22507050000000001</v>
      </c>
    </row>
    <row r="1579" spans="1:8" x14ac:dyDescent="0.15">
      <c r="A1579" s="21">
        <v>3.080078E-2</v>
      </c>
      <c r="B1579" s="21">
        <f t="shared" si="48"/>
        <v>0.20112360000000001</v>
      </c>
      <c r="D1579">
        <f t="shared" si="49"/>
        <v>81.440031446540885</v>
      </c>
      <c r="G1579" s="21">
        <v>-0.25897930000000002</v>
      </c>
      <c r="H1579" s="21">
        <v>0.20112360000000001</v>
      </c>
    </row>
    <row r="1580" spans="1:8" x14ac:dyDescent="0.15">
      <c r="A1580" s="21">
        <v>3.082031E-2</v>
      </c>
      <c r="B1580" s="21">
        <f t="shared" si="48"/>
        <v>0.1697207</v>
      </c>
      <c r="D1580">
        <f t="shared" si="49"/>
        <v>68.860691823899373</v>
      </c>
      <c r="G1580" s="21">
        <v>-0.218977</v>
      </c>
      <c r="H1580" s="21">
        <v>0.1697207</v>
      </c>
    </row>
    <row r="1581" spans="1:8" x14ac:dyDescent="0.15">
      <c r="A1581" s="21">
        <v>3.083984E-2</v>
      </c>
      <c r="B1581" s="21">
        <f t="shared" si="48"/>
        <v>0.13231619999999999</v>
      </c>
      <c r="D1581">
        <f t="shared" si="49"/>
        <v>53.945691823899374</v>
      </c>
      <c r="G1581" s="21">
        <v>-0.17154730000000001</v>
      </c>
      <c r="H1581" s="21">
        <v>0.13231619999999999</v>
      </c>
    </row>
    <row r="1582" spans="1:8" x14ac:dyDescent="0.15">
      <c r="A1582" s="21">
        <v>3.0859379999999999E-2</v>
      </c>
      <c r="B1582" s="21">
        <f t="shared" si="48"/>
        <v>9.0405479999999996E-2</v>
      </c>
      <c r="D1582">
        <f t="shared" si="49"/>
        <v>37.262767295597484</v>
      </c>
      <c r="G1582" s="21">
        <v>-0.11849560000000001</v>
      </c>
      <c r="H1582" s="21">
        <v>9.0405479999999996E-2</v>
      </c>
    </row>
    <row r="1583" spans="1:8" x14ac:dyDescent="0.15">
      <c r="A1583" s="21">
        <v>3.0878909999999999E-2</v>
      </c>
      <c r="B1583" s="21">
        <f t="shared" si="48"/>
        <v>4.5496969999999998E-2</v>
      </c>
      <c r="D1583">
        <f t="shared" si="49"/>
        <v>19.226113207547169</v>
      </c>
      <c r="G1583" s="21">
        <v>-6.1139039999999999E-2</v>
      </c>
      <c r="H1583" s="21">
        <v>4.5496969999999998E-2</v>
      </c>
    </row>
    <row r="1584" spans="1:8" x14ac:dyDescent="0.15">
      <c r="A1584" s="21">
        <v>3.0898439999999999E-2</v>
      </c>
      <c r="B1584" s="21">
        <f t="shared" si="48"/>
        <v>-8.1489530000000004E-4</v>
      </c>
      <c r="D1584">
        <f t="shared" si="49"/>
        <v>0.6911638364779874</v>
      </c>
      <c r="G1584" s="21">
        <v>-2.1979009999999999E-3</v>
      </c>
      <c r="H1584" s="21">
        <v>-8.1489530000000004E-4</v>
      </c>
    </row>
    <row r="1585" spans="1:8" x14ac:dyDescent="0.15">
      <c r="A1585" s="21">
        <v>3.0917969999999999E-2</v>
      </c>
      <c r="B1585" s="21">
        <f t="shared" si="48"/>
        <v>-4.7060749999999998E-2</v>
      </c>
      <c r="D1585">
        <f t="shared" si="49"/>
        <v>-17.796682389937104</v>
      </c>
      <c r="G1585" s="21">
        <v>5.6593449999999997E-2</v>
      </c>
      <c r="H1585" s="21">
        <v>-4.7060749999999998E-2</v>
      </c>
    </row>
    <row r="1586" spans="1:8" x14ac:dyDescent="0.15">
      <c r="A1586" s="21">
        <v>3.09375E-2</v>
      </c>
      <c r="B1586" s="21">
        <f t="shared" si="48"/>
        <v>-9.16767E-2</v>
      </c>
      <c r="D1586">
        <f t="shared" si="49"/>
        <v>-35.675220125786161</v>
      </c>
      <c r="G1586" s="21">
        <v>0.1134472</v>
      </c>
      <c r="H1586" s="21">
        <v>-9.16767E-2</v>
      </c>
    </row>
    <row r="1587" spans="1:8" x14ac:dyDescent="0.15">
      <c r="A1587" s="21">
        <v>3.095703E-2</v>
      </c>
      <c r="B1587" s="21">
        <f t="shared" si="48"/>
        <v>-0.1330151</v>
      </c>
      <c r="D1587">
        <f t="shared" si="49"/>
        <v>-52.221226415094335</v>
      </c>
      <c r="G1587" s="21">
        <v>0.1660635</v>
      </c>
      <c r="H1587" s="21">
        <v>-0.1330151</v>
      </c>
    </row>
    <row r="1588" spans="1:8" x14ac:dyDescent="0.15">
      <c r="A1588" s="21">
        <v>3.097656E-2</v>
      </c>
      <c r="B1588" s="21">
        <f t="shared" si="48"/>
        <v>-0.1699775</v>
      </c>
      <c r="D1588">
        <f t="shared" si="49"/>
        <v>-67.187264150943392</v>
      </c>
      <c r="G1588" s="21">
        <v>0.2136555</v>
      </c>
      <c r="H1588" s="21">
        <v>-0.1699775</v>
      </c>
    </row>
    <row r="1589" spans="1:8" x14ac:dyDescent="0.15">
      <c r="A1589" s="21">
        <v>3.099609E-2</v>
      </c>
      <c r="B1589" s="21">
        <f t="shared" si="48"/>
        <v>-0.20146639999999999</v>
      </c>
      <c r="D1589">
        <f t="shared" si="49"/>
        <v>-79.888773584905664</v>
      </c>
      <c r="G1589" s="21">
        <v>0.2540463</v>
      </c>
      <c r="H1589" s="21">
        <v>-0.20146639999999999</v>
      </c>
    </row>
    <row r="1590" spans="1:8" x14ac:dyDescent="0.15">
      <c r="A1590" s="21">
        <v>3.1015629999999999E-2</v>
      </c>
      <c r="B1590" s="21">
        <f t="shared" si="48"/>
        <v>-0.22567680000000001</v>
      </c>
      <c r="D1590">
        <f t="shared" si="49"/>
        <v>-89.59154088050316</v>
      </c>
      <c r="G1590" s="21">
        <v>0.28490110000000002</v>
      </c>
      <c r="H1590" s="21">
        <v>-0.22567680000000001</v>
      </c>
    </row>
    <row r="1591" spans="1:8" x14ac:dyDescent="0.15">
      <c r="A1591" s="21">
        <v>3.1035159999999999E-2</v>
      </c>
      <c r="B1591" s="21">
        <f t="shared" si="48"/>
        <v>-0.2422947</v>
      </c>
      <c r="D1591">
        <f t="shared" si="49"/>
        <v>-96.355974842767296</v>
      </c>
      <c r="G1591" s="21">
        <v>0.30641200000000002</v>
      </c>
      <c r="H1591" s="21">
        <v>-0.2422947</v>
      </c>
    </row>
    <row r="1592" spans="1:8" x14ac:dyDescent="0.15">
      <c r="A1592" s="21">
        <v>3.1054689999999999E-2</v>
      </c>
      <c r="B1592" s="21">
        <f t="shared" si="48"/>
        <v>-0.25135540000000001</v>
      </c>
      <c r="D1592">
        <f t="shared" si="49"/>
        <v>-100.01477987421384</v>
      </c>
      <c r="G1592" s="21">
        <v>0.31804700000000002</v>
      </c>
      <c r="H1592" s="21">
        <v>-0.25135540000000001</v>
      </c>
    </row>
    <row r="1593" spans="1:8" x14ac:dyDescent="0.15">
      <c r="A1593" s="21">
        <v>3.107422E-2</v>
      </c>
      <c r="B1593" s="21">
        <f t="shared" si="48"/>
        <v>-0.25189699999999998</v>
      </c>
      <c r="D1593">
        <f t="shared" si="49"/>
        <v>-100.26871069182388</v>
      </c>
      <c r="G1593" s="21">
        <v>0.31885449999999999</v>
      </c>
      <c r="H1593" s="21">
        <v>-0.25189699999999998</v>
      </c>
    </row>
    <row r="1594" spans="1:8" x14ac:dyDescent="0.15">
      <c r="A1594" s="21">
        <v>3.109375E-2</v>
      </c>
      <c r="B1594" s="21">
        <f t="shared" si="48"/>
        <v>-0.24433389999999999</v>
      </c>
      <c r="D1594">
        <f t="shared" si="49"/>
        <v>-97.320974842767299</v>
      </c>
      <c r="G1594" s="21">
        <v>0.3094807</v>
      </c>
      <c r="H1594" s="21">
        <v>-0.24433389999999999</v>
      </c>
    </row>
    <row r="1595" spans="1:8" x14ac:dyDescent="0.15">
      <c r="A1595" s="21">
        <v>3.111328E-2</v>
      </c>
      <c r="B1595" s="21">
        <f t="shared" si="48"/>
        <v>-0.22855110000000001</v>
      </c>
      <c r="D1595">
        <f t="shared" si="49"/>
        <v>-91.026729559748418</v>
      </c>
      <c r="G1595" s="21">
        <v>0.28946499999999997</v>
      </c>
      <c r="H1595" s="21">
        <v>-0.22855110000000001</v>
      </c>
    </row>
    <row r="1596" spans="1:8" x14ac:dyDescent="0.15">
      <c r="A1596" s="21">
        <v>3.113281E-2</v>
      </c>
      <c r="B1596" s="21">
        <f t="shared" si="48"/>
        <v>-0.2042831</v>
      </c>
      <c r="D1596">
        <f t="shared" si="49"/>
        <v>-81.300817610062893</v>
      </c>
      <c r="G1596" s="21">
        <v>0.25853660000000001</v>
      </c>
      <c r="H1596" s="21">
        <v>-0.2042831</v>
      </c>
    </row>
    <row r="1597" spans="1:8" x14ac:dyDescent="0.15">
      <c r="A1597" s="21">
        <v>3.1152340000000001E-2</v>
      </c>
      <c r="B1597" s="21">
        <f t="shared" si="48"/>
        <v>-0.17344660000000001</v>
      </c>
      <c r="D1597">
        <f t="shared" si="49"/>
        <v>-68.923522012578616</v>
      </c>
      <c r="G1597" s="21">
        <v>0.2191768</v>
      </c>
      <c r="H1597" s="21">
        <v>-0.17344660000000001</v>
      </c>
    </row>
    <row r="1598" spans="1:8" x14ac:dyDescent="0.15">
      <c r="A1598" s="21">
        <v>3.1171879999999999E-2</v>
      </c>
      <c r="B1598" s="21">
        <f t="shared" si="48"/>
        <v>-0.13695660000000001</v>
      </c>
      <c r="D1598">
        <f t="shared" si="49"/>
        <v>-54.290880503144649</v>
      </c>
      <c r="G1598" s="21">
        <v>0.17264499999999999</v>
      </c>
      <c r="H1598" s="21">
        <v>-0.13695660000000001</v>
      </c>
    </row>
    <row r="1599" spans="1:8" x14ac:dyDescent="0.15">
      <c r="A1599" s="21">
        <v>3.1191409999999999E-2</v>
      </c>
      <c r="B1599" s="21">
        <f t="shared" si="48"/>
        <v>-9.5568100000000003E-2</v>
      </c>
      <c r="D1599">
        <f t="shared" si="49"/>
        <v>-37.735157232704402</v>
      </c>
      <c r="G1599" s="21">
        <v>0.1199978</v>
      </c>
      <c r="H1599" s="21">
        <v>-9.5568100000000003E-2</v>
      </c>
    </row>
    <row r="1600" spans="1:8" x14ac:dyDescent="0.15">
      <c r="A1600" s="21">
        <v>3.121094E-2</v>
      </c>
      <c r="B1600" s="21">
        <f t="shared" si="48"/>
        <v>-5.1292160000000003E-2</v>
      </c>
      <c r="D1600">
        <f t="shared" si="49"/>
        <v>-20.037808176100629</v>
      </c>
      <c r="G1600" s="21">
        <v>6.3720230000000003E-2</v>
      </c>
      <c r="H1600" s="21">
        <v>-5.1292160000000003E-2</v>
      </c>
    </row>
    <row r="1601" spans="1:8" x14ac:dyDescent="0.15">
      <c r="A1601" s="21">
        <v>3.123047E-2</v>
      </c>
      <c r="B1601" s="21">
        <f t="shared" si="48"/>
        <v>-4.8554899999999996E-3</v>
      </c>
      <c r="D1601">
        <f t="shared" si="49"/>
        <v>-1.3739034591194967</v>
      </c>
      <c r="G1601" s="21">
        <v>4.3690129999999997E-3</v>
      </c>
      <c r="H1601" s="21">
        <v>-4.8554899999999996E-3</v>
      </c>
    </row>
    <row r="1602" spans="1:8" x14ac:dyDescent="0.15">
      <c r="A1602" s="21">
        <v>3.125E-2</v>
      </c>
      <c r="B1602" s="21">
        <f t="shared" ref="B1602:B1665" si="50">H1602</f>
        <v>4.2226779999999998E-2</v>
      </c>
      <c r="D1602">
        <f t="shared" ref="D1602:D1665" si="51">G1602*-1000/3.18</f>
        <v>17.545622641509432</v>
      </c>
      <c r="G1602" s="21">
        <v>-5.5795079999999997E-2</v>
      </c>
      <c r="H1602" s="21">
        <v>4.2226779999999998E-2</v>
      </c>
    </row>
    <row r="1603" spans="1:8" x14ac:dyDescent="0.15">
      <c r="A1603" s="21">
        <v>3.1269529999999997E-2</v>
      </c>
      <c r="B1603" s="21">
        <f t="shared" si="50"/>
        <v>8.7098350000000005E-2</v>
      </c>
      <c r="D1603">
        <f t="shared" si="51"/>
        <v>35.445283018867919</v>
      </c>
      <c r="G1603" s="21">
        <v>-0.112716</v>
      </c>
      <c r="H1603" s="21">
        <v>8.7098350000000005E-2</v>
      </c>
    </row>
    <row r="1604" spans="1:8" x14ac:dyDescent="0.15">
      <c r="A1604" s="21">
        <v>3.128906E-2</v>
      </c>
      <c r="B1604" s="21">
        <f t="shared" si="50"/>
        <v>0.1285636</v>
      </c>
      <c r="D1604">
        <f t="shared" si="51"/>
        <v>52.050471698113206</v>
      </c>
      <c r="G1604" s="21">
        <v>-0.16552049999999999</v>
      </c>
      <c r="H1604" s="21">
        <v>0.1285636</v>
      </c>
    </row>
    <row r="1605" spans="1:8" x14ac:dyDescent="0.15">
      <c r="A1605" s="21">
        <v>3.1308589999999997E-2</v>
      </c>
      <c r="B1605" s="21">
        <f t="shared" si="50"/>
        <v>0.16585449999999999</v>
      </c>
      <c r="D1605">
        <f t="shared" si="51"/>
        <v>67.07955974842767</v>
      </c>
      <c r="G1605" s="21">
        <v>-0.213313</v>
      </c>
      <c r="H1605" s="21">
        <v>0.16585449999999999</v>
      </c>
    </row>
    <row r="1606" spans="1:8" x14ac:dyDescent="0.15">
      <c r="A1606" s="21">
        <v>3.1328120000000001E-2</v>
      </c>
      <c r="B1606" s="21">
        <f t="shared" si="50"/>
        <v>0.1975335</v>
      </c>
      <c r="D1606">
        <f t="shared" si="51"/>
        <v>79.821949685534591</v>
      </c>
      <c r="G1606" s="21">
        <v>-0.2538338</v>
      </c>
      <c r="H1606" s="21">
        <v>0.1975335</v>
      </c>
    </row>
    <row r="1607" spans="1:8" x14ac:dyDescent="0.15">
      <c r="A1607" s="21">
        <v>3.1347659999999999E-2</v>
      </c>
      <c r="B1607" s="21">
        <f t="shared" si="50"/>
        <v>0.22260559999999999</v>
      </c>
      <c r="D1607">
        <f t="shared" si="51"/>
        <v>89.853679245283018</v>
      </c>
      <c r="G1607" s="21">
        <v>-0.28573470000000001</v>
      </c>
      <c r="H1607" s="21">
        <v>0.22260559999999999</v>
      </c>
    </row>
    <row r="1608" spans="1:8" x14ac:dyDescent="0.15">
      <c r="A1608" s="21">
        <v>3.1367190000000003E-2</v>
      </c>
      <c r="B1608" s="21">
        <f t="shared" si="50"/>
        <v>0.24005969999999999</v>
      </c>
      <c r="D1608">
        <f t="shared" si="51"/>
        <v>96.829402515723274</v>
      </c>
      <c r="G1608" s="21">
        <v>-0.30791750000000001</v>
      </c>
      <c r="H1608" s="21">
        <v>0.24005969999999999</v>
      </c>
    </row>
    <row r="1609" spans="1:8" x14ac:dyDescent="0.15">
      <c r="A1609" s="21">
        <v>3.138672E-2</v>
      </c>
      <c r="B1609" s="21">
        <f t="shared" si="50"/>
        <v>0.24939159999999999</v>
      </c>
      <c r="D1609">
        <f t="shared" si="51"/>
        <v>100.67786163522013</v>
      </c>
      <c r="G1609" s="21">
        <v>-0.32015559999999998</v>
      </c>
      <c r="H1609" s="21">
        <v>0.24939159999999999</v>
      </c>
    </row>
    <row r="1610" spans="1:8" x14ac:dyDescent="0.15">
      <c r="A1610" s="21">
        <v>3.1406249999999997E-2</v>
      </c>
      <c r="B1610" s="21">
        <f t="shared" si="50"/>
        <v>0.25065749999999998</v>
      </c>
      <c r="D1610">
        <f t="shared" si="51"/>
        <v>101.22490566037735</v>
      </c>
      <c r="G1610" s="21">
        <v>-0.32189519999999999</v>
      </c>
      <c r="H1610" s="21">
        <v>0.25065749999999998</v>
      </c>
    </row>
    <row r="1611" spans="1:8" x14ac:dyDescent="0.15">
      <c r="A1611" s="21">
        <v>3.142578E-2</v>
      </c>
      <c r="B1611" s="21">
        <f t="shared" si="50"/>
        <v>0.2433371</v>
      </c>
      <c r="D1611">
        <f t="shared" si="51"/>
        <v>98.242798742138362</v>
      </c>
      <c r="G1611" s="21">
        <v>-0.31241210000000003</v>
      </c>
      <c r="H1611" s="21">
        <v>0.2433371</v>
      </c>
    </row>
    <row r="1612" spans="1:8" x14ac:dyDescent="0.15">
      <c r="A1612" s="21">
        <v>3.1445309999999997E-2</v>
      </c>
      <c r="B1612" s="21">
        <f t="shared" si="50"/>
        <v>0.22780539999999999</v>
      </c>
      <c r="D1612">
        <f t="shared" si="51"/>
        <v>92.110628930817612</v>
      </c>
      <c r="G1612" s="21">
        <v>-0.2929118</v>
      </c>
      <c r="H1612" s="21">
        <v>0.22780539999999999</v>
      </c>
    </row>
    <row r="1613" spans="1:8" x14ac:dyDescent="0.15">
      <c r="A1613" s="21">
        <v>3.1464840000000001E-2</v>
      </c>
      <c r="B1613" s="21">
        <f t="shared" si="50"/>
        <v>0.2044087</v>
      </c>
      <c r="D1613">
        <f t="shared" si="51"/>
        <v>82.7685220125786</v>
      </c>
      <c r="G1613" s="21">
        <v>-0.26320389999999999</v>
      </c>
      <c r="H1613" s="21">
        <v>0.2044087</v>
      </c>
    </row>
    <row r="1614" spans="1:8" x14ac:dyDescent="0.15">
      <c r="A1614" s="21">
        <v>3.1484379999999999E-2</v>
      </c>
      <c r="B1614" s="21">
        <f t="shared" si="50"/>
        <v>0.17350679999999999</v>
      </c>
      <c r="D1614">
        <f t="shared" si="51"/>
        <v>70.442672955974842</v>
      </c>
      <c r="G1614" s="21">
        <v>-0.2240077</v>
      </c>
      <c r="H1614" s="21">
        <v>0.17350679999999999</v>
      </c>
    </row>
    <row r="1615" spans="1:8" x14ac:dyDescent="0.15">
      <c r="A1615" s="21">
        <v>3.1503910000000003E-2</v>
      </c>
      <c r="B1615" s="21">
        <f t="shared" si="50"/>
        <v>0.13750470000000001</v>
      </c>
      <c r="D1615">
        <f t="shared" si="51"/>
        <v>56.114150943396218</v>
      </c>
      <c r="G1615" s="21">
        <v>-0.17844299999999999</v>
      </c>
      <c r="H1615" s="21">
        <v>0.13750470000000001</v>
      </c>
    </row>
    <row r="1616" spans="1:8" x14ac:dyDescent="0.15">
      <c r="A1616" s="21">
        <v>3.152344E-2</v>
      </c>
      <c r="B1616" s="21">
        <f t="shared" si="50"/>
        <v>9.7024879999999994E-2</v>
      </c>
      <c r="D1616">
        <f t="shared" si="51"/>
        <v>39.803238993710686</v>
      </c>
      <c r="G1616" s="21">
        <v>-0.1265743</v>
      </c>
      <c r="H1616" s="21">
        <v>9.7024879999999994E-2</v>
      </c>
    </row>
    <row r="1617" spans="1:8" x14ac:dyDescent="0.15">
      <c r="A1617" s="21">
        <v>3.1542969999999997E-2</v>
      </c>
      <c r="B1617" s="21">
        <f t="shared" si="50"/>
        <v>5.2037439999999997E-2</v>
      </c>
      <c r="D1617">
        <f t="shared" si="51"/>
        <v>21.779946540880506</v>
      </c>
      <c r="G1617" s="21">
        <v>-6.9260230000000006E-2</v>
      </c>
      <c r="H1617" s="21">
        <v>5.2037439999999997E-2</v>
      </c>
    </row>
    <row r="1618" spans="1:8" x14ac:dyDescent="0.15">
      <c r="A1618" s="21">
        <v>3.15625E-2</v>
      </c>
      <c r="B1618" s="21">
        <f t="shared" si="50"/>
        <v>5.3436029999999997E-3</v>
      </c>
      <c r="D1618">
        <f t="shared" si="51"/>
        <v>3.1802201257861631</v>
      </c>
      <c r="G1618" s="21">
        <v>-1.01131E-2</v>
      </c>
      <c r="H1618" s="21">
        <v>5.3436029999999997E-3</v>
      </c>
    </row>
    <row r="1619" spans="1:8" x14ac:dyDescent="0.15">
      <c r="A1619" s="21">
        <v>3.1582029999999997E-2</v>
      </c>
      <c r="B1619" s="21">
        <f t="shared" si="50"/>
        <v>-4.1235389999999997E-2</v>
      </c>
      <c r="D1619">
        <f t="shared" si="51"/>
        <v>-15.481499999999999</v>
      </c>
      <c r="G1619" s="21">
        <v>4.9231169999999998E-2</v>
      </c>
      <c r="H1619" s="21">
        <v>-4.1235389999999997E-2</v>
      </c>
    </row>
    <row r="1620" spans="1:8" x14ac:dyDescent="0.15">
      <c r="A1620" s="21">
        <v>3.1601560000000001E-2</v>
      </c>
      <c r="B1620" s="21">
        <f t="shared" si="50"/>
        <v>-8.6111229999999997E-2</v>
      </c>
      <c r="D1620">
        <f t="shared" si="51"/>
        <v>-33.506415094339623</v>
      </c>
      <c r="G1620" s="21">
        <v>0.1065504</v>
      </c>
      <c r="H1620" s="21">
        <v>-8.6111229999999997E-2</v>
      </c>
    </row>
    <row r="1621" spans="1:8" x14ac:dyDescent="0.15">
      <c r="A1621" s="21">
        <v>3.1621089999999998E-2</v>
      </c>
      <c r="B1621" s="21">
        <f t="shared" si="50"/>
        <v>-0.12715989999999999</v>
      </c>
      <c r="D1621">
        <f t="shared" si="51"/>
        <v>-50.012421383647798</v>
      </c>
      <c r="G1621" s="21">
        <v>0.1590395</v>
      </c>
      <c r="H1621" s="21">
        <v>-0.12715989999999999</v>
      </c>
    </row>
    <row r="1622" spans="1:8" x14ac:dyDescent="0.15">
      <c r="A1622" s="21">
        <v>3.1640620000000001E-2</v>
      </c>
      <c r="B1622" s="21">
        <f t="shared" si="50"/>
        <v>-0.16450049999999999</v>
      </c>
      <c r="D1622">
        <f t="shared" si="51"/>
        <v>-65.037578616352192</v>
      </c>
      <c r="G1622" s="21">
        <v>0.20681949999999999</v>
      </c>
      <c r="H1622" s="21">
        <v>-0.16450049999999999</v>
      </c>
    </row>
    <row r="1623" spans="1:8" x14ac:dyDescent="0.15">
      <c r="A1623" s="21">
        <v>3.166016E-2</v>
      </c>
      <c r="B1623" s="21">
        <f t="shared" si="50"/>
        <v>-0.19711770000000001</v>
      </c>
      <c r="D1623">
        <f t="shared" si="51"/>
        <v>-78.163993710691813</v>
      </c>
      <c r="G1623" s="21">
        <v>0.24856149999999999</v>
      </c>
      <c r="H1623" s="21">
        <v>-0.19711770000000001</v>
      </c>
    </row>
    <row r="1624" spans="1:8" x14ac:dyDescent="0.15">
      <c r="A1624" s="21">
        <v>3.1679690000000003E-2</v>
      </c>
      <c r="B1624" s="21">
        <f t="shared" si="50"/>
        <v>-0.22283600000000001</v>
      </c>
      <c r="D1624">
        <f t="shared" si="51"/>
        <v>-88.46015723270439</v>
      </c>
      <c r="G1624" s="21">
        <v>0.28130329999999998</v>
      </c>
      <c r="H1624" s="21">
        <v>-0.22283600000000001</v>
      </c>
    </row>
    <row r="1625" spans="1:8" x14ac:dyDescent="0.15">
      <c r="A1625" s="21">
        <v>3.169922E-2</v>
      </c>
      <c r="B1625" s="21">
        <f t="shared" si="50"/>
        <v>-0.24093880000000001</v>
      </c>
      <c r="D1625">
        <f t="shared" si="51"/>
        <v>-95.72915094339622</v>
      </c>
      <c r="G1625" s="21">
        <v>0.30441869999999999</v>
      </c>
      <c r="H1625" s="21">
        <v>-0.24093880000000001</v>
      </c>
    </row>
    <row r="1626" spans="1:8" x14ac:dyDescent="0.15">
      <c r="A1626" s="21">
        <v>3.1718749999999997E-2</v>
      </c>
      <c r="B1626" s="21">
        <f t="shared" si="50"/>
        <v>-0.25060450000000001</v>
      </c>
      <c r="D1626">
        <f t="shared" si="51"/>
        <v>-99.691226415094334</v>
      </c>
      <c r="G1626" s="21">
        <v>0.31701810000000002</v>
      </c>
      <c r="H1626" s="21">
        <v>-0.25060450000000001</v>
      </c>
    </row>
    <row r="1627" spans="1:8" x14ac:dyDescent="0.15">
      <c r="A1627" s="21">
        <v>3.1738280000000001E-2</v>
      </c>
      <c r="B1627" s="21">
        <f t="shared" si="50"/>
        <v>-0.25197649999999999</v>
      </c>
      <c r="D1627">
        <f t="shared" si="51"/>
        <v>-100.2443396226415</v>
      </c>
      <c r="G1627" s="21">
        <v>0.31877699999999998</v>
      </c>
      <c r="H1627" s="21">
        <v>-0.25197649999999999</v>
      </c>
    </row>
    <row r="1628" spans="1:8" x14ac:dyDescent="0.15">
      <c r="A1628" s="21">
        <v>3.1757809999999997E-2</v>
      </c>
      <c r="B1628" s="21">
        <f t="shared" si="50"/>
        <v>-0.24541060000000001</v>
      </c>
      <c r="D1628">
        <f t="shared" si="51"/>
        <v>-97.626855345911935</v>
      </c>
      <c r="G1628" s="21">
        <v>0.31045339999999999</v>
      </c>
      <c r="H1628" s="21">
        <v>-0.24541060000000001</v>
      </c>
    </row>
    <row r="1629" spans="1:8" x14ac:dyDescent="0.15">
      <c r="A1629" s="21">
        <v>3.1777340000000001E-2</v>
      </c>
      <c r="B1629" s="21">
        <f t="shared" si="50"/>
        <v>-0.2306753</v>
      </c>
      <c r="D1629">
        <f t="shared" si="51"/>
        <v>-91.743301886792452</v>
      </c>
      <c r="G1629" s="21">
        <v>0.29174369999999999</v>
      </c>
      <c r="H1629" s="21">
        <v>-0.2306753</v>
      </c>
    </row>
    <row r="1630" spans="1:8" x14ac:dyDescent="0.15">
      <c r="A1630" s="21">
        <v>3.179688E-2</v>
      </c>
      <c r="B1630" s="21">
        <f t="shared" si="50"/>
        <v>-0.20814640000000001</v>
      </c>
      <c r="D1630">
        <f t="shared" si="51"/>
        <v>-82.71814465408805</v>
      </c>
      <c r="G1630" s="21">
        <v>0.26304369999999999</v>
      </c>
      <c r="H1630" s="21">
        <v>-0.20814640000000001</v>
      </c>
    </row>
    <row r="1631" spans="1:8" x14ac:dyDescent="0.15">
      <c r="A1631" s="21">
        <v>3.1816410000000003E-2</v>
      </c>
      <c r="B1631" s="21">
        <f t="shared" si="50"/>
        <v>-0.1780899</v>
      </c>
      <c r="D1631">
        <f t="shared" si="51"/>
        <v>-70.786320754716982</v>
      </c>
      <c r="G1631" s="21">
        <v>0.22510050000000001</v>
      </c>
      <c r="H1631" s="21">
        <v>-0.1780899</v>
      </c>
    </row>
    <row r="1632" spans="1:8" x14ac:dyDescent="0.15">
      <c r="A1632" s="21">
        <v>3.183594E-2</v>
      </c>
      <c r="B1632" s="21">
        <f t="shared" si="50"/>
        <v>-0.14198559999999999</v>
      </c>
      <c r="D1632">
        <f t="shared" si="51"/>
        <v>-56.354779874213833</v>
      </c>
      <c r="G1632" s="21">
        <v>0.17920820000000001</v>
      </c>
      <c r="H1632" s="21">
        <v>-0.14198559999999999</v>
      </c>
    </row>
    <row r="1633" spans="1:8" x14ac:dyDescent="0.15">
      <c r="A1633" s="21">
        <v>3.1855469999999997E-2</v>
      </c>
      <c r="B1633" s="21">
        <f t="shared" si="50"/>
        <v>-0.1012545</v>
      </c>
      <c r="D1633">
        <f t="shared" si="51"/>
        <v>-39.994339622641505</v>
      </c>
      <c r="G1633" s="21">
        <v>0.12718199999999999</v>
      </c>
      <c r="H1633" s="21">
        <v>-0.1012545</v>
      </c>
    </row>
    <row r="1634" spans="1:8" x14ac:dyDescent="0.15">
      <c r="A1634" s="21">
        <v>3.1875000000000001E-2</v>
      </c>
      <c r="B1634" s="21">
        <f t="shared" si="50"/>
        <v>-5.6650409999999998E-2</v>
      </c>
      <c r="D1634">
        <f t="shared" si="51"/>
        <v>-22.119685534591198</v>
      </c>
      <c r="G1634" s="21">
        <v>7.0340600000000003E-2</v>
      </c>
      <c r="H1634" s="21">
        <v>-5.6650409999999998E-2</v>
      </c>
    </row>
    <row r="1635" spans="1:8" x14ac:dyDescent="0.15">
      <c r="A1635" s="21">
        <v>3.1894529999999997E-2</v>
      </c>
      <c r="B1635" s="21">
        <f t="shared" si="50"/>
        <v>-1.033191E-2</v>
      </c>
      <c r="D1635">
        <f t="shared" si="51"/>
        <v>-3.5389402515723267</v>
      </c>
      <c r="G1635" s="21">
        <v>1.1253829999999999E-2</v>
      </c>
      <c r="H1635" s="21">
        <v>-1.033191E-2</v>
      </c>
    </row>
    <row r="1636" spans="1:8" x14ac:dyDescent="0.15">
      <c r="A1636" s="21">
        <v>3.1914060000000001E-2</v>
      </c>
      <c r="B1636" s="21">
        <f t="shared" si="50"/>
        <v>3.5973499999999999E-2</v>
      </c>
      <c r="D1636">
        <f t="shared" si="51"/>
        <v>14.94277044025157</v>
      </c>
      <c r="G1636" s="21">
        <v>-4.7518009999999999E-2</v>
      </c>
      <c r="H1636" s="21">
        <v>3.5973499999999999E-2</v>
      </c>
    </row>
    <row r="1637" spans="1:8" x14ac:dyDescent="0.15">
      <c r="A1637" s="21">
        <v>3.1933589999999998E-2</v>
      </c>
      <c r="B1637" s="21">
        <f t="shared" si="50"/>
        <v>8.1002809999999995E-2</v>
      </c>
      <c r="D1637">
        <f t="shared" si="51"/>
        <v>32.978867924528302</v>
      </c>
      <c r="G1637" s="21">
        <v>-0.1048728</v>
      </c>
      <c r="H1637" s="21">
        <v>8.1002809999999995E-2</v>
      </c>
    </row>
    <row r="1638" spans="1:8" x14ac:dyDescent="0.15">
      <c r="A1638" s="21">
        <v>3.1953120000000002E-2</v>
      </c>
      <c r="B1638" s="21">
        <f t="shared" si="50"/>
        <v>0.1232041</v>
      </c>
      <c r="D1638">
        <f t="shared" si="51"/>
        <v>50.022044025157228</v>
      </c>
      <c r="G1638" s="21">
        <v>-0.15907009999999999</v>
      </c>
      <c r="H1638" s="21">
        <v>0.1232041</v>
      </c>
    </row>
    <row r="1639" spans="1:8" x14ac:dyDescent="0.15">
      <c r="A1639" s="21">
        <v>3.197266E-2</v>
      </c>
      <c r="B1639" s="21">
        <f t="shared" si="50"/>
        <v>0.16120590000000001</v>
      </c>
      <c r="D1639">
        <f t="shared" si="51"/>
        <v>65.262704402515723</v>
      </c>
      <c r="G1639" s="21">
        <v>-0.20753540000000001</v>
      </c>
      <c r="H1639" s="21">
        <v>0.16120590000000001</v>
      </c>
    </row>
    <row r="1640" spans="1:8" x14ac:dyDescent="0.15">
      <c r="A1640" s="21">
        <v>3.1992189999999997E-2</v>
      </c>
      <c r="B1640" s="21">
        <f t="shared" si="50"/>
        <v>0.19359380000000001</v>
      </c>
      <c r="D1640">
        <f t="shared" si="51"/>
        <v>78.219496855345909</v>
      </c>
      <c r="G1640" s="21">
        <v>-0.24873799999999999</v>
      </c>
      <c r="H1640" s="21">
        <v>0.19359380000000001</v>
      </c>
    </row>
    <row r="1641" spans="1:8" x14ac:dyDescent="0.15">
      <c r="A1641" s="21">
        <v>3.201172E-2</v>
      </c>
      <c r="B1641" s="21">
        <f t="shared" si="50"/>
        <v>0.2196582</v>
      </c>
      <c r="D1641">
        <f t="shared" si="51"/>
        <v>88.693396226415089</v>
      </c>
      <c r="G1641" s="21">
        <v>-0.28204499999999999</v>
      </c>
      <c r="H1641" s="21">
        <v>0.2196582</v>
      </c>
    </row>
    <row r="1642" spans="1:8" x14ac:dyDescent="0.15">
      <c r="A1642" s="21">
        <v>3.2031249999999997E-2</v>
      </c>
      <c r="B1642" s="21">
        <f t="shared" si="50"/>
        <v>0.23834640000000001</v>
      </c>
      <c r="D1642">
        <f t="shared" si="51"/>
        <v>96.217138364779856</v>
      </c>
      <c r="G1642" s="21">
        <v>-0.30597049999999998</v>
      </c>
      <c r="H1642" s="21">
        <v>0.23834640000000001</v>
      </c>
    </row>
    <row r="1643" spans="1:8" x14ac:dyDescent="0.15">
      <c r="A1643" s="21">
        <v>3.2050780000000001E-2</v>
      </c>
      <c r="B1643" s="21">
        <f t="shared" si="50"/>
        <v>0.24857019999999999</v>
      </c>
      <c r="D1643">
        <f t="shared" si="51"/>
        <v>100.34896226415093</v>
      </c>
      <c r="G1643" s="21">
        <v>-0.3191097</v>
      </c>
      <c r="H1643" s="21">
        <v>0.24857019999999999</v>
      </c>
    </row>
    <row r="1644" spans="1:8" x14ac:dyDescent="0.15">
      <c r="A1644" s="21">
        <v>3.2070309999999998E-2</v>
      </c>
      <c r="B1644" s="21">
        <f t="shared" si="50"/>
        <v>0.250583</v>
      </c>
      <c r="D1644">
        <f t="shared" si="51"/>
        <v>101.19216981132074</v>
      </c>
      <c r="G1644" s="21">
        <v>-0.3217911</v>
      </c>
      <c r="H1644" s="21">
        <v>0.250583</v>
      </c>
    </row>
    <row r="1645" spans="1:8" x14ac:dyDescent="0.15">
      <c r="A1645" s="21">
        <v>3.2089840000000001E-2</v>
      </c>
      <c r="B1645" s="21">
        <f t="shared" si="50"/>
        <v>0.24446999999999999</v>
      </c>
      <c r="D1645">
        <f t="shared" si="51"/>
        <v>98.84556603773585</v>
      </c>
      <c r="G1645" s="21">
        <v>-0.31432890000000002</v>
      </c>
      <c r="H1645" s="21">
        <v>0.24446999999999999</v>
      </c>
    </row>
    <row r="1646" spans="1:8" x14ac:dyDescent="0.15">
      <c r="A1646" s="21">
        <v>3.210938E-2</v>
      </c>
      <c r="B1646" s="21">
        <f t="shared" si="50"/>
        <v>0.23018739999999999</v>
      </c>
      <c r="D1646">
        <f t="shared" si="51"/>
        <v>93.142012578616345</v>
      </c>
      <c r="G1646" s="21">
        <v>-0.2961916</v>
      </c>
      <c r="H1646" s="21">
        <v>0.23018739999999999</v>
      </c>
    </row>
    <row r="1647" spans="1:8" x14ac:dyDescent="0.15">
      <c r="A1647" s="21">
        <v>3.2128909999999997E-2</v>
      </c>
      <c r="B1647" s="21">
        <f t="shared" si="50"/>
        <v>0.20784430000000001</v>
      </c>
      <c r="D1647">
        <f t="shared" si="51"/>
        <v>84.150849056603761</v>
      </c>
      <c r="G1647" s="21">
        <v>-0.2675997</v>
      </c>
      <c r="H1647" s="21">
        <v>0.20784430000000001</v>
      </c>
    </row>
    <row r="1648" spans="1:8" x14ac:dyDescent="0.15">
      <c r="A1648" s="21">
        <v>3.214844E-2</v>
      </c>
      <c r="B1648" s="21">
        <f t="shared" si="50"/>
        <v>0.17811350000000001</v>
      </c>
      <c r="D1648">
        <f t="shared" si="51"/>
        <v>72.321572327044024</v>
      </c>
      <c r="G1648" s="21">
        <v>-0.22998260000000001</v>
      </c>
      <c r="H1648" s="21">
        <v>0.17811350000000001</v>
      </c>
    </row>
    <row r="1649" spans="1:8" x14ac:dyDescent="0.15">
      <c r="A1649" s="21">
        <v>3.2167969999999997E-2</v>
      </c>
      <c r="B1649" s="21">
        <f t="shared" si="50"/>
        <v>0.14265369999999999</v>
      </c>
      <c r="D1649">
        <f t="shared" si="51"/>
        <v>58.145283018867929</v>
      </c>
      <c r="G1649" s="21">
        <v>-0.18490200000000001</v>
      </c>
      <c r="H1649" s="21">
        <v>0.14265369999999999</v>
      </c>
    </row>
    <row r="1650" spans="1:8" x14ac:dyDescent="0.15">
      <c r="A1650" s="21">
        <v>3.2187500000000001E-2</v>
      </c>
      <c r="B1650" s="21">
        <f t="shared" si="50"/>
        <v>0.1020447</v>
      </c>
      <c r="D1650">
        <f t="shared" si="51"/>
        <v>41.854433962264146</v>
      </c>
      <c r="G1650" s="21">
        <v>-0.1330971</v>
      </c>
      <c r="H1650" s="21">
        <v>0.1020447</v>
      </c>
    </row>
    <row r="1651" spans="1:8" x14ac:dyDescent="0.15">
      <c r="A1651" s="21">
        <v>3.2207029999999998E-2</v>
      </c>
      <c r="B1651" s="21">
        <f t="shared" si="50"/>
        <v>5.7434159999999998E-2</v>
      </c>
      <c r="D1651">
        <f t="shared" si="51"/>
        <v>24.0082358490566</v>
      </c>
      <c r="G1651" s="21">
        <v>-7.6346189999999994E-2</v>
      </c>
      <c r="H1651" s="21">
        <v>5.7434159999999998E-2</v>
      </c>
    </row>
    <row r="1652" spans="1:8" x14ac:dyDescent="0.15">
      <c r="A1652" s="21">
        <v>3.2226560000000001E-2</v>
      </c>
      <c r="B1652" s="21">
        <f t="shared" si="50"/>
        <v>1.138666E-2</v>
      </c>
      <c r="D1652">
        <f t="shared" si="51"/>
        <v>5.5749622641509422</v>
      </c>
      <c r="G1652" s="21">
        <v>-1.7728379999999998E-2</v>
      </c>
      <c r="H1652" s="21">
        <v>1.138666E-2</v>
      </c>
    </row>
    <row r="1653" spans="1:8" x14ac:dyDescent="0.15">
      <c r="A1653" s="21">
        <v>3.2246089999999998E-2</v>
      </c>
      <c r="B1653" s="21">
        <f t="shared" si="50"/>
        <v>-3.5039559999999997E-2</v>
      </c>
      <c r="D1653">
        <f t="shared" si="51"/>
        <v>-13.003342767295598</v>
      </c>
      <c r="G1653" s="21">
        <v>4.1350629999999999E-2</v>
      </c>
      <c r="H1653" s="21">
        <v>-3.5039559999999997E-2</v>
      </c>
    </row>
    <row r="1654" spans="1:8" x14ac:dyDescent="0.15">
      <c r="A1654" s="21">
        <v>3.2265620000000002E-2</v>
      </c>
      <c r="B1654" s="21">
        <f t="shared" si="50"/>
        <v>-8.0431539999999996E-2</v>
      </c>
      <c r="D1654">
        <f t="shared" si="51"/>
        <v>-31.242930817610059</v>
      </c>
      <c r="G1654" s="21">
        <v>9.935252E-2</v>
      </c>
      <c r="H1654" s="21">
        <v>-8.0431539999999996E-2</v>
      </c>
    </row>
    <row r="1655" spans="1:8" x14ac:dyDescent="0.15">
      <c r="A1655" s="21">
        <v>3.228516E-2</v>
      </c>
      <c r="B1655" s="21">
        <f t="shared" si="50"/>
        <v>-0.12255679999999999</v>
      </c>
      <c r="D1655">
        <f t="shared" si="51"/>
        <v>-48.196698113207546</v>
      </c>
      <c r="G1655" s="21">
        <v>0.1532655</v>
      </c>
      <c r="H1655" s="21">
        <v>-0.12255679999999999</v>
      </c>
    </row>
    <row r="1656" spans="1:8" x14ac:dyDescent="0.15">
      <c r="A1656" s="21">
        <v>3.2304689999999997E-2</v>
      </c>
      <c r="B1656" s="21">
        <f t="shared" si="50"/>
        <v>-0.16063830000000001</v>
      </c>
      <c r="D1656">
        <f t="shared" si="51"/>
        <v>-63.446037735849053</v>
      </c>
      <c r="G1656" s="21">
        <v>0.2017584</v>
      </c>
      <c r="H1656" s="21">
        <v>-0.16063830000000001</v>
      </c>
    </row>
    <row r="1657" spans="1:8" x14ac:dyDescent="0.15">
      <c r="A1657" s="21">
        <v>3.2324220000000001E-2</v>
      </c>
      <c r="B1657" s="21">
        <f t="shared" si="50"/>
        <v>-0.19370660000000001</v>
      </c>
      <c r="D1657">
        <f t="shared" si="51"/>
        <v>-76.742735849056601</v>
      </c>
      <c r="G1657" s="21">
        <v>0.24404190000000001</v>
      </c>
      <c r="H1657" s="21">
        <v>-0.19370660000000001</v>
      </c>
    </row>
    <row r="1658" spans="1:8" x14ac:dyDescent="0.15">
      <c r="A1658" s="21">
        <v>3.2343749999999998E-2</v>
      </c>
      <c r="B1658" s="21">
        <f t="shared" si="50"/>
        <v>-0.2200983</v>
      </c>
      <c r="D1658">
        <f t="shared" si="51"/>
        <v>-87.384559748427677</v>
      </c>
      <c r="G1658" s="21">
        <v>0.27788289999999999</v>
      </c>
      <c r="H1658" s="21">
        <v>-0.2200983</v>
      </c>
    </row>
    <row r="1659" spans="1:8" x14ac:dyDescent="0.15">
      <c r="A1659" s="21">
        <v>3.2363280000000001E-2</v>
      </c>
      <c r="B1659" s="21">
        <f t="shared" si="50"/>
        <v>-0.2389445</v>
      </c>
      <c r="D1659">
        <f t="shared" si="51"/>
        <v>-94.97122641509435</v>
      </c>
      <c r="G1659" s="21">
        <v>0.30200850000000001</v>
      </c>
      <c r="H1659" s="21">
        <v>-0.2389445</v>
      </c>
    </row>
    <row r="1660" spans="1:8" x14ac:dyDescent="0.15">
      <c r="A1660" s="21">
        <v>3.2382809999999998E-2</v>
      </c>
      <c r="B1660" s="21">
        <f t="shared" si="50"/>
        <v>-0.2499816</v>
      </c>
      <c r="D1660">
        <f t="shared" si="51"/>
        <v>-99.42220125786163</v>
      </c>
      <c r="G1660" s="21">
        <v>0.31616260000000002</v>
      </c>
      <c r="H1660" s="21">
        <v>-0.2499816</v>
      </c>
    </row>
    <row r="1661" spans="1:8" x14ac:dyDescent="0.15">
      <c r="A1661" s="21">
        <v>3.2402340000000002E-2</v>
      </c>
      <c r="B1661" s="21">
        <f t="shared" si="50"/>
        <v>-0.25287490000000001</v>
      </c>
      <c r="D1661">
        <f t="shared" si="51"/>
        <v>-100.57163522012577</v>
      </c>
      <c r="G1661" s="21">
        <v>0.31981779999999999</v>
      </c>
      <c r="H1661" s="21">
        <v>-0.25287490000000001</v>
      </c>
    </row>
    <row r="1662" spans="1:8" x14ac:dyDescent="0.15">
      <c r="A1662" s="21">
        <v>3.242188E-2</v>
      </c>
      <c r="B1662" s="21">
        <f t="shared" si="50"/>
        <v>-0.24735860000000001</v>
      </c>
      <c r="D1662">
        <f t="shared" si="51"/>
        <v>-98.391823899371076</v>
      </c>
      <c r="G1662" s="21">
        <v>0.312886</v>
      </c>
      <c r="H1662" s="21">
        <v>-0.24735860000000001</v>
      </c>
    </row>
    <row r="1663" spans="1:8" x14ac:dyDescent="0.15">
      <c r="A1663" s="21">
        <v>3.2441409999999997E-2</v>
      </c>
      <c r="B1663" s="21">
        <f t="shared" si="50"/>
        <v>-0.23349929999999999</v>
      </c>
      <c r="D1663">
        <f t="shared" si="51"/>
        <v>-92.869465408805027</v>
      </c>
      <c r="G1663" s="21">
        <v>0.2953249</v>
      </c>
      <c r="H1663" s="21">
        <v>-0.23349929999999999</v>
      </c>
    </row>
    <row r="1664" spans="1:8" x14ac:dyDescent="0.15">
      <c r="A1664" s="21">
        <v>3.2460940000000001E-2</v>
      </c>
      <c r="B1664" s="21">
        <f t="shared" si="50"/>
        <v>-0.21171409999999999</v>
      </c>
      <c r="D1664">
        <f t="shared" si="51"/>
        <v>-84.140094339622635</v>
      </c>
      <c r="G1664" s="21">
        <v>0.26756550000000001</v>
      </c>
      <c r="H1664" s="21">
        <v>-0.21171409999999999</v>
      </c>
    </row>
    <row r="1665" spans="1:8" x14ac:dyDescent="0.15">
      <c r="A1665" s="21">
        <v>3.2480469999999997E-2</v>
      </c>
      <c r="B1665" s="21">
        <f t="shared" si="50"/>
        <v>-0.18269730000000001</v>
      </c>
      <c r="D1665">
        <f t="shared" si="51"/>
        <v>-72.586289308176106</v>
      </c>
      <c r="G1665" s="21">
        <v>0.23082440000000001</v>
      </c>
      <c r="H1665" s="21">
        <v>-0.18269730000000001</v>
      </c>
    </row>
    <row r="1666" spans="1:8" x14ac:dyDescent="0.15">
      <c r="A1666" s="21">
        <v>3.2500000000000001E-2</v>
      </c>
      <c r="B1666" s="21">
        <f t="shared" ref="B1666:B1729" si="52">H1666</f>
        <v>-0.14727229999999999</v>
      </c>
      <c r="D1666">
        <f t="shared" ref="D1666:D1729" si="53">G1666*-1000/3.18</f>
        <v>-58.446415094339621</v>
      </c>
      <c r="G1666" s="21">
        <v>0.18585960000000001</v>
      </c>
      <c r="H1666" s="21">
        <v>-0.14727229999999999</v>
      </c>
    </row>
    <row r="1667" spans="1:8" x14ac:dyDescent="0.15">
      <c r="A1667" s="21">
        <v>3.2519529999999998E-2</v>
      </c>
      <c r="B1667" s="21">
        <f t="shared" si="52"/>
        <v>-0.1066849</v>
      </c>
      <c r="D1667">
        <f t="shared" si="53"/>
        <v>-42.162012578616348</v>
      </c>
      <c r="G1667" s="21">
        <v>0.13407520000000001</v>
      </c>
      <c r="H1667" s="21">
        <v>-0.1066849</v>
      </c>
    </row>
    <row r="1668" spans="1:8" x14ac:dyDescent="0.15">
      <c r="A1668" s="21">
        <v>3.2539060000000002E-2</v>
      </c>
      <c r="B1668" s="21">
        <f t="shared" si="52"/>
        <v>-6.2800729999999999E-2</v>
      </c>
      <c r="D1668">
        <f t="shared" si="53"/>
        <v>-24.626839622641508</v>
      </c>
      <c r="G1668" s="21">
        <v>7.8313350000000004E-2</v>
      </c>
      <c r="H1668" s="21">
        <v>-6.2800729999999999E-2</v>
      </c>
    </row>
    <row r="1669" spans="1:8" x14ac:dyDescent="0.15">
      <c r="A1669" s="21">
        <v>3.2558589999999998E-2</v>
      </c>
      <c r="B1669" s="21">
        <f t="shared" si="52"/>
        <v>-1.698562E-2</v>
      </c>
      <c r="D1669">
        <f t="shared" si="53"/>
        <v>-6.2835283018867916</v>
      </c>
      <c r="G1669" s="21">
        <v>1.9981619999999999E-2</v>
      </c>
      <c r="H1669" s="21">
        <v>-1.698562E-2</v>
      </c>
    </row>
    <row r="1670" spans="1:8" x14ac:dyDescent="0.15">
      <c r="A1670" s="21">
        <v>3.2578120000000002E-2</v>
      </c>
      <c r="B1670" s="21">
        <f t="shared" si="52"/>
        <v>2.9858030000000001E-2</v>
      </c>
      <c r="D1670">
        <f t="shared" si="53"/>
        <v>12.545185534591194</v>
      </c>
      <c r="G1670" s="21">
        <v>-3.9893690000000002E-2</v>
      </c>
      <c r="H1670" s="21">
        <v>2.9858030000000001E-2</v>
      </c>
    </row>
    <row r="1671" spans="1:8" x14ac:dyDescent="0.15">
      <c r="A1671" s="21">
        <v>3.2597660000000001E-2</v>
      </c>
      <c r="B1671" s="21">
        <f t="shared" si="52"/>
        <v>7.552702E-2</v>
      </c>
      <c r="D1671">
        <f t="shared" si="53"/>
        <v>30.800122641509436</v>
      </c>
      <c r="G1671" s="21">
        <v>-9.7944390000000006E-2</v>
      </c>
      <c r="H1671" s="21">
        <v>7.552702E-2</v>
      </c>
    </row>
    <row r="1672" spans="1:8" x14ac:dyDescent="0.15">
      <c r="A1672" s="21">
        <v>3.2617189999999997E-2</v>
      </c>
      <c r="B1672" s="21">
        <f t="shared" si="52"/>
        <v>0.11798989999999999</v>
      </c>
      <c r="D1672">
        <f t="shared" si="53"/>
        <v>47.801855345911953</v>
      </c>
      <c r="G1672" s="21">
        <v>-0.1520099</v>
      </c>
      <c r="H1672" s="21">
        <v>0.11798989999999999</v>
      </c>
    </row>
    <row r="1673" spans="1:8" x14ac:dyDescent="0.15">
      <c r="A1673" s="21">
        <v>3.2636720000000001E-2</v>
      </c>
      <c r="B1673" s="21">
        <f t="shared" si="52"/>
        <v>0.15654580000000001</v>
      </c>
      <c r="D1673">
        <f t="shared" si="53"/>
        <v>63.356289308176102</v>
      </c>
      <c r="G1673" s="21">
        <v>-0.20147300000000001</v>
      </c>
      <c r="H1673" s="21">
        <v>0.15654580000000001</v>
      </c>
    </row>
    <row r="1674" spans="1:8" x14ac:dyDescent="0.15">
      <c r="A1674" s="21">
        <v>3.2656249999999998E-2</v>
      </c>
      <c r="B1674" s="21">
        <f t="shared" si="52"/>
        <v>0.18977769999999999</v>
      </c>
      <c r="D1674">
        <f t="shared" si="53"/>
        <v>76.762452830188678</v>
      </c>
      <c r="G1674" s="21">
        <v>-0.2441046</v>
      </c>
      <c r="H1674" s="21">
        <v>0.18977769999999999</v>
      </c>
    </row>
    <row r="1675" spans="1:8" x14ac:dyDescent="0.15">
      <c r="A1675" s="21">
        <v>3.2675780000000001E-2</v>
      </c>
      <c r="B1675" s="21">
        <f t="shared" si="52"/>
        <v>0.21646360000000001</v>
      </c>
      <c r="D1675">
        <f t="shared" si="53"/>
        <v>87.47915094339622</v>
      </c>
      <c r="G1675" s="21">
        <v>-0.27818369999999998</v>
      </c>
      <c r="H1675" s="21">
        <v>0.21646360000000001</v>
      </c>
    </row>
    <row r="1676" spans="1:8" x14ac:dyDescent="0.15">
      <c r="A1676" s="21">
        <v>3.2695309999999998E-2</v>
      </c>
      <c r="B1676" s="21">
        <f t="shared" si="52"/>
        <v>0.2360505</v>
      </c>
      <c r="D1676">
        <f t="shared" si="53"/>
        <v>95.297830188679242</v>
      </c>
      <c r="G1676" s="21">
        <v>-0.30304710000000001</v>
      </c>
      <c r="H1676" s="21">
        <v>0.2360505</v>
      </c>
    </row>
    <row r="1677" spans="1:8" x14ac:dyDescent="0.15">
      <c r="A1677" s="21">
        <v>3.2714840000000002E-2</v>
      </c>
      <c r="B1677" s="21">
        <f t="shared" si="52"/>
        <v>0.24747730000000001</v>
      </c>
      <c r="D1677">
        <f t="shared" si="53"/>
        <v>99.938616352201251</v>
      </c>
      <c r="G1677" s="21">
        <v>-0.3178048</v>
      </c>
      <c r="H1677" s="21">
        <v>0.24747730000000001</v>
      </c>
    </row>
    <row r="1678" spans="1:8" x14ac:dyDescent="0.15">
      <c r="A1678" s="21">
        <v>3.273438E-2</v>
      </c>
      <c r="B1678" s="21">
        <f t="shared" si="52"/>
        <v>0.25080160000000001</v>
      </c>
      <c r="D1678">
        <f t="shared" si="53"/>
        <v>101.40210691823897</v>
      </c>
      <c r="G1678" s="21">
        <v>-0.32245869999999999</v>
      </c>
      <c r="H1678" s="21">
        <v>0.25080160000000001</v>
      </c>
    </row>
    <row r="1679" spans="1:8" x14ac:dyDescent="0.15">
      <c r="A1679" s="21">
        <v>3.2753909999999997E-2</v>
      </c>
      <c r="B1679" s="21">
        <f t="shared" si="52"/>
        <v>0.2460852</v>
      </c>
      <c r="D1679">
        <f t="shared" si="53"/>
        <v>99.496069182389931</v>
      </c>
      <c r="G1679" s="21">
        <v>-0.3163975</v>
      </c>
      <c r="H1679" s="21">
        <v>0.2460852</v>
      </c>
    </row>
    <row r="1680" spans="1:8" x14ac:dyDescent="0.15">
      <c r="A1680" s="21">
        <v>3.2773440000000001E-2</v>
      </c>
      <c r="B1680" s="21">
        <f t="shared" si="52"/>
        <v>0.23255780000000001</v>
      </c>
      <c r="D1680">
        <f t="shared" si="53"/>
        <v>94.061415094339608</v>
      </c>
      <c r="G1680" s="21">
        <v>-0.29911529999999997</v>
      </c>
      <c r="H1680" s="21">
        <v>0.23255780000000001</v>
      </c>
    </row>
    <row r="1681" spans="1:8" x14ac:dyDescent="0.15">
      <c r="A1681" s="21">
        <v>3.2792969999999998E-2</v>
      </c>
      <c r="B1681" s="21">
        <f t="shared" si="52"/>
        <v>0.21112900000000001</v>
      </c>
      <c r="D1681">
        <f t="shared" si="53"/>
        <v>85.531855345911936</v>
      </c>
      <c r="G1681" s="21">
        <v>-0.27199129999999999</v>
      </c>
      <c r="H1681" s="21">
        <v>0.21112900000000001</v>
      </c>
    </row>
    <row r="1682" spans="1:8" x14ac:dyDescent="0.15">
      <c r="A1682" s="21">
        <v>3.2812500000000001E-2</v>
      </c>
      <c r="B1682" s="21">
        <f t="shared" si="52"/>
        <v>0.18256359999999999</v>
      </c>
      <c r="D1682">
        <f t="shared" si="53"/>
        <v>74.061729559748429</v>
      </c>
      <c r="G1682" s="21">
        <v>-0.23551630000000001</v>
      </c>
      <c r="H1682" s="21">
        <v>0.18256359999999999</v>
      </c>
    </row>
    <row r="1683" spans="1:8" x14ac:dyDescent="0.15">
      <c r="A1683" s="21">
        <v>3.2832029999999998E-2</v>
      </c>
      <c r="B1683" s="21">
        <f t="shared" si="52"/>
        <v>0.14762700000000001</v>
      </c>
      <c r="D1683">
        <f t="shared" si="53"/>
        <v>60.109213836477984</v>
      </c>
      <c r="G1683" s="21">
        <v>-0.19114729999999999</v>
      </c>
      <c r="H1683" s="21">
        <v>0.14762700000000001</v>
      </c>
    </row>
    <row r="1684" spans="1:8" x14ac:dyDescent="0.15">
      <c r="A1684" s="21">
        <v>3.2851560000000002E-2</v>
      </c>
      <c r="B1684" s="21">
        <f t="shared" si="52"/>
        <v>0.1080839</v>
      </c>
      <c r="D1684">
        <f t="shared" si="53"/>
        <v>44.287138364779871</v>
      </c>
      <c r="G1684" s="21">
        <v>-0.14083309999999999</v>
      </c>
      <c r="H1684" s="21">
        <v>0.1080839</v>
      </c>
    </row>
    <row r="1685" spans="1:8" x14ac:dyDescent="0.15">
      <c r="A1685" s="21">
        <v>3.2871089999999999E-2</v>
      </c>
      <c r="B1685" s="21">
        <f t="shared" si="52"/>
        <v>6.430835E-2</v>
      </c>
      <c r="D1685">
        <f t="shared" si="53"/>
        <v>26.683204402515724</v>
      </c>
      <c r="G1685" s="21">
        <v>-8.4852590000000006E-2</v>
      </c>
      <c r="H1685" s="21">
        <v>6.430835E-2</v>
      </c>
    </row>
    <row r="1686" spans="1:8" x14ac:dyDescent="0.15">
      <c r="A1686" s="21">
        <v>3.2890620000000002E-2</v>
      </c>
      <c r="B1686" s="21">
        <f t="shared" si="52"/>
        <v>1.7890949999999999E-2</v>
      </c>
      <c r="D1686">
        <f t="shared" si="53"/>
        <v>8.1578427672955964</v>
      </c>
      <c r="G1686" s="21">
        <v>-2.594194E-2</v>
      </c>
      <c r="H1686" s="21">
        <v>1.7890949999999999E-2</v>
      </c>
    </row>
    <row r="1687" spans="1:8" x14ac:dyDescent="0.15">
      <c r="A1687" s="21">
        <v>3.2910160000000001E-2</v>
      </c>
      <c r="B1687" s="21">
        <f t="shared" si="52"/>
        <v>-2.8704609999999998E-2</v>
      </c>
      <c r="D1687">
        <f t="shared" si="53"/>
        <v>-10.48514465408805</v>
      </c>
      <c r="G1687" s="21">
        <v>3.3342759999999999E-2</v>
      </c>
      <c r="H1687" s="21">
        <v>-2.8704609999999998E-2</v>
      </c>
    </row>
    <row r="1688" spans="1:8" x14ac:dyDescent="0.15">
      <c r="A1688" s="21">
        <v>3.2929689999999998E-2</v>
      </c>
      <c r="B1688" s="21">
        <f t="shared" si="52"/>
        <v>-7.4309509999999995E-2</v>
      </c>
      <c r="D1688">
        <f t="shared" si="53"/>
        <v>-28.830977987421381</v>
      </c>
      <c r="G1688" s="21">
        <v>9.1682509999999995E-2</v>
      </c>
      <c r="H1688" s="21">
        <v>-7.4309509999999995E-2</v>
      </c>
    </row>
    <row r="1689" spans="1:8" x14ac:dyDescent="0.15">
      <c r="A1689" s="21">
        <v>3.2949220000000001E-2</v>
      </c>
      <c r="B1689" s="21">
        <f t="shared" si="52"/>
        <v>-0.1170421</v>
      </c>
      <c r="D1689">
        <f t="shared" si="53"/>
        <v>-45.93908805031446</v>
      </c>
      <c r="G1689" s="21">
        <v>0.1460863</v>
      </c>
      <c r="H1689" s="21">
        <v>-0.1170421</v>
      </c>
    </row>
    <row r="1690" spans="1:8" x14ac:dyDescent="0.15">
      <c r="A1690" s="21">
        <v>3.2968749999999998E-2</v>
      </c>
      <c r="B1690" s="21">
        <f t="shared" si="52"/>
        <v>-0.15557570000000001</v>
      </c>
      <c r="D1690">
        <f t="shared" si="53"/>
        <v>-61.361477987421381</v>
      </c>
      <c r="G1690" s="21">
        <v>0.19512950000000001</v>
      </c>
      <c r="H1690" s="21">
        <v>-0.15557570000000001</v>
      </c>
    </row>
    <row r="1691" spans="1:8" x14ac:dyDescent="0.15">
      <c r="A1691" s="21">
        <v>3.2988280000000002E-2</v>
      </c>
      <c r="B1691" s="21">
        <f t="shared" si="52"/>
        <v>-0.1892086</v>
      </c>
      <c r="D1691">
        <f t="shared" si="53"/>
        <v>-74.891477987421382</v>
      </c>
      <c r="G1691" s="21">
        <v>0.2381549</v>
      </c>
      <c r="H1691" s="21">
        <v>-0.1892086</v>
      </c>
    </row>
    <row r="1692" spans="1:8" x14ac:dyDescent="0.15">
      <c r="A1692" s="21">
        <v>3.3007809999999999E-2</v>
      </c>
      <c r="B1692" s="21">
        <f t="shared" si="52"/>
        <v>-0.21651599999999999</v>
      </c>
      <c r="D1692">
        <f t="shared" si="53"/>
        <v>-85.917389937106918</v>
      </c>
      <c r="G1692" s="21">
        <v>0.2732173</v>
      </c>
      <c r="H1692" s="21">
        <v>-0.21651599999999999</v>
      </c>
    </row>
    <row r="1693" spans="1:8" x14ac:dyDescent="0.15">
      <c r="A1693" s="21">
        <v>3.3027340000000002E-2</v>
      </c>
      <c r="B1693" s="21">
        <f t="shared" si="52"/>
        <v>-0.23668900000000001</v>
      </c>
      <c r="D1693">
        <f t="shared" si="53"/>
        <v>-94.040094339622641</v>
      </c>
      <c r="G1693" s="21">
        <v>0.29904750000000002</v>
      </c>
      <c r="H1693" s="21">
        <v>-0.23668900000000001</v>
      </c>
    </row>
    <row r="1694" spans="1:8" x14ac:dyDescent="0.15">
      <c r="A1694" s="21">
        <v>3.3046880000000001E-2</v>
      </c>
      <c r="B1694" s="21">
        <f t="shared" si="52"/>
        <v>-0.24918180000000001</v>
      </c>
      <c r="D1694">
        <f t="shared" si="53"/>
        <v>-99.05779874213836</v>
      </c>
      <c r="G1694" s="21">
        <v>0.3150038</v>
      </c>
      <c r="H1694" s="21">
        <v>-0.24918180000000001</v>
      </c>
    </row>
    <row r="1695" spans="1:8" x14ac:dyDescent="0.15">
      <c r="A1695" s="21">
        <v>3.3066409999999997E-2</v>
      </c>
      <c r="B1695" s="21">
        <f t="shared" si="52"/>
        <v>-0.25312370000000001</v>
      </c>
      <c r="D1695">
        <f t="shared" si="53"/>
        <v>-100.68537735849057</v>
      </c>
      <c r="G1695" s="21">
        <v>0.32017950000000001</v>
      </c>
      <c r="H1695" s="21">
        <v>-0.25312370000000001</v>
      </c>
    </row>
    <row r="1696" spans="1:8" x14ac:dyDescent="0.15">
      <c r="A1696" s="21">
        <v>3.3085940000000001E-2</v>
      </c>
      <c r="B1696" s="21">
        <f t="shared" si="52"/>
        <v>-0.2483775</v>
      </c>
      <c r="D1696">
        <f t="shared" si="53"/>
        <v>-98.79911949685534</v>
      </c>
      <c r="G1696" s="21">
        <v>0.31418119999999999</v>
      </c>
      <c r="H1696" s="21">
        <v>-0.2483775</v>
      </c>
    </row>
    <row r="1697" spans="1:8" x14ac:dyDescent="0.15">
      <c r="A1697" s="21">
        <v>3.3105469999999998E-2</v>
      </c>
      <c r="B1697" s="21">
        <f t="shared" si="52"/>
        <v>-0.2352071</v>
      </c>
      <c r="D1697">
        <f t="shared" si="53"/>
        <v>-93.561320754716974</v>
      </c>
      <c r="G1697" s="21">
        <v>0.29752499999999998</v>
      </c>
      <c r="H1697" s="21">
        <v>-0.2352071</v>
      </c>
    </row>
    <row r="1698" spans="1:8" x14ac:dyDescent="0.15">
      <c r="A1698" s="21">
        <v>3.3125000000000002E-2</v>
      </c>
      <c r="B1698" s="21">
        <f t="shared" si="52"/>
        <v>-0.2142481</v>
      </c>
      <c r="D1698">
        <f t="shared" si="53"/>
        <v>-85.222578616352209</v>
      </c>
      <c r="G1698" s="21">
        <v>0.27100780000000002</v>
      </c>
      <c r="H1698" s="21">
        <v>-0.2142481</v>
      </c>
    </row>
    <row r="1699" spans="1:8" x14ac:dyDescent="0.15">
      <c r="A1699" s="21">
        <v>3.3144529999999998E-2</v>
      </c>
      <c r="B1699" s="21">
        <f t="shared" si="52"/>
        <v>-0.18655620000000001</v>
      </c>
      <c r="D1699">
        <f t="shared" si="53"/>
        <v>-74.156257861635211</v>
      </c>
      <c r="G1699" s="21">
        <v>0.2358169</v>
      </c>
      <c r="H1699" s="21">
        <v>-0.18655620000000001</v>
      </c>
    </row>
    <row r="1700" spans="1:8" x14ac:dyDescent="0.15">
      <c r="A1700" s="21">
        <v>3.3164060000000002E-2</v>
      </c>
      <c r="B1700" s="21">
        <f t="shared" si="52"/>
        <v>-0.15235119999999999</v>
      </c>
      <c r="D1700">
        <f t="shared" si="53"/>
        <v>-60.494999999999997</v>
      </c>
      <c r="G1700" s="21">
        <v>0.19237409999999999</v>
      </c>
      <c r="H1700" s="21">
        <v>-0.15235119999999999</v>
      </c>
    </row>
    <row r="1701" spans="1:8" x14ac:dyDescent="0.15">
      <c r="A1701" s="21">
        <v>3.3183589999999999E-2</v>
      </c>
      <c r="B1701" s="21">
        <f t="shared" si="52"/>
        <v>-0.1125197</v>
      </c>
      <c r="D1701">
        <f t="shared" si="53"/>
        <v>-44.522232704402519</v>
      </c>
      <c r="G1701" s="21">
        <v>0.1415807</v>
      </c>
      <c r="H1701" s="21">
        <v>-0.1125197</v>
      </c>
    </row>
    <row r="1702" spans="1:8" x14ac:dyDescent="0.15">
      <c r="A1702" s="21">
        <v>3.3203120000000003E-2</v>
      </c>
      <c r="B1702" s="21">
        <f t="shared" si="52"/>
        <v>-6.8729559999999995E-2</v>
      </c>
      <c r="D1702">
        <f t="shared" si="53"/>
        <v>-26.997575471698109</v>
      </c>
      <c r="G1702" s="21">
        <v>8.5852289999999998E-2</v>
      </c>
      <c r="H1702" s="21">
        <v>-6.8729559999999995E-2</v>
      </c>
    </row>
    <row r="1703" spans="1:8" x14ac:dyDescent="0.15">
      <c r="A1703" s="21">
        <v>3.3222660000000001E-2</v>
      </c>
      <c r="B1703" s="21">
        <f t="shared" si="52"/>
        <v>-2.2483090000000001E-2</v>
      </c>
      <c r="D1703">
        <f t="shared" si="53"/>
        <v>-8.51594968553459</v>
      </c>
      <c r="G1703" s="21">
        <v>2.7080719999999999E-2</v>
      </c>
      <c r="H1703" s="21">
        <v>-2.2483090000000001E-2</v>
      </c>
    </row>
    <row r="1704" spans="1:8" x14ac:dyDescent="0.15">
      <c r="A1704" s="21">
        <v>3.3242189999999998E-2</v>
      </c>
      <c r="B1704" s="21">
        <f t="shared" si="52"/>
        <v>2.4084810000000002E-2</v>
      </c>
      <c r="D1704">
        <f t="shared" si="53"/>
        <v>10.21482075471698</v>
      </c>
      <c r="G1704" s="21">
        <v>-3.2483129999999999E-2</v>
      </c>
      <c r="H1704" s="21">
        <v>2.4084810000000002E-2</v>
      </c>
    </row>
    <row r="1705" spans="1:8" x14ac:dyDescent="0.15">
      <c r="A1705" s="21">
        <v>3.3261720000000002E-2</v>
      </c>
      <c r="B1705" s="21">
        <f t="shared" si="52"/>
        <v>6.9562650000000004E-2</v>
      </c>
      <c r="D1705">
        <f t="shared" si="53"/>
        <v>28.481525157232706</v>
      </c>
      <c r="G1705" s="21">
        <v>-9.0571250000000006E-2</v>
      </c>
      <c r="H1705" s="21">
        <v>6.9562650000000004E-2</v>
      </c>
    </row>
    <row r="1706" spans="1:8" x14ac:dyDescent="0.15">
      <c r="A1706" s="21">
        <v>3.3281249999999998E-2</v>
      </c>
      <c r="B1706" s="21">
        <f t="shared" si="52"/>
        <v>0.1124816</v>
      </c>
      <c r="D1706">
        <f t="shared" si="53"/>
        <v>45.660849056603773</v>
      </c>
      <c r="G1706" s="21">
        <v>-0.14520150000000001</v>
      </c>
      <c r="H1706" s="21">
        <v>0.1124816</v>
      </c>
    </row>
    <row r="1707" spans="1:8" x14ac:dyDescent="0.15">
      <c r="A1707" s="21">
        <v>3.3300780000000002E-2</v>
      </c>
      <c r="B1707" s="21">
        <f t="shared" si="52"/>
        <v>0.1513861</v>
      </c>
      <c r="D1707">
        <f t="shared" si="53"/>
        <v>61.311477987421377</v>
      </c>
      <c r="G1707" s="21">
        <v>-0.19497049999999999</v>
      </c>
      <c r="H1707" s="21">
        <v>0.1513861</v>
      </c>
    </row>
    <row r="1708" spans="1:8" x14ac:dyDescent="0.15">
      <c r="A1708" s="21">
        <v>3.3320309999999999E-2</v>
      </c>
      <c r="B1708" s="21">
        <f t="shared" si="52"/>
        <v>0.18566160000000001</v>
      </c>
      <c r="D1708">
        <f t="shared" si="53"/>
        <v>75.10965408805032</v>
      </c>
      <c r="G1708" s="21">
        <v>-0.2388487</v>
      </c>
      <c r="H1708" s="21">
        <v>0.18566160000000001</v>
      </c>
    </row>
    <row r="1709" spans="1:8" x14ac:dyDescent="0.15">
      <c r="A1709" s="21">
        <v>3.3339840000000003E-2</v>
      </c>
      <c r="B1709" s="21">
        <f t="shared" si="52"/>
        <v>0.21375079999999999</v>
      </c>
      <c r="D1709">
        <f t="shared" si="53"/>
        <v>86.398773584905669</v>
      </c>
      <c r="G1709" s="21">
        <v>-0.2747481</v>
      </c>
      <c r="H1709" s="21">
        <v>0.21375079999999999</v>
      </c>
    </row>
    <row r="1710" spans="1:8" x14ac:dyDescent="0.15">
      <c r="A1710" s="21">
        <v>3.3359380000000001E-2</v>
      </c>
      <c r="B1710" s="21">
        <f t="shared" si="52"/>
        <v>0.23436779999999999</v>
      </c>
      <c r="D1710">
        <f t="shared" si="53"/>
        <v>94.62817610062892</v>
      </c>
      <c r="G1710" s="21">
        <v>-0.30091760000000001</v>
      </c>
      <c r="H1710" s="21">
        <v>0.23436779999999999</v>
      </c>
    </row>
    <row r="1711" spans="1:8" x14ac:dyDescent="0.15">
      <c r="A1711" s="21">
        <v>3.3378909999999998E-2</v>
      </c>
      <c r="B1711" s="21">
        <f t="shared" si="52"/>
        <v>0.24677569999999999</v>
      </c>
      <c r="D1711">
        <f t="shared" si="53"/>
        <v>99.566446540880506</v>
      </c>
      <c r="G1711" s="21">
        <v>-0.31662129999999999</v>
      </c>
      <c r="H1711" s="21">
        <v>0.24677569999999999</v>
      </c>
    </row>
    <row r="1712" spans="1:8" x14ac:dyDescent="0.15">
      <c r="A1712" s="21">
        <v>3.3398440000000001E-2</v>
      </c>
      <c r="B1712" s="21">
        <f t="shared" si="52"/>
        <v>0.25077830000000001</v>
      </c>
      <c r="D1712">
        <f t="shared" si="53"/>
        <v>101.3159433962264</v>
      </c>
      <c r="G1712" s="21">
        <v>-0.32218469999999999</v>
      </c>
      <c r="H1712" s="21">
        <v>0.25077830000000001</v>
      </c>
    </row>
    <row r="1713" spans="1:8" x14ac:dyDescent="0.15">
      <c r="A1713" s="21">
        <v>3.3417969999999998E-2</v>
      </c>
      <c r="B1713" s="21">
        <f t="shared" si="52"/>
        <v>0.24684349999999999</v>
      </c>
      <c r="D1713">
        <f t="shared" si="53"/>
        <v>99.770345911949676</v>
      </c>
      <c r="G1713" s="21">
        <v>-0.31726969999999999</v>
      </c>
      <c r="H1713" s="21">
        <v>0.24684349999999999</v>
      </c>
    </row>
    <row r="1714" spans="1:8" x14ac:dyDescent="0.15">
      <c r="A1714" s="21">
        <v>3.3437500000000002E-2</v>
      </c>
      <c r="B1714" s="21">
        <f t="shared" si="52"/>
        <v>0.2346964</v>
      </c>
      <c r="D1714">
        <f t="shared" si="53"/>
        <v>94.85742138364779</v>
      </c>
      <c r="G1714" s="21">
        <v>-0.30164659999999999</v>
      </c>
      <c r="H1714" s="21">
        <v>0.2346964</v>
      </c>
    </row>
    <row r="1715" spans="1:8" x14ac:dyDescent="0.15">
      <c r="A1715" s="21">
        <v>3.3457029999999999E-2</v>
      </c>
      <c r="B1715" s="21">
        <f t="shared" si="52"/>
        <v>0.21475900000000001</v>
      </c>
      <c r="D1715">
        <f t="shared" si="53"/>
        <v>86.955754716981147</v>
      </c>
      <c r="G1715" s="21">
        <v>-0.27651930000000002</v>
      </c>
      <c r="H1715" s="21">
        <v>0.21475900000000001</v>
      </c>
    </row>
    <row r="1716" spans="1:8" x14ac:dyDescent="0.15">
      <c r="A1716" s="21">
        <v>3.3476560000000002E-2</v>
      </c>
      <c r="B1716" s="21">
        <f t="shared" si="52"/>
        <v>0.18724460000000001</v>
      </c>
      <c r="D1716">
        <f t="shared" si="53"/>
        <v>75.914308176100619</v>
      </c>
      <c r="G1716" s="21">
        <v>-0.2414075</v>
      </c>
      <c r="H1716" s="21">
        <v>0.18724460000000001</v>
      </c>
    </row>
    <row r="1717" spans="1:8" x14ac:dyDescent="0.15">
      <c r="A1717" s="21">
        <v>3.3496089999999999E-2</v>
      </c>
      <c r="B1717" s="21">
        <f t="shared" si="52"/>
        <v>0.15242530000000001</v>
      </c>
      <c r="D1717">
        <f t="shared" si="53"/>
        <v>62.009119496855341</v>
      </c>
      <c r="G1717" s="21">
        <v>-0.197189</v>
      </c>
      <c r="H1717" s="21">
        <v>0.15242530000000001</v>
      </c>
    </row>
    <row r="1718" spans="1:8" x14ac:dyDescent="0.15">
      <c r="A1718" s="21">
        <v>3.3515629999999998E-2</v>
      </c>
      <c r="B1718" s="21">
        <f t="shared" si="52"/>
        <v>0.11293640000000001</v>
      </c>
      <c r="D1718">
        <f t="shared" si="53"/>
        <v>46.28081761006289</v>
      </c>
      <c r="G1718" s="21">
        <v>-0.147173</v>
      </c>
      <c r="H1718" s="21">
        <v>0.11293640000000001</v>
      </c>
    </row>
    <row r="1719" spans="1:8" x14ac:dyDescent="0.15">
      <c r="A1719" s="21">
        <v>3.3535160000000001E-2</v>
      </c>
      <c r="B1719" s="21">
        <f t="shared" si="52"/>
        <v>7.0072289999999995E-2</v>
      </c>
      <c r="D1719">
        <f t="shared" si="53"/>
        <v>29.047987421383649</v>
      </c>
      <c r="G1719" s="21">
        <v>-9.2372599999999999E-2</v>
      </c>
      <c r="H1719" s="21">
        <v>7.0072289999999995E-2</v>
      </c>
    </row>
    <row r="1720" spans="1:8" x14ac:dyDescent="0.15">
      <c r="A1720" s="21">
        <v>3.3554689999999998E-2</v>
      </c>
      <c r="B1720" s="21">
        <f t="shared" si="52"/>
        <v>2.4027400000000001E-2</v>
      </c>
      <c r="D1720">
        <f t="shared" si="53"/>
        <v>10.588830188679244</v>
      </c>
      <c r="G1720" s="21">
        <v>-3.3672479999999998E-2</v>
      </c>
      <c r="H1720" s="21">
        <v>2.4027400000000001E-2</v>
      </c>
    </row>
    <row r="1721" spans="1:8" x14ac:dyDescent="0.15">
      <c r="A1721" s="21">
        <v>3.3574220000000002E-2</v>
      </c>
      <c r="B1721" s="21">
        <f t="shared" si="52"/>
        <v>-2.279519E-2</v>
      </c>
      <c r="D1721">
        <f t="shared" si="53"/>
        <v>-8.1467075471698109</v>
      </c>
      <c r="G1721" s="21">
        <v>2.5906530000000001E-2</v>
      </c>
      <c r="H1721" s="21">
        <v>-2.279519E-2</v>
      </c>
    </row>
    <row r="1722" spans="1:8" x14ac:dyDescent="0.15">
      <c r="A1722" s="21">
        <v>3.3593749999999999E-2</v>
      </c>
      <c r="B1722" s="21">
        <f t="shared" si="52"/>
        <v>-6.8381880000000006E-2</v>
      </c>
      <c r="D1722">
        <f t="shared" si="53"/>
        <v>-26.418509433962264</v>
      </c>
      <c r="G1722" s="21">
        <v>8.4010860000000007E-2</v>
      </c>
      <c r="H1722" s="21">
        <v>-6.8381880000000006E-2</v>
      </c>
    </row>
    <row r="1723" spans="1:8" x14ac:dyDescent="0.15">
      <c r="A1723" s="21">
        <v>3.3613280000000002E-2</v>
      </c>
      <c r="B1723" s="21">
        <f t="shared" si="52"/>
        <v>-0.11165</v>
      </c>
      <c r="D1723">
        <f t="shared" si="53"/>
        <v>-43.763993710691821</v>
      </c>
      <c r="G1723" s="21">
        <v>0.1391695</v>
      </c>
      <c r="H1723" s="21">
        <v>-0.11165</v>
      </c>
    </row>
    <row r="1724" spans="1:8" x14ac:dyDescent="0.15">
      <c r="A1724" s="21">
        <v>3.3632809999999999E-2</v>
      </c>
      <c r="B1724" s="21">
        <f t="shared" si="52"/>
        <v>-0.1509298</v>
      </c>
      <c r="D1724">
        <f t="shared" si="53"/>
        <v>-59.546761006289302</v>
      </c>
      <c r="G1724" s="21">
        <v>0.18935869999999999</v>
      </c>
      <c r="H1724" s="21">
        <v>-0.1509298</v>
      </c>
    </row>
    <row r="1725" spans="1:8" x14ac:dyDescent="0.15">
      <c r="A1725" s="21">
        <v>3.3652340000000003E-2</v>
      </c>
      <c r="B1725" s="21">
        <f t="shared" si="52"/>
        <v>-0.18518180000000001</v>
      </c>
      <c r="D1725">
        <f t="shared" si="53"/>
        <v>-73.338742138364779</v>
      </c>
      <c r="G1725" s="21">
        <v>0.23321720000000001</v>
      </c>
      <c r="H1725" s="21">
        <v>-0.18518180000000001</v>
      </c>
    </row>
    <row r="1726" spans="1:8" x14ac:dyDescent="0.15">
      <c r="A1726" s="21">
        <v>3.3671880000000001E-2</v>
      </c>
      <c r="B1726" s="21">
        <f t="shared" si="52"/>
        <v>-0.2136728</v>
      </c>
      <c r="D1726">
        <f t="shared" si="53"/>
        <v>-84.751257861635224</v>
      </c>
      <c r="G1726" s="21">
        <v>0.269509</v>
      </c>
      <c r="H1726" s="21">
        <v>-0.2136728</v>
      </c>
    </row>
    <row r="1727" spans="1:8" x14ac:dyDescent="0.15">
      <c r="A1727" s="21">
        <v>3.3691409999999998E-2</v>
      </c>
      <c r="B1727" s="21">
        <f t="shared" si="52"/>
        <v>-0.23479059999999999</v>
      </c>
      <c r="D1727">
        <f t="shared" si="53"/>
        <v>-93.23606918238994</v>
      </c>
      <c r="G1727" s="21">
        <v>0.2964907</v>
      </c>
      <c r="H1727" s="21">
        <v>-0.23479059999999999</v>
      </c>
    </row>
    <row r="1728" spans="1:8" x14ac:dyDescent="0.15">
      <c r="A1728" s="21">
        <v>3.3710940000000002E-2</v>
      </c>
      <c r="B1728" s="21">
        <f t="shared" si="52"/>
        <v>-0.24786330000000001</v>
      </c>
      <c r="D1728">
        <f t="shared" si="53"/>
        <v>-98.607798742138357</v>
      </c>
      <c r="G1728" s="21">
        <v>0.31357279999999998</v>
      </c>
      <c r="H1728" s="21">
        <v>-0.24786330000000001</v>
      </c>
    </row>
    <row r="1729" spans="1:8" x14ac:dyDescent="0.15">
      <c r="A1729" s="21">
        <v>3.3730469999999999E-2</v>
      </c>
      <c r="B1729" s="21">
        <f t="shared" si="52"/>
        <v>-0.25306050000000002</v>
      </c>
      <c r="D1729">
        <f t="shared" si="53"/>
        <v>-100.69792452830188</v>
      </c>
      <c r="G1729" s="21">
        <v>0.32021939999999999</v>
      </c>
      <c r="H1729" s="21">
        <v>-0.25306050000000002</v>
      </c>
    </row>
    <row r="1730" spans="1:8" x14ac:dyDescent="0.15">
      <c r="A1730" s="21">
        <v>3.3750000000000002E-2</v>
      </c>
      <c r="B1730" s="21">
        <f t="shared" ref="B1730:B1793" si="54">H1730</f>
        <v>-0.24957770000000001</v>
      </c>
      <c r="D1730">
        <f t="shared" ref="D1730:D1793" si="55">G1730*-1000/3.18</f>
        <v>-99.319654088050314</v>
      </c>
      <c r="G1730" s="21">
        <v>0.31583650000000002</v>
      </c>
      <c r="H1730" s="21">
        <v>-0.24957770000000001</v>
      </c>
    </row>
    <row r="1731" spans="1:8" x14ac:dyDescent="0.15">
      <c r="A1731" s="21">
        <v>3.3769529999999999E-2</v>
      </c>
      <c r="B1731" s="21">
        <f t="shared" si="54"/>
        <v>-0.2376007</v>
      </c>
      <c r="D1731">
        <f t="shared" si="55"/>
        <v>-94.616603773584913</v>
      </c>
      <c r="G1731" s="21">
        <v>0.3008808</v>
      </c>
      <c r="H1731" s="21">
        <v>-0.2376007</v>
      </c>
    </row>
    <row r="1732" spans="1:8" x14ac:dyDescent="0.15">
      <c r="A1732" s="21">
        <v>3.3789060000000003E-2</v>
      </c>
      <c r="B1732" s="21">
        <f t="shared" si="54"/>
        <v>-0.2179227</v>
      </c>
      <c r="D1732">
        <f t="shared" si="55"/>
        <v>-86.722610062893096</v>
      </c>
      <c r="G1732" s="21">
        <v>0.27577790000000002</v>
      </c>
      <c r="H1732" s="21">
        <v>-0.2179227</v>
      </c>
    </row>
    <row r="1733" spans="1:8" x14ac:dyDescent="0.15">
      <c r="A1733" s="21">
        <v>3.3808589999999999E-2</v>
      </c>
      <c r="B1733" s="21">
        <f t="shared" si="54"/>
        <v>-0.1906523</v>
      </c>
      <c r="D1733">
        <f t="shared" si="55"/>
        <v>-75.81896226415094</v>
      </c>
      <c r="G1733" s="21">
        <v>0.24110429999999999</v>
      </c>
      <c r="H1733" s="21">
        <v>-0.1906523</v>
      </c>
    </row>
    <row r="1734" spans="1:8" x14ac:dyDescent="0.15">
      <c r="A1734" s="21">
        <v>3.3828129999999998E-2</v>
      </c>
      <c r="B1734" s="21">
        <f t="shared" si="54"/>
        <v>-0.15704180000000001</v>
      </c>
      <c r="D1734">
        <f t="shared" si="55"/>
        <v>-62.336446540880495</v>
      </c>
      <c r="G1734" s="21">
        <v>0.19822989999999999</v>
      </c>
      <c r="H1734" s="21">
        <v>-0.15704180000000001</v>
      </c>
    </row>
    <row r="1735" spans="1:8" x14ac:dyDescent="0.15">
      <c r="A1735" s="21">
        <v>3.3847660000000002E-2</v>
      </c>
      <c r="B1735" s="21">
        <f t="shared" si="54"/>
        <v>-0.11817950000000001</v>
      </c>
      <c r="D1735">
        <f t="shared" si="55"/>
        <v>-46.76097484276729</v>
      </c>
      <c r="G1735" s="21">
        <v>0.1486999</v>
      </c>
      <c r="H1735" s="21">
        <v>-0.11817950000000001</v>
      </c>
    </row>
    <row r="1736" spans="1:8" x14ac:dyDescent="0.15">
      <c r="A1736" s="21">
        <v>3.3867189999999998E-2</v>
      </c>
      <c r="B1736" s="21">
        <f t="shared" si="54"/>
        <v>-7.4855229999999995E-2</v>
      </c>
      <c r="D1736">
        <f t="shared" si="55"/>
        <v>-29.486606918238991</v>
      </c>
      <c r="G1736" s="21">
        <v>9.3767409999999995E-2</v>
      </c>
      <c r="H1736" s="21">
        <v>-7.4855229999999995E-2</v>
      </c>
    </row>
    <row r="1737" spans="1:8" x14ac:dyDescent="0.15">
      <c r="A1737" s="21">
        <v>3.3886720000000002E-2</v>
      </c>
      <c r="B1737" s="21">
        <f t="shared" si="54"/>
        <v>-2.9031060000000001E-2</v>
      </c>
      <c r="D1737">
        <f t="shared" si="55"/>
        <v>-11.086267295597485</v>
      </c>
      <c r="G1737" s="21">
        <v>3.525433E-2</v>
      </c>
      <c r="H1737" s="21">
        <v>-2.9031060000000001E-2</v>
      </c>
    </row>
    <row r="1738" spans="1:8" x14ac:dyDescent="0.15">
      <c r="A1738" s="21">
        <v>3.3906249999999999E-2</v>
      </c>
      <c r="B1738" s="21">
        <f t="shared" si="54"/>
        <v>1.7665630000000002E-2</v>
      </c>
      <c r="D1738">
        <f t="shared" si="55"/>
        <v>7.6298742138364766</v>
      </c>
      <c r="G1738" s="21">
        <v>-2.4263E-2</v>
      </c>
      <c r="H1738" s="21">
        <v>1.7665630000000002E-2</v>
      </c>
    </row>
    <row r="1739" spans="1:8" x14ac:dyDescent="0.15">
      <c r="A1739" s="21">
        <v>3.3925780000000003E-2</v>
      </c>
      <c r="B1739" s="21">
        <f t="shared" si="54"/>
        <v>6.3491469999999994E-2</v>
      </c>
      <c r="D1739">
        <f t="shared" si="55"/>
        <v>25.965704402515719</v>
      </c>
      <c r="G1739" s="21">
        <v>-8.2570939999999995E-2</v>
      </c>
      <c r="H1739" s="21">
        <v>6.3491469999999994E-2</v>
      </c>
    </row>
    <row r="1740" spans="1:8" x14ac:dyDescent="0.15">
      <c r="A1740" s="21">
        <v>3.3945309999999999E-2</v>
      </c>
      <c r="B1740" s="21">
        <f t="shared" si="54"/>
        <v>0.1069203</v>
      </c>
      <c r="D1740">
        <f t="shared" si="55"/>
        <v>43.430754716981134</v>
      </c>
      <c r="G1740" s="21">
        <v>-0.1381098</v>
      </c>
      <c r="H1740" s="21">
        <v>0.1069203</v>
      </c>
    </row>
    <row r="1741" spans="1:8" x14ac:dyDescent="0.15">
      <c r="A1741" s="21">
        <v>3.3964840000000003E-2</v>
      </c>
      <c r="B1741" s="21">
        <f t="shared" si="54"/>
        <v>0.1471877</v>
      </c>
      <c r="D1741">
        <f t="shared" si="55"/>
        <v>59.581037735849044</v>
      </c>
      <c r="G1741" s="21">
        <v>-0.18946769999999999</v>
      </c>
      <c r="H1741" s="21">
        <v>0.1471877</v>
      </c>
    </row>
    <row r="1742" spans="1:8" x14ac:dyDescent="0.15">
      <c r="A1742" s="21">
        <v>3.3984380000000002E-2</v>
      </c>
      <c r="B1742" s="21">
        <f t="shared" si="54"/>
        <v>0.18208769999999999</v>
      </c>
      <c r="D1742">
        <f t="shared" si="55"/>
        <v>73.574371069182391</v>
      </c>
      <c r="G1742" s="21">
        <v>-0.23396649999999999</v>
      </c>
      <c r="H1742" s="21">
        <v>0.18208769999999999</v>
      </c>
    </row>
    <row r="1743" spans="1:8" x14ac:dyDescent="0.15">
      <c r="A1743" s="21">
        <v>3.4003909999999998E-2</v>
      </c>
      <c r="B1743" s="21">
        <f t="shared" si="54"/>
        <v>0.2101693</v>
      </c>
      <c r="D1743">
        <f t="shared" si="55"/>
        <v>84.859088050314455</v>
      </c>
      <c r="G1743" s="21">
        <v>-0.26985189999999998</v>
      </c>
      <c r="H1743" s="21">
        <v>0.2101693</v>
      </c>
    </row>
    <row r="1744" spans="1:8" x14ac:dyDescent="0.15">
      <c r="A1744" s="21">
        <v>3.4023440000000002E-2</v>
      </c>
      <c r="B1744" s="21">
        <f t="shared" si="54"/>
        <v>0.23176579999999999</v>
      </c>
      <c r="D1744">
        <f t="shared" si="55"/>
        <v>93.608270440251573</v>
      </c>
      <c r="G1744" s="21">
        <v>-0.2976743</v>
      </c>
      <c r="H1744" s="21">
        <v>0.23176579999999999</v>
      </c>
    </row>
    <row r="1745" spans="1:8" x14ac:dyDescent="0.15">
      <c r="A1745" s="21">
        <v>3.4042969999999999E-2</v>
      </c>
      <c r="B1745" s="21">
        <f t="shared" si="54"/>
        <v>0.24570359999999999</v>
      </c>
      <c r="D1745">
        <f t="shared" si="55"/>
        <v>99.235880503144656</v>
      </c>
      <c r="G1745" s="21">
        <v>-0.31557010000000002</v>
      </c>
      <c r="H1745" s="21">
        <v>0.24570359999999999</v>
      </c>
    </row>
    <row r="1746" spans="1:8" x14ac:dyDescent="0.15">
      <c r="A1746" s="21">
        <v>3.4062500000000002E-2</v>
      </c>
      <c r="B1746" s="21">
        <f t="shared" si="54"/>
        <v>0.25088700000000003</v>
      </c>
      <c r="D1746">
        <f t="shared" si="55"/>
        <v>101.2582075471698</v>
      </c>
      <c r="G1746" s="21">
        <v>-0.32200109999999998</v>
      </c>
      <c r="H1746" s="21">
        <v>0.25088700000000003</v>
      </c>
    </row>
    <row r="1747" spans="1:8" x14ac:dyDescent="0.15">
      <c r="A1747" s="21">
        <v>3.4082029999999999E-2</v>
      </c>
      <c r="B1747" s="21">
        <f t="shared" si="54"/>
        <v>0.2481428</v>
      </c>
      <c r="D1747">
        <f t="shared" si="55"/>
        <v>100.27415094339622</v>
      </c>
      <c r="G1747" s="21">
        <v>-0.31887179999999998</v>
      </c>
      <c r="H1747" s="21">
        <v>0.2481428</v>
      </c>
    </row>
    <row r="1748" spans="1:8" x14ac:dyDescent="0.15">
      <c r="A1748" s="21">
        <v>3.4101560000000003E-2</v>
      </c>
      <c r="B1748" s="21">
        <f t="shared" si="54"/>
        <v>0.23742099999999999</v>
      </c>
      <c r="D1748">
        <f t="shared" si="55"/>
        <v>96.04779874213834</v>
      </c>
      <c r="G1748" s="21">
        <v>-0.30543199999999998</v>
      </c>
      <c r="H1748" s="21">
        <v>0.23742099999999999</v>
      </c>
    </row>
    <row r="1749" spans="1:8" x14ac:dyDescent="0.15">
      <c r="A1749" s="21">
        <v>3.412109E-2</v>
      </c>
      <c r="B1749" s="21">
        <f t="shared" si="54"/>
        <v>0.2180868</v>
      </c>
      <c r="D1749">
        <f t="shared" si="55"/>
        <v>88.225849056603764</v>
      </c>
      <c r="G1749" s="21">
        <v>-0.28055819999999998</v>
      </c>
      <c r="H1749" s="21">
        <v>0.2180868</v>
      </c>
    </row>
    <row r="1750" spans="1:8" x14ac:dyDescent="0.15">
      <c r="A1750" s="21">
        <v>3.4140629999999998E-2</v>
      </c>
      <c r="B1750" s="21">
        <f t="shared" si="54"/>
        <v>0.19120190000000001</v>
      </c>
      <c r="D1750">
        <f t="shared" si="55"/>
        <v>77.496446540880498</v>
      </c>
      <c r="G1750" s="21">
        <v>-0.24643870000000001</v>
      </c>
      <c r="H1750" s="21">
        <v>0.19120190000000001</v>
      </c>
    </row>
    <row r="1751" spans="1:8" x14ac:dyDescent="0.15">
      <c r="A1751" s="21">
        <v>3.4160160000000002E-2</v>
      </c>
      <c r="B1751" s="21">
        <f t="shared" si="54"/>
        <v>0.1579921</v>
      </c>
      <c r="D1751">
        <f t="shared" si="55"/>
        <v>64.23449685534591</v>
      </c>
      <c r="G1751" s="21">
        <v>-0.20426569999999999</v>
      </c>
      <c r="H1751" s="21">
        <v>0.1579921</v>
      </c>
    </row>
    <row r="1752" spans="1:8" x14ac:dyDescent="0.15">
      <c r="A1752" s="21">
        <v>3.4179689999999999E-2</v>
      </c>
      <c r="B1752" s="21">
        <f t="shared" si="54"/>
        <v>0.1191919</v>
      </c>
      <c r="D1752">
        <f t="shared" si="55"/>
        <v>48.709276729559747</v>
      </c>
      <c r="G1752" s="21">
        <v>-0.15489549999999999</v>
      </c>
      <c r="H1752" s="21">
        <v>0.1191919</v>
      </c>
    </row>
    <row r="1753" spans="1:8" x14ac:dyDescent="0.15">
      <c r="A1753" s="21">
        <v>3.4199220000000002E-2</v>
      </c>
      <c r="B1753" s="21">
        <f t="shared" si="54"/>
        <v>7.6022709999999993E-2</v>
      </c>
      <c r="D1753">
        <f t="shared" si="55"/>
        <v>31.427238993710692</v>
      </c>
      <c r="G1753" s="21">
        <v>-9.9938620000000006E-2</v>
      </c>
      <c r="H1753" s="21">
        <v>7.6022709999999993E-2</v>
      </c>
    </row>
    <row r="1754" spans="1:8" x14ac:dyDescent="0.15">
      <c r="A1754" s="21">
        <v>3.4218749999999999E-2</v>
      </c>
      <c r="B1754" s="21">
        <f t="shared" si="54"/>
        <v>3.0275170000000001E-2</v>
      </c>
      <c r="D1754">
        <f t="shared" si="55"/>
        <v>13.066858490566036</v>
      </c>
      <c r="G1754" s="21">
        <v>-4.1552609999999997E-2</v>
      </c>
      <c r="H1754" s="21">
        <v>3.0275170000000001E-2</v>
      </c>
    </row>
    <row r="1755" spans="1:8" x14ac:dyDescent="0.15">
      <c r="A1755" s="21">
        <v>3.4238280000000003E-2</v>
      </c>
      <c r="B1755" s="21">
        <f t="shared" si="54"/>
        <v>-1.6125460000000001E-2</v>
      </c>
      <c r="D1755">
        <f t="shared" si="55"/>
        <v>-5.4728616352201254</v>
      </c>
      <c r="G1755" s="21">
        <v>1.7403700000000001E-2</v>
      </c>
      <c r="H1755" s="21">
        <v>-1.6125460000000001E-2</v>
      </c>
    </row>
    <row r="1756" spans="1:8" x14ac:dyDescent="0.15">
      <c r="A1756" s="21">
        <v>3.425781E-2</v>
      </c>
      <c r="B1756" s="21">
        <f t="shared" si="54"/>
        <v>-6.2021390000000003E-2</v>
      </c>
      <c r="D1756">
        <f t="shared" si="55"/>
        <v>-23.887484276729555</v>
      </c>
      <c r="G1756" s="21">
        <v>7.5962199999999994E-2</v>
      </c>
      <c r="H1756" s="21">
        <v>-6.2021390000000003E-2</v>
      </c>
    </row>
    <row r="1757" spans="1:8" x14ac:dyDescent="0.15">
      <c r="A1757" s="21">
        <v>3.4277340000000003E-2</v>
      </c>
      <c r="B1757" s="21">
        <f t="shared" si="54"/>
        <v>-0.1058571</v>
      </c>
      <c r="D1757">
        <f t="shared" si="55"/>
        <v>-41.501226415094344</v>
      </c>
      <c r="G1757" s="21">
        <v>0.13197390000000001</v>
      </c>
      <c r="H1757" s="21">
        <v>-0.1058571</v>
      </c>
    </row>
    <row r="1758" spans="1:8" x14ac:dyDescent="0.15">
      <c r="A1758" s="21">
        <v>3.429687E-2</v>
      </c>
      <c r="B1758" s="21">
        <f t="shared" si="54"/>
        <v>-0.14552180000000001</v>
      </c>
      <c r="D1758">
        <f t="shared" si="55"/>
        <v>-57.31509433962264</v>
      </c>
      <c r="G1758" s="21">
        <v>0.18226200000000001</v>
      </c>
      <c r="H1758" s="21">
        <v>-0.14552180000000001</v>
      </c>
    </row>
    <row r="1759" spans="1:8" x14ac:dyDescent="0.15">
      <c r="A1759" s="21">
        <v>3.4316409999999999E-2</v>
      </c>
      <c r="B1759" s="21">
        <f t="shared" si="54"/>
        <v>-0.18034439999999999</v>
      </c>
      <c r="D1759">
        <f t="shared" si="55"/>
        <v>-71.317138364779865</v>
      </c>
      <c r="G1759" s="21">
        <v>0.2267885</v>
      </c>
      <c r="H1759" s="21">
        <v>-0.18034439999999999</v>
      </c>
    </row>
    <row r="1760" spans="1:8" x14ac:dyDescent="0.15">
      <c r="A1760" s="21">
        <v>3.4335940000000002E-2</v>
      </c>
      <c r="B1760" s="21">
        <f t="shared" si="54"/>
        <v>-0.20994209999999999</v>
      </c>
      <c r="D1760">
        <f t="shared" si="55"/>
        <v>-83.289119496855363</v>
      </c>
      <c r="G1760" s="21">
        <v>0.26485940000000002</v>
      </c>
      <c r="H1760" s="21">
        <v>-0.20994209999999999</v>
      </c>
    </row>
    <row r="1761" spans="1:8" x14ac:dyDescent="0.15">
      <c r="A1761" s="21">
        <v>3.4355469999999999E-2</v>
      </c>
      <c r="B1761" s="21">
        <f t="shared" si="54"/>
        <v>-0.23228219999999999</v>
      </c>
      <c r="D1761">
        <f t="shared" si="55"/>
        <v>-92.250943396226418</v>
      </c>
      <c r="G1761" s="21">
        <v>0.29335800000000001</v>
      </c>
      <c r="H1761" s="21">
        <v>-0.23228219999999999</v>
      </c>
    </row>
    <row r="1762" spans="1:8" x14ac:dyDescent="0.15">
      <c r="A1762" s="21">
        <v>3.4375000000000003E-2</v>
      </c>
      <c r="B1762" s="21">
        <f t="shared" si="54"/>
        <v>-0.24615819999999999</v>
      </c>
      <c r="D1762">
        <f t="shared" si="55"/>
        <v>-97.792641509433949</v>
      </c>
      <c r="G1762" s="21">
        <v>0.3109806</v>
      </c>
      <c r="H1762" s="21">
        <v>-0.24615819999999999</v>
      </c>
    </row>
    <row r="1763" spans="1:8" x14ac:dyDescent="0.15">
      <c r="A1763" s="21">
        <v>3.439453E-2</v>
      </c>
      <c r="B1763" s="21">
        <f t="shared" si="54"/>
        <v>-0.25243660000000001</v>
      </c>
      <c r="D1763">
        <f t="shared" si="55"/>
        <v>-100.38292452830187</v>
      </c>
      <c r="G1763" s="21">
        <v>0.31921769999999999</v>
      </c>
      <c r="H1763" s="21">
        <v>-0.25243660000000001</v>
      </c>
    </row>
    <row r="1764" spans="1:8" x14ac:dyDescent="0.15">
      <c r="A1764" s="21">
        <v>3.4414060000000003E-2</v>
      </c>
      <c r="B1764" s="21">
        <f t="shared" si="54"/>
        <v>-0.25043290000000001</v>
      </c>
      <c r="D1764">
        <f t="shared" si="55"/>
        <v>-99.685566037735853</v>
      </c>
      <c r="G1764" s="21">
        <v>0.31700010000000001</v>
      </c>
      <c r="H1764" s="21">
        <v>-0.25043290000000001</v>
      </c>
    </row>
    <row r="1765" spans="1:8" x14ac:dyDescent="0.15">
      <c r="A1765" s="21">
        <v>3.443359E-2</v>
      </c>
      <c r="B1765" s="21">
        <f t="shared" si="54"/>
        <v>-0.23923140000000001</v>
      </c>
      <c r="D1765">
        <f t="shared" si="55"/>
        <v>-95.173679245282997</v>
      </c>
      <c r="G1765" s="21">
        <v>0.30265229999999999</v>
      </c>
      <c r="H1765" s="21">
        <v>-0.23923140000000001</v>
      </c>
    </row>
    <row r="1766" spans="1:8" x14ac:dyDescent="0.15">
      <c r="A1766" s="21">
        <v>3.4453129999999998E-2</v>
      </c>
      <c r="B1766" s="21">
        <f t="shared" si="54"/>
        <v>-0.2203908</v>
      </c>
      <c r="D1766">
        <f t="shared" si="55"/>
        <v>-87.645031446540884</v>
      </c>
      <c r="G1766" s="21">
        <v>0.27871119999999999</v>
      </c>
      <c r="H1766" s="21">
        <v>-0.2203908</v>
      </c>
    </row>
    <row r="1767" spans="1:8" x14ac:dyDescent="0.15">
      <c r="A1767" s="21">
        <v>3.4472660000000002E-2</v>
      </c>
      <c r="B1767" s="21">
        <f t="shared" si="54"/>
        <v>-0.19462869999999999</v>
      </c>
      <c r="D1767">
        <f t="shared" si="55"/>
        <v>-77.40201257861635</v>
      </c>
      <c r="G1767" s="21">
        <v>0.24613840000000001</v>
      </c>
      <c r="H1767" s="21">
        <v>-0.19462869999999999</v>
      </c>
    </row>
    <row r="1768" spans="1:8" x14ac:dyDescent="0.15">
      <c r="A1768" s="21">
        <v>3.4492189999999999E-2</v>
      </c>
      <c r="B1768" s="21">
        <f t="shared" si="54"/>
        <v>-0.1618522</v>
      </c>
      <c r="D1768">
        <f t="shared" si="55"/>
        <v>-64.284182389937115</v>
      </c>
      <c r="G1768" s="21">
        <v>0.20442370000000001</v>
      </c>
      <c r="H1768" s="21">
        <v>-0.1618522</v>
      </c>
    </row>
    <row r="1769" spans="1:8" x14ac:dyDescent="0.15">
      <c r="A1769" s="21">
        <v>3.4511720000000003E-2</v>
      </c>
      <c r="B1769" s="21">
        <f t="shared" si="54"/>
        <v>-0.12335119999999999</v>
      </c>
      <c r="D1769">
        <f t="shared" si="55"/>
        <v>-48.840440251572325</v>
      </c>
      <c r="G1769" s="21">
        <v>0.1553126</v>
      </c>
      <c r="H1769" s="21">
        <v>-0.12335119999999999</v>
      </c>
    </row>
    <row r="1770" spans="1:8" x14ac:dyDescent="0.15">
      <c r="A1770" s="21">
        <v>3.4531249999999999E-2</v>
      </c>
      <c r="B1770" s="21">
        <f t="shared" si="54"/>
        <v>-8.0547709999999995E-2</v>
      </c>
      <c r="D1770">
        <f t="shared" si="55"/>
        <v>-31.670597484276726</v>
      </c>
      <c r="G1770" s="21">
        <v>0.1007125</v>
      </c>
      <c r="H1770" s="21">
        <v>-8.0547709999999995E-2</v>
      </c>
    </row>
    <row r="1771" spans="1:8" x14ac:dyDescent="0.15">
      <c r="A1771" s="21">
        <v>3.4550780000000003E-2</v>
      </c>
      <c r="B1771" s="21">
        <f t="shared" si="54"/>
        <v>-3.5043190000000002E-2</v>
      </c>
      <c r="D1771">
        <f t="shared" si="55"/>
        <v>-13.50296855345912</v>
      </c>
      <c r="G1771" s="21">
        <v>4.2939440000000002E-2</v>
      </c>
      <c r="H1771" s="21">
        <v>-3.5043190000000002E-2</v>
      </c>
    </row>
    <row r="1772" spans="1:8" x14ac:dyDescent="0.15">
      <c r="A1772" s="21">
        <v>3.457031E-2</v>
      </c>
      <c r="B1772" s="21">
        <f t="shared" si="54"/>
        <v>1.1440840000000001E-2</v>
      </c>
      <c r="D1772">
        <f t="shared" si="55"/>
        <v>5.142811320754717</v>
      </c>
      <c r="G1772" s="21">
        <v>-1.635414E-2</v>
      </c>
      <c r="H1772" s="21">
        <v>1.1440840000000001E-2</v>
      </c>
    </row>
    <row r="1773" spans="1:8" x14ac:dyDescent="0.15">
      <c r="A1773" s="21">
        <v>3.4589839999999997E-2</v>
      </c>
      <c r="B1773" s="21">
        <f t="shared" si="54"/>
        <v>5.7728479999999999E-2</v>
      </c>
      <c r="D1773">
        <f t="shared" si="55"/>
        <v>23.801726415094336</v>
      </c>
      <c r="G1773" s="21">
        <v>-7.5689489999999998E-2</v>
      </c>
      <c r="H1773" s="21">
        <v>5.7728479999999999E-2</v>
      </c>
    </row>
    <row r="1774" spans="1:8" x14ac:dyDescent="0.15">
      <c r="A1774" s="21">
        <v>3.460937E-2</v>
      </c>
      <c r="B1774" s="21">
        <f t="shared" si="54"/>
        <v>0.101743</v>
      </c>
      <c r="D1774">
        <f t="shared" si="55"/>
        <v>41.360880503144656</v>
      </c>
      <c r="G1774" s="21">
        <v>-0.13152759999999999</v>
      </c>
      <c r="H1774" s="21">
        <v>0.101743</v>
      </c>
    </row>
    <row r="1775" spans="1:8" x14ac:dyDescent="0.15">
      <c r="A1775" s="21">
        <v>3.4628909999999999E-2</v>
      </c>
      <c r="B1775" s="21">
        <f t="shared" si="54"/>
        <v>0.14172029999999999</v>
      </c>
      <c r="D1775">
        <f t="shared" si="55"/>
        <v>57.386100628930812</v>
      </c>
      <c r="G1775" s="21">
        <v>-0.18248780000000001</v>
      </c>
      <c r="H1775" s="21">
        <v>0.14172029999999999</v>
      </c>
    </row>
    <row r="1776" spans="1:8" x14ac:dyDescent="0.15">
      <c r="A1776" s="21">
        <v>3.4648440000000003E-2</v>
      </c>
      <c r="B1776" s="21">
        <f t="shared" si="54"/>
        <v>0.17715710000000001</v>
      </c>
      <c r="D1776">
        <f t="shared" si="55"/>
        <v>71.699559748427674</v>
      </c>
      <c r="G1776" s="21">
        <v>-0.2280046</v>
      </c>
      <c r="H1776" s="21">
        <v>0.17715710000000001</v>
      </c>
    </row>
    <row r="1777" spans="1:8" x14ac:dyDescent="0.15">
      <c r="A1777" s="21">
        <v>3.4667969999999999E-2</v>
      </c>
      <c r="B1777" s="21">
        <f t="shared" si="54"/>
        <v>0.20662820000000001</v>
      </c>
      <c r="D1777">
        <f t="shared" si="55"/>
        <v>83.493427672955974</v>
      </c>
      <c r="G1777" s="21">
        <v>-0.2655091</v>
      </c>
      <c r="H1777" s="21">
        <v>0.20662820000000001</v>
      </c>
    </row>
    <row r="1778" spans="1:8" x14ac:dyDescent="0.15">
      <c r="A1778" s="21">
        <v>3.4687500000000003E-2</v>
      </c>
      <c r="B1778" s="21">
        <f t="shared" si="54"/>
        <v>0.22898859999999999</v>
      </c>
      <c r="D1778">
        <f t="shared" si="55"/>
        <v>92.516257861635225</v>
      </c>
      <c r="G1778" s="21">
        <v>-0.29420170000000001</v>
      </c>
      <c r="H1778" s="21">
        <v>0.22898859999999999</v>
      </c>
    </row>
    <row r="1779" spans="1:8" x14ac:dyDescent="0.15">
      <c r="A1779" s="21">
        <v>3.470703E-2</v>
      </c>
      <c r="B1779" s="21">
        <f t="shared" si="54"/>
        <v>0.24404319999999999</v>
      </c>
      <c r="D1779">
        <f t="shared" si="55"/>
        <v>98.571823899371083</v>
      </c>
      <c r="G1779" s="21">
        <v>-0.31345840000000003</v>
      </c>
      <c r="H1779" s="21">
        <v>0.24404319999999999</v>
      </c>
    </row>
    <row r="1780" spans="1:8" x14ac:dyDescent="0.15">
      <c r="A1780" s="21">
        <v>3.4726559999999997E-2</v>
      </c>
      <c r="B1780" s="21">
        <f t="shared" si="54"/>
        <v>0.25082369999999998</v>
      </c>
      <c r="D1780">
        <f t="shared" si="55"/>
        <v>101.26455974842767</v>
      </c>
      <c r="G1780" s="21">
        <v>-0.32202130000000001</v>
      </c>
      <c r="H1780" s="21">
        <v>0.25082369999999998</v>
      </c>
    </row>
    <row r="1781" spans="1:8" x14ac:dyDescent="0.15">
      <c r="A1781" s="21">
        <v>3.474609E-2</v>
      </c>
      <c r="B1781" s="21">
        <f t="shared" si="54"/>
        <v>0.248728</v>
      </c>
      <c r="D1781">
        <f t="shared" si="55"/>
        <v>100.49650943396225</v>
      </c>
      <c r="G1781" s="21">
        <v>-0.3195789</v>
      </c>
      <c r="H1781" s="21">
        <v>0.248728</v>
      </c>
    </row>
    <row r="1782" spans="1:8" x14ac:dyDescent="0.15">
      <c r="A1782" s="21">
        <v>3.4765629999999999E-2</v>
      </c>
      <c r="B1782" s="21">
        <f t="shared" si="54"/>
        <v>0.23851230000000001</v>
      </c>
      <c r="D1782">
        <f t="shared" si="55"/>
        <v>96.420911949685546</v>
      </c>
      <c r="G1782" s="21">
        <v>-0.30661850000000002</v>
      </c>
      <c r="H1782" s="21">
        <v>0.23851230000000001</v>
      </c>
    </row>
    <row r="1783" spans="1:8" x14ac:dyDescent="0.15">
      <c r="A1783" s="21">
        <v>3.4785160000000002E-2</v>
      </c>
      <c r="B1783" s="21">
        <f t="shared" si="54"/>
        <v>0.22052369999999999</v>
      </c>
      <c r="D1783">
        <f t="shared" si="55"/>
        <v>89.282641509433972</v>
      </c>
      <c r="G1783" s="21">
        <v>-0.28391880000000003</v>
      </c>
      <c r="H1783" s="21">
        <v>0.22052369999999999</v>
      </c>
    </row>
    <row r="1784" spans="1:8" x14ac:dyDescent="0.15">
      <c r="A1784" s="21">
        <v>3.4804689999999999E-2</v>
      </c>
      <c r="B1784" s="21">
        <f t="shared" si="54"/>
        <v>0.1946523</v>
      </c>
      <c r="D1784">
        <f t="shared" si="55"/>
        <v>78.968144654088036</v>
      </c>
      <c r="G1784" s="21">
        <v>-0.25111869999999997</v>
      </c>
      <c r="H1784" s="21">
        <v>0.1946523</v>
      </c>
    </row>
    <row r="1785" spans="1:8" x14ac:dyDescent="0.15">
      <c r="A1785" s="21">
        <v>3.4824220000000003E-2</v>
      </c>
      <c r="B1785" s="21">
        <f t="shared" si="54"/>
        <v>0.16207530000000001</v>
      </c>
      <c r="D1785">
        <f t="shared" si="55"/>
        <v>65.828427672955982</v>
      </c>
      <c r="G1785" s="21">
        <v>-0.2093344</v>
      </c>
      <c r="H1785" s="21">
        <v>0.16207530000000001</v>
      </c>
    </row>
    <row r="1786" spans="1:8" x14ac:dyDescent="0.15">
      <c r="A1786" s="21">
        <v>3.484375E-2</v>
      </c>
      <c r="B1786" s="21">
        <f t="shared" si="54"/>
        <v>0.1240276</v>
      </c>
      <c r="D1786">
        <f t="shared" si="55"/>
        <v>50.648742138364781</v>
      </c>
      <c r="G1786" s="21">
        <v>-0.16106300000000001</v>
      </c>
      <c r="H1786" s="21">
        <v>0.1240276</v>
      </c>
    </row>
    <row r="1787" spans="1:8" x14ac:dyDescent="0.15">
      <c r="A1787" s="21">
        <v>3.4863280000000003E-2</v>
      </c>
      <c r="B1787" s="21">
        <f t="shared" si="54"/>
        <v>8.1468059999999995E-2</v>
      </c>
      <c r="D1787">
        <f t="shared" si="55"/>
        <v>33.700723270440243</v>
      </c>
      <c r="G1787" s="21">
        <v>-0.10716829999999999</v>
      </c>
      <c r="H1787" s="21">
        <v>8.1468059999999995E-2</v>
      </c>
    </row>
    <row r="1788" spans="1:8" x14ac:dyDescent="0.15">
      <c r="A1788" s="21">
        <v>3.488281E-2</v>
      </c>
      <c r="B1788" s="21">
        <f t="shared" si="54"/>
        <v>3.6045979999999998E-2</v>
      </c>
      <c r="D1788">
        <f t="shared" si="55"/>
        <v>15.463364779874214</v>
      </c>
      <c r="G1788" s="21">
        <v>-4.9173500000000002E-2</v>
      </c>
      <c r="H1788" s="21">
        <v>3.6045979999999998E-2</v>
      </c>
    </row>
    <row r="1789" spans="1:8" x14ac:dyDescent="0.15">
      <c r="A1789" s="21">
        <v>3.4902339999999997E-2</v>
      </c>
      <c r="B1789" s="21">
        <f t="shared" si="54"/>
        <v>-1.061787E-2</v>
      </c>
      <c r="D1789">
        <f t="shared" si="55"/>
        <v>-3.2247610062893082</v>
      </c>
      <c r="G1789" s="21">
        <v>1.025474E-2</v>
      </c>
      <c r="H1789" s="21">
        <v>-1.061787E-2</v>
      </c>
    </row>
    <row r="1790" spans="1:8" x14ac:dyDescent="0.15">
      <c r="A1790" s="21">
        <v>3.4921870000000001E-2</v>
      </c>
      <c r="B1790" s="21">
        <f t="shared" si="54"/>
        <v>-5.6592669999999998E-2</v>
      </c>
      <c r="D1790">
        <f t="shared" si="55"/>
        <v>-21.65632075471698</v>
      </c>
      <c r="G1790" s="21">
        <v>6.8867100000000001E-2</v>
      </c>
      <c r="H1790" s="21">
        <v>-5.6592669999999998E-2</v>
      </c>
    </row>
    <row r="1791" spans="1:8" x14ac:dyDescent="0.15">
      <c r="A1791" s="21">
        <v>3.4941409999999999E-2</v>
      </c>
      <c r="B1791" s="21">
        <f t="shared" si="54"/>
        <v>-0.1005592</v>
      </c>
      <c r="D1791">
        <f t="shared" si="55"/>
        <v>-39.301477987421386</v>
      </c>
      <c r="G1791" s="21">
        <v>0.1249787</v>
      </c>
      <c r="H1791" s="21">
        <v>-0.1005592</v>
      </c>
    </row>
    <row r="1792" spans="1:8" x14ac:dyDescent="0.15">
      <c r="A1792" s="21">
        <v>3.4960940000000003E-2</v>
      </c>
      <c r="B1792" s="21">
        <f t="shared" si="54"/>
        <v>-0.1413613</v>
      </c>
      <c r="D1792">
        <f t="shared" si="55"/>
        <v>-55.684308176100622</v>
      </c>
      <c r="G1792" s="21">
        <v>0.17707609999999999</v>
      </c>
      <c r="H1792" s="21">
        <v>-0.1413613</v>
      </c>
    </row>
    <row r="1793" spans="1:8" x14ac:dyDescent="0.15">
      <c r="A1793" s="21">
        <v>3.498047E-2</v>
      </c>
      <c r="B1793" s="21">
        <f t="shared" si="54"/>
        <v>-0.17703360000000001</v>
      </c>
      <c r="D1793">
        <f t="shared" si="55"/>
        <v>-70.054056603773574</v>
      </c>
      <c r="G1793" s="21">
        <v>0.22277189999999999</v>
      </c>
      <c r="H1793" s="21">
        <v>-0.17703360000000001</v>
      </c>
    </row>
    <row r="1794" spans="1:8" x14ac:dyDescent="0.15">
      <c r="A1794" s="21">
        <v>3.5000000000000003E-2</v>
      </c>
      <c r="B1794" s="21">
        <f t="shared" ref="B1794:B1857" si="56">H1794</f>
        <v>-0.20671800000000001</v>
      </c>
      <c r="D1794">
        <f t="shared" ref="D1794:D1857" si="57">G1794*-1000/3.18</f>
        <v>-81.936540880503145</v>
      </c>
      <c r="G1794" s="21">
        <v>0.26055820000000002</v>
      </c>
      <c r="H1794" s="21">
        <v>-0.20671800000000001</v>
      </c>
    </row>
    <row r="1795" spans="1:8" x14ac:dyDescent="0.15">
      <c r="A1795" s="21">
        <v>3.501953E-2</v>
      </c>
      <c r="B1795" s="21">
        <f t="shared" si="56"/>
        <v>-0.22979830000000001</v>
      </c>
      <c r="D1795">
        <f t="shared" si="57"/>
        <v>-91.267641509433972</v>
      </c>
      <c r="G1795" s="21">
        <v>0.29023110000000002</v>
      </c>
      <c r="H1795" s="21">
        <v>-0.22979830000000001</v>
      </c>
    </row>
    <row r="1796" spans="1:8" x14ac:dyDescent="0.15">
      <c r="A1796" s="21">
        <v>3.5039059999999997E-2</v>
      </c>
      <c r="B1796" s="21">
        <f t="shared" si="56"/>
        <v>-0.24535280000000001</v>
      </c>
      <c r="D1796">
        <f t="shared" si="57"/>
        <v>-97.547861635220116</v>
      </c>
      <c r="G1796" s="21">
        <v>0.31020219999999998</v>
      </c>
      <c r="H1796" s="21">
        <v>-0.24535280000000001</v>
      </c>
    </row>
    <row r="1797" spans="1:8" x14ac:dyDescent="0.15">
      <c r="A1797" s="21">
        <v>3.5058590000000001E-2</v>
      </c>
      <c r="B1797" s="21">
        <f t="shared" si="56"/>
        <v>-0.25273259999999997</v>
      </c>
      <c r="D1797">
        <f t="shared" si="57"/>
        <v>-100.41487421383647</v>
      </c>
      <c r="G1797" s="21">
        <v>0.31931929999999997</v>
      </c>
      <c r="H1797" s="21">
        <v>-0.25273259999999997</v>
      </c>
    </row>
    <row r="1798" spans="1:8" x14ac:dyDescent="0.15">
      <c r="A1798" s="21">
        <v>3.5078129999999999E-2</v>
      </c>
      <c r="B1798" s="21">
        <f t="shared" si="56"/>
        <v>-0.25148969999999998</v>
      </c>
      <c r="D1798">
        <f t="shared" si="57"/>
        <v>-100.07050314465408</v>
      </c>
      <c r="G1798" s="21">
        <v>0.31822420000000001</v>
      </c>
      <c r="H1798" s="21">
        <v>-0.25148969999999998</v>
      </c>
    </row>
    <row r="1799" spans="1:8" x14ac:dyDescent="0.15">
      <c r="A1799" s="21">
        <v>3.5097660000000003E-2</v>
      </c>
      <c r="B1799" s="21">
        <f t="shared" si="56"/>
        <v>-0.24188979999999999</v>
      </c>
      <c r="D1799">
        <f t="shared" si="57"/>
        <v>-96.300628930817595</v>
      </c>
      <c r="G1799" s="21">
        <v>0.30623600000000001</v>
      </c>
      <c r="H1799" s="21">
        <v>-0.24188979999999999</v>
      </c>
    </row>
    <row r="1800" spans="1:8" x14ac:dyDescent="0.15">
      <c r="A1800" s="21">
        <v>3.511719E-2</v>
      </c>
      <c r="B1800" s="21">
        <f t="shared" si="56"/>
        <v>-0.22430610000000001</v>
      </c>
      <c r="D1800">
        <f t="shared" si="57"/>
        <v>-89.17279874213834</v>
      </c>
      <c r="G1800" s="21">
        <v>0.28356949999999997</v>
      </c>
      <c r="H1800" s="21">
        <v>-0.22430610000000001</v>
      </c>
    </row>
    <row r="1801" spans="1:8" x14ac:dyDescent="0.15">
      <c r="A1801" s="21">
        <v>3.5136720000000003E-2</v>
      </c>
      <c r="B1801" s="21">
        <f t="shared" si="56"/>
        <v>-0.1989321</v>
      </c>
      <c r="D1801">
        <f t="shared" si="57"/>
        <v>-79.077704402515721</v>
      </c>
      <c r="G1801" s="21">
        <v>0.2514671</v>
      </c>
      <c r="H1801" s="21">
        <v>-0.1989321</v>
      </c>
    </row>
    <row r="1802" spans="1:8" x14ac:dyDescent="0.15">
      <c r="A1802" s="21">
        <v>3.515625E-2</v>
      </c>
      <c r="B1802" s="21">
        <f t="shared" si="56"/>
        <v>-0.1666485</v>
      </c>
      <c r="D1802">
        <f t="shared" si="57"/>
        <v>-66.182672955974837</v>
      </c>
      <c r="G1802" s="21">
        <v>0.21046090000000001</v>
      </c>
      <c r="H1802" s="21">
        <v>-0.1666485</v>
      </c>
    </row>
    <row r="1803" spans="1:8" x14ac:dyDescent="0.15">
      <c r="A1803" s="21">
        <v>3.5175779999999997E-2</v>
      </c>
      <c r="B1803" s="21">
        <f t="shared" si="56"/>
        <v>-0.1289613</v>
      </c>
      <c r="D1803">
        <f t="shared" si="57"/>
        <v>-51.124968553459119</v>
      </c>
      <c r="G1803" s="21">
        <v>0.16257740000000001</v>
      </c>
      <c r="H1803" s="21">
        <v>-0.1289613</v>
      </c>
    </row>
    <row r="1804" spans="1:8" x14ac:dyDescent="0.15">
      <c r="A1804" s="21">
        <v>3.519531E-2</v>
      </c>
      <c r="B1804" s="21">
        <f t="shared" si="56"/>
        <v>-8.6871249999999997E-2</v>
      </c>
      <c r="D1804">
        <f t="shared" si="57"/>
        <v>-34.247327044025155</v>
      </c>
      <c r="G1804" s="21">
        <v>0.1089065</v>
      </c>
      <c r="H1804" s="21">
        <v>-8.6871249999999997E-2</v>
      </c>
    </row>
    <row r="1805" spans="1:8" x14ac:dyDescent="0.15">
      <c r="A1805" s="21">
        <v>3.5214839999999997E-2</v>
      </c>
      <c r="B1805" s="21">
        <f t="shared" si="56"/>
        <v>-4.1706439999999997E-2</v>
      </c>
      <c r="D1805">
        <f t="shared" si="57"/>
        <v>-16.08753459119497</v>
      </c>
      <c r="G1805" s="21">
        <v>5.115836E-2</v>
      </c>
      <c r="H1805" s="21">
        <v>-4.1706439999999997E-2</v>
      </c>
    </row>
    <row r="1806" spans="1:8" x14ac:dyDescent="0.15">
      <c r="A1806" s="21">
        <v>3.5234370000000001E-2</v>
      </c>
      <c r="B1806" s="21">
        <f t="shared" si="56"/>
        <v>4.9552390000000002E-3</v>
      </c>
      <c r="D1806">
        <f t="shared" si="57"/>
        <v>2.5337710691823898</v>
      </c>
      <c r="G1806" s="21">
        <v>-8.057392E-3</v>
      </c>
      <c r="H1806" s="21">
        <v>4.9552390000000002E-3</v>
      </c>
    </row>
    <row r="1807" spans="1:8" x14ac:dyDescent="0.15">
      <c r="A1807" s="21">
        <v>3.5253909999999999E-2</v>
      </c>
      <c r="B1807" s="21">
        <f t="shared" si="56"/>
        <v>5.168652E-2</v>
      </c>
      <c r="D1807">
        <f t="shared" si="57"/>
        <v>21.225487421383647</v>
      </c>
      <c r="G1807" s="21">
        <v>-6.7497050000000003E-2</v>
      </c>
      <c r="H1807" s="21">
        <v>5.168652E-2</v>
      </c>
    </row>
    <row r="1808" spans="1:8" x14ac:dyDescent="0.15">
      <c r="A1808" s="21">
        <v>3.5273440000000003E-2</v>
      </c>
      <c r="B1808" s="21">
        <f t="shared" si="56"/>
        <v>9.5961589999999999E-2</v>
      </c>
      <c r="D1808">
        <f t="shared" si="57"/>
        <v>39.003238993710688</v>
      </c>
      <c r="G1808" s="21">
        <v>-0.1240303</v>
      </c>
      <c r="H1808" s="21">
        <v>9.5961589999999999E-2</v>
      </c>
    </row>
    <row r="1809" spans="1:8" x14ac:dyDescent="0.15">
      <c r="A1809" s="21">
        <v>3.529297E-2</v>
      </c>
      <c r="B1809" s="21">
        <f t="shared" si="56"/>
        <v>0.1364292</v>
      </c>
      <c r="D1809">
        <f t="shared" si="57"/>
        <v>55.24166666666666</v>
      </c>
      <c r="G1809" s="21">
        <v>-0.17566850000000001</v>
      </c>
      <c r="H1809" s="21">
        <v>0.1364292</v>
      </c>
    </row>
    <row r="1810" spans="1:8" x14ac:dyDescent="0.15">
      <c r="A1810" s="21">
        <v>3.5312499999999997E-2</v>
      </c>
      <c r="B1810" s="21">
        <f t="shared" si="56"/>
        <v>0.17259430000000001</v>
      </c>
      <c r="D1810">
        <f t="shared" si="57"/>
        <v>69.76059748427673</v>
      </c>
      <c r="G1810" s="21">
        <v>-0.2218387</v>
      </c>
      <c r="H1810" s="21">
        <v>0.17259430000000001</v>
      </c>
    </row>
    <row r="1811" spans="1:8" x14ac:dyDescent="0.15">
      <c r="A1811" s="21">
        <v>3.533203E-2</v>
      </c>
      <c r="B1811" s="21">
        <f t="shared" si="56"/>
        <v>0.20291400000000001</v>
      </c>
      <c r="D1811">
        <f t="shared" si="57"/>
        <v>81.969433962264134</v>
      </c>
      <c r="G1811" s="21">
        <v>-0.26066279999999997</v>
      </c>
      <c r="H1811" s="21">
        <v>0.20291400000000001</v>
      </c>
    </row>
    <row r="1812" spans="1:8" x14ac:dyDescent="0.15">
      <c r="A1812" s="21">
        <v>3.5351559999999997E-2</v>
      </c>
      <c r="B1812" s="21">
        <f t="shared" si="56"/>
        <v>0.22652359999999999</v>
      </c>
      <c r="D1812">
        <f t="shared" si="57"/>
        <v>91.507578616352191</v>
      </c>
      <c r="G1812" s="21">
        <v>-0.29099409999999998</v>
      </c>
      <c r="H1812" s="21">
        <v>0.22652359999999999</v>
      </c>
    </row>
    <row r="1813" spans="1:8" x14ac:dyDescent="0.15">
      <c r="A1813" s="21">
        <v>3.5371090000000001E-2</v>
      </c>
      <c r="B1813" s="21">
        <f t="shared" si="56"/>
        <v>0.2424935</v>
      </c>
      <c r="D1813">
        <f t="shared" si="57"/>
        <v>97.923553459119475</v>
      </c>
      <c r="G1813" s="21">
        <v>-0.31139689999999998</v>
      </c>
      <c r="H1813" s="21">
        <v>0.2424935</v>
      </c>
    </row>
    <row r="1814" spans="1:8" x14ac:dyDescent="0.15">
      <c r="A1814" s="21">
        <v>3.5390629999999999E-2</v>
      </c>
      <c r="B1814" s="21">
        <f t="shared" si="56"/>
        <v>0.25003609999999998</v>
      </c>
      <c r="D1814">
        <f t="shared" si="57"/>
        <v>101.01044025157232</v>
      </c>
      <c r="G1814" s="21">
        <v>-0.32121319999999998</v>
      </c>
      <c r="H1814" s="21">
        <v>0.25003609999999998</v>
      </c>
    </row>
    <row r="1815" spans="1:8" x14ac:dyDescent="0.15">
      <c r="A1815" s="21">
        <v>3.5410160000000003E-2</v>
      </c>
      <c r="B1815" s="21">
        <f t="shared" si="56"/>
        <v>0.2494518</v>
      </c>
      <c r="D1815">
        <f t="shared" si="57"/>
        <v>100.83811320754715</v>
      </c>
      <c r="G1815" s="21">
        <v>-0.32066519999999998</v>
      </c>
      <c r="H1815" s="21">
        <v>0.2494518</v>
      </c>
    </row>
    <row r="1816" spans="1:8" x14ac:dyDescent="0.15">
      <c r="A1816" s="21">
        <v>3.542969E-2</v>
      </c>
      <c r="B1816" s="21">
        <f t="shared" si="56"/>
        <v>0.24041989999999999</v>
      </c>
      <c r="D1816">
        <f t="shared" si="57"/>
        <v>97.192138364779865</v>
      </c>
      <c r="G1816" s="21">
        <v>-0.30907099999999998</v>
      </c>
      <c r="H1816" s="21">
        <v>0.24041989999999999</v>
      </c>
    </row>
    <row r="1817" spans="1:8" x14ac:dyDescent="0.15">
      <c r="A1817" s="21">
        <v>3.5449219999999997E-2</v>
      </c>
      <c r="B1817" s="21">
        <f t="shared" si="56"/>
        <v>0.22308239999999999</v>
      </c>
      <c r="D1817">
        <f t="shared" si="57"/>
        <v>90.299685534591191</v>
      </c>
      <c r="G1817" s="21">
        <v>-0.28715299999999999</v>
      </c>
      <c r="H1817" s="21">
        <v>0.22308239999999999</v>
      </c>
    </row>
    <row r="1818" spans="1:8" x14ac:dyDescent="0.15">
      <c r="A1818" s="21">
        <v>3.546875E-2</v>
      </c>
      <c r="B1818" s="21">
        <f t="shared" si="56"/>
        <v>0.1985555</v>
      </c>
      <c r="D1818">
        <f t="shared" si="57"/>
        <v>80.476761006289294</v>
      </c>
      <c r="G1818" s="21">
        <v>-0.25591609999999998</v>
      </c>
      <c r="H1818" s="21">
        <v>0.1985555</v>
      </c>
    </row>
    <row r="1819" spans="1:8" x14ac:dyDescent="0.15">
      <c r="A1819" s="21">
        <v>3.5488279999999997E-2</v>
      </c>
      <c r="B1819" s="21">
        <f t="shared" si="56"/>
        <v>0.16700490000000001</v>
      </c>
      <c r="D1819">
        <f t="shared" si="57"/>
        <v>67.790314465408798</v>
      </c>
      <c r="G1819" s="21">
        <v>-0.21557319999999999</v>
      </c>
      <c r="H1819" s="21">
        <v>0.16700490000000001</v>
      </c>
    </row>
    <row r="1820" spans="1:8" x14ac:dyDescent="0.15">
      <c r="A1820" s="21">
        <v>3.5507810000000001E-2</v>
      </c>
      <c r="B1820" s="21">
        <f t="shared" si="56"/>
        <v>0.1291735</v>
      </c>
      <c r="D1820">
        <f t="shared" si="57"/>
        <v>52.689937106918237</v>
      </c>
      <c r="G1820" s="21">
        <v>-0.16755400000000001</v>
      </c>
      <c r="H1820" s="21">
        <v>0.1291735</v>
      </c>
    </row>
    <row r="1821" spans="1:8" x14ac:dyDescent="0.15">
      <c r="A1821" s="21">
        <v>3.5527339999999998E-2</v>
      </c>
      <c r="B1821" s="21">
        <f t="shared" si="56"/>
        <v>8.7254319999999996E-2</v>
      </c>
      <c r="D1821">
        <f t="shared" si="57"/>
        <v>35.924465408805034</v>
      </c>
      <c r="G1821" s="21">
        <v>-0.1142398</v>
      </c>
      <c r="H1821" s="21">
        <v>8.7254319999999996E-2</v>
      </c>
    </row>
    <row r="1822" spans="1:8" x14ac:dyDescent="0.15">
      <c r="A1822" s="21">
        <v>3.5546870000000001E-2</v>
      </c>
      <c r="B1822" s="21">
        <f t="shared" si="56"/>
        <v>4.254703E-2</v>
      </c>
      <c r="D1822">
        <f t="shared" si="57"/>
        <v>17.985751572327043</v>
      </c>
      <c r="G1822" s="21">
        <v>-5.7194689999999999E-2</v>
      </c>
      <c r="H1822" s="21">
        <v>4.254703E-2</v>
      </c>
    </row>
    <row r="1823" spans="1:8" x14ac:dyDescent="0.15">
      <c r="A1823" s="21">
        <v>3.556641E-2</v>
      </c>
      <c r="B1823" s="21">
        <f t="shared" si="56"/>
        <v>-3.9602209999999999E-3</v>
      </c>
      <c r="D1823">
        <f t="shared" si="57"/>
        <v>-0.73383396226415087</v>
      </c>
      <c r="G1823" s="21">
        <v>2.3335919999999998E-3</v>
      </c>
      <c r="H1823" s="21">
        <v>-3.9602209999999999E-3</v>
      </c>
    </row>
    <row r="1824" spans="1:8" x14ac:dyDescent="0.15">
      <c r="A1824" s="21">
        <v>3.5585940000000003E-2</v>
      </c>
      <c r="B1824" s="21">
        <f t="shared" si="56"/>
        <v>-5.040787E-2</v>
      </c>
      <c r="D1824">
        <f t="shared" si="57"/>
        <v>-19.332512578616353</v>
      </c>
      <c r="G1824" s="21">
        <v>6.147739E-2</v>
      </c>
      <c r="H1824" s="21">
        <v>-5.040787E-2</v>
      </c>
    </row>
    <row r="1825" spans="1:8" x14ac:dyDescent="0.15">
      <c r="A1825" s="21">
        <v>3.560547E-2</v>
      </c>
      <c r="B1825" s="21">
        <f t="shared" si="56"/>
        <v>-9.5064300000000004E-2</v>
      </c>
      <c r="D1825">
        <f t="shared" si="57"/>
        <v>-37.089213836477981</v>
      </c>
      <c r="G1825" s="21">
        <v>0.1179437</v>
      </c>
      <c r="H1825" s="21">
        <v>-9.5064300000000004E-2</v>
      </c>
    </row>
    <row r="1826" spans="1:8" x14ac:dyDescent="0.15">
      <c r="A1826" s="21">
        <v>3.5624999999999997E-2</v>
      </c>
      <c r="B1826" s="21">
        <f t="shared" si="56"/>
        <v>-0.1361484</v>
      </c>
      <c r="D1826">
        <f t="shared" si="57"/>
        <v>-53.548113207547161</v>
      </c>
      <c r="G1826" s="21">
        <v>0.17028299999999999</v>
      </c>
      <c r="H1826" s="21">
        <v>-0.1361484</v>
      </c>
    </row>
    <row r="1827" spans="1:8" x14ac:dyDescent="0.15">
      <c r="A1827" s="21">
        <v>3.5644530000000001E-2</v>
      </c>
      <c r="B1827" s="21">
        <f t="shared" si="56"/>
        <v>-0.17231079999999999</v>
      </c>
      <c r="D1827">
        <f t="shared" si="57"/>
        <v>-68.110597484276724</v>
      </c>
      <c r="G1827" s="21">
        <v>0.2165917</v>
      </c>
      <c r="H1827" s="21">
        <v>-0.17231079999999999</v>
      </c>
    </row>
    <row r="1828" spans="1:8" x14ac:dyDescent="0.15">
      <c r="A1828" s="21">
        <v>3.5664059999999997E-2</v>
      </c>
      <c r="B1828" s="21">
        <f t="shared" si="56"/>
        <v>-0.20305029999999999</v>
      </c>
      <c r="D1828">
        <f t="shared" si="57"/>
        <v>-80.518270440251555</v>
      </c>
      <c r="G1828" s="21">
        <v>0.2560481</v>
      </c>
      <c r="H1828" s="21">
        <v>-0.20305029999999999</v>
      </c>
    </row>
    <row r="1829" spans="1:8" x14ac:dyDescent="0.15">
      <c r="A1829" s="21">
        <v>3.5683590000000001E-2</v>
      </c>
      <c r="B1829" s="21">
        <f t="shared" si="56"/>
        <v>-0.2272556</v>
      </c>
      <c r="D1829">
        <f t="shared" si="57"/>
        <v>-90.267169811320755</v>
      </c>
      <c r="G1829" s="21">
        <v>0.28704960000000002</v>
      </c>
      <c r="H1829" s="21">
        <v>-0.2272556</v>
      </c>
    </row>
    <row r="1830" spans="1:8" x14ac:dyDescent="0.15">
      <c r="A1830" s="21">
        <v>3.570313E-2</v>
      </c>
      <c r="B1830" s="21">
        <f t="shared" si="56"/>
        <v>-0.2438234</v>
      </c>
      <c r="D1830">
        <f t="shared" si="57"/>
        <v>-96.872295597484268</v>
      </c>
      <c r="G1830" s="21">
        <v>0.30805389999999999</v>
      </c>
      <c r="H1830" s="21">
        <v>-0.2438234</v>
      </c>
    </row>
    <row r="1831" spans="1:8" x14ac:dyDescent="0.15">
      <c r="A1831" s="21">
        <v>3.5722660000000003E-2</v>
      </c>
      <c r="B1831" s="21">
        <f t="shared" si="56"/>
        <v>-0.25212889999999999</v>
      </c>
      <c r="D1831">
        <f t="shared" si="57"/>
        <v>-100.2704716981132</v>
      </c>
      <c r="G1831" s="21">
        <v>0.31886009999999998</v>
      </c>
      <c r="H1831" s="21">
        <v>-0.25212889999999999</v>
      </c>
    </row>
    <row r="1832" spans="1:8" x14ac:dyDescent="0.15">
      <c r="A1832" s="21">
        <v>3.574219E-2</v>
      </c>
      <c r="B1832" s="21">
        <f t="shared" si="56"/>
        <v>-0.25173600000000002</v>
      </c>
      <c r="D1832">
        <f t="shared" si="57"/>
        <v>-100.22066037735847</v>
      </c>
      <c r="G1832" s="21">
        <v>0.31870169999999998</v>
      </c>
      <c r="H1832" s="21">
        <v>-0.25173600000000002</v>
      </c>
    </row>
    <row r="1833" spans="1:8" x14ac:dyDescent="0.15">
      <c r="A1833" s="21">
        <v>3.5761719999999997E-2</v>
      </c>
      <c r="B1833" s="21">
        <f t="shared" si="56"/>
        <v>-0.2431749</v>
      </c>
      <c r="D1833">
        <f t="shared" si="57"/>
        <v>-96.793396226415084</v>
      </c>
      <c r="G1833" s="21">
        <v>0.30780299999999999</v>
      </c>
      <c r="H1833" s="21">
        <v>-0.2431749</v>
      </c>
    </row>
    <row r="1834" spans="1:8" x14ac:dyDescent="0.15">
      <c r="A1834" s="21">
        <v>3.5781250000000001E-2</v>
      </c>
      <c r="B1834" s="21">
        <f t="shared" si="56"/>
        <v>-0.22662360000000001</v>
      </c>
      <c r="D1834">
        <f t="shared" si="57"/>
        <v>-90.159245283018862</v>
      </c>
      <c r="G1834" s="21">
        <v>0.28670639999999997</v>
      </c>
      <c r="H1834" s="21">
        <v>-0.22662360000000001</v>
      </c>
    </row>
    <row r="1835" spans="1:8" x14ac:dyDescent="0.15">
      <c r="A1835" s="21">
        <v>3.5800779999999997E-2</v>
      </c>
      <c r="B1835" s="21">
        <f t="shared" si="56"/>
        <v>-0.2022699</v>
      </c>
      <c r="D1835">
        <f t="shared" si="57"/>
        <v>-80.469433962264134</v>
      </c>
      <c r="G1835" s="21">
        <v>0.25589279999999998</v>
      </c>
      <c r="H1835" s="21">
        <v>-0.2022699</v>
      </c>
    </row>
    <row r="1836" spans="1:8" x14ac:dyDescent="0.15">
      <c r="A1836" s="21">
        <v>3.5820310000000001E-2</v>
      </c>
      <c r="B1836" s="21">
        <f t="shared" si="56"/>
        <v>-0.1711915</v>
      </c>
      <c r="D1836">
        <f t="shared" si="57"/>
        <v>-68.102484276729555</v>
      </c>
      <c r="G1836" s="21">
        <v>0.21656590000000001</v>
      </c>
      <c r="H1836" s="21">
        <v>-0.1711915</v>
      </c>
    </row>
    <row r="1837" spans="1:8" x14ac:dyDescent="0.15">
      <c r="A1837" s="21">
        <v>3.5839839999999998E-2</v>
      </c>
      <c r="B1837" s="21">
        <f t="shared" si="56"/>
        <v>-0.13415379999999999</v>
      </c>
      <c r="D1837">
        <f t="shared" si="57"/>
        <v>-53.30591194968553</v>
      </c>
      <c r="G1837" s="21">
        <v>0.16951279999999999</v>
      </c>
      <c r="H1837" s="21">
        <v>-0.13415379999999999</v>
      </c>
    </row>
    <row r="1838" spans="1:8" x14ac:dyDescent="0.15">
      <c r="A1838" s="21">
        <v>3.5859370000000002E-2</v>
      </c>
      <c r="B1838" s="21">
        <f t="shared" si="56"/>
        <v>-9.2280959999999995E-2</v>
      </c>
      <c r="D1838">
        <f t="shared" si="57"/>
        <v>-36.494182389937109</v>
      </c>
      <c r="G1838" s="21">
        <v>0.1160515</v>
      </c>
      <c r="H1838" s="21">
        <v>-9.2280959999999995E-2</v>
      </c>
    </row>
    <row r="1839" spans="1:8" x14ac:dyDescent="0.15">
      <c r="A1839" s="21">
        <v>3.587891E-2</v>
      </c>
      <c r="B1839" s="21">
        <f t="shared" si="56"/>
        <v>-4.713912E-2</v>
      </c>
      <c r="D1839">
        <f t="shared" si="57"/>
        <v>-18.402886792452829</v>
      </c>
      <c r="G1839" s="21">
        <v>5.8521179999999999E-2</v>
      </c>
      <c r="H1839" s="21">
        <v>-4.713912E-2</v>
      </c>
    </row>
    <row r="1840" spans="1:8" x14ac:dyDescent="0.15">
      <c r="A1840" s="21">
        <v>3.5898439999999997E-2</v>
      </c>
      <c r="B1840" s="21">
        <f t="shared" si="56"/>
        <v>-5.6390770000000002E-4</v>
      </c>
      <c r="D1840">
        <f t="shared" si="57"/>
        <v>0.19008808176100631</v>
      </c>
      <c r="G1840" s="21">
        <v>-6.0448010000000005E-4</v>
      </c>
      <c r="H1840" s="21">
        <v>-5.6390770000000002E-4</v>
      </c>
    </row>
    <row r="1841" spans="1:8" x14ac:dyDescent="0.15">
      <c r="A1841" s="21">
        <v>3.591797E-2</v>
      </c>
      <c r="B1841" s="21">
        <f t="shared" si="56"/>
        <v>4.579743E-2</v>
      </c>
      <c r="D1841">
        <f t="shared" si="57"/>
        <v>18.826650943396224</v>
      </c>
      <c r="G1841" s="21">
        <v>-5.9868749999999998E-2</v>
      </c>
      <c r="H1841" s="21">
        <v>4.579743E-2</v>
      </c>
    </row>
    <row r="1842" spans="1:8" x14ac:dyDescent="0.15">
      <c r="A1842" s="21">
        <v>3.5937499999999997E-2</v>
      </c>
      <c r="B1842" s="21">
        <f t="shared" si="56"/>
        <v>9.0281399999999998E-2</v>
      </c>
      <c r="D1842">
        <f t="shared" si="57"/>
        <v>36.672987421383645</v>
      </c>
      <c r="G1842" s="21">
        <v>-0.1166201</v>
      </c>
      <c r="H1842" s="21">
        <v>9.0281399999999998E-2</v>
      </c>
    </row>
    <row r="1843" spans="1:8" x14ac:dyDescent="0.15">
      <c r="A1843" s="21">
        <v>3.5957030000000001E-2</v>
      </c>
      <c r="B1843" s="21">
        <f t="shared" si="56"/>
        <v>0.1312237</v>
      </c>
      <c r="D1843">
        <f t="shared" si="57"/>
        <v>53.055849056603769</v>
      </c>
      <c r="G1843" s="21">
        <v>-0.1687176</v>
      </c>
      <c r="H1843" s="21">
        <v>0.1312237</v>
      </c>
    </row>
    <row r="1844" spans="1:8" x14ac:dyDescent="0.15">
      <c r="A1844" s="21">
        <v>3.5976559999999998E-2</v>
      </c>
      <c r="B1844" s="21">
        <f t="shared" si="56"/>
        <v>0.16827500000000001</v>
      </c>
      <c r="D1844">
        <f t="shared" si="57"/>
        <v>68.077830188679243</v>
      </c>
      <c r="G1844" s="21">
        <v>-0.2164875</v>
      </c>
      <c r="H1844" s="21">
        <v>0.16827500000000001</v>
      </c>
    </row>
    <row r="1845" spans="1:8" x14ac:dyDescent="0.15">
      <c r="A1845" s="21">
        <v>3.5996090000000001E-2</v>
      </c>
      <c r="B1845" s="21">
        <f t="shared" si="56"/>
        <v>0.19997280000000001</v>
      </c>
      <c r="D1845">
        <f t="shared" si="57"/>
        <v>80.822232704402509</v>
      </c>
      <c r="G1845" s="21">
        <v>-0.25701469999999998</v>
      </c>
      <c r="H1845" s="21">
        <v>0.19997280000000001</v>
      </c>
    </row>
    <row r="1846" spans="1:8" x14ac:dyDescent="0.15">
      <c r="A1846" s="21">
        <v>3.601563E-2</v>
      </c>
      <c r="B1846" s="21">
        <f t="shared" si="56"/>
        <v>0.2243744</v>
      </c>
      <c r="D1846">
        <f t="shared" si="57"/>
        <v>90.553742138364782</v>
      </c>
      <c r="G1846" s="21">
        <v>-0.28796090000000002</v>
      </c>
      <c r="H1846" s="21">
        <v>0.2243744</v>
      </c>
    </row>
    <row r="1847" spans="1:8" x14ac:dyDescent="0.15">
      <c r="A1847" s="21">
        <v>3.6035159999999997E-2</v>
      </c>
      <c r="B1847" s="21">
        <f t="shared" si="56"/>
        <v>0.24108930000000001</v>
      </c>
      <c r="D1847">
        <f t="shared" si="57"/>
        <v>97.347264150943388</v>
      </c>
      <c r="G1847" s="21">
        <v>-0.30956430000000001</v>
      </c>
      <c r="H1847" s="21">
        <v>0.24108930000000001</v>
      </c>
    </row>
    <row r="1848" spans="1:8" x14ac:dyDescent="0.15">
      <c r="A1848" s="21">
        <v>3.605469E-2</v>
      </c>
      <c r="B1848" s="21">
        <f t="shared" si="56"/>
        <v>0.2496604</v>
      </c>
      <c r="D1848">
        <f t="shared" si="57"/>
        <v>100.8167610062893</v>
      </c>
      <c r="G1848" s="21">
        <v>-0.32059729999999997</v>
      </c>
      <c r="H1848" s="21">
        <v>0.2496604</v>
      </c>
    </row>
    <row r="1849" spans="1:8" x14ac:dyDescent="0.15">
      <c r="A1849" s="21">
        <v>3.6074219999999997E-2</v>
      </c>
      <c r="B1849" s="21">
        <f t="shared" si="56"/>
        <v>0.25008780000000003</v>
      </c>
      <c r="D1849">
        <f t="shared" si="57"/>
        <v>101.01207547169811</v>
      </c>
      <c r="G1849" s="21">
        <v>-0.32121840000000002</v>
      </c>
      <c r="H1849" s="21">
        <v>0.25008780000000003</v>
      </c>
    </row>
    <row r="1850" spans="1:8" x14ac:dyDescent="0.15">
      <c r="A1850" s="21">
        <v>3.6093750000000001E-2</v>
      </c>
      <c r="B1850" s="21">
        <f t="shared" si="56"/>
        <v>0.24256800000000001</v>
      </c>
      <c r="D1850">
        <f t="shared" si="57"/>
        <v>98.028742138364777</v>
      </c>
      <c r="G1850" s="21">
        <v>-0.31173139999999999</v>
      </c>
      <c r="H1850" s="21">
        <v>0.24256800000000001</v>
      </c>
    </row>
    <row r="1851" spans="1:8" x14ac:dyDescent="0.15">
      <c r="A1851" s="21">
        <v>3.6113279999999998E-2</v>
      </c>
      <c r="B1851" s="21">
        <f t="shared" si="56"/>
        <v>0.22673260000000001</v>
      </c>
      <c r="D1851">
        <f t="shared" si="57"/>
        <v>91.674150943396214</v>
      </c>
      <c r="G1851" s="21">
        <v>-0.2915238</v>
      </c>
      <c r="H1851" s="21">
        <v>0.22673260000000001</v>
      </c>
    </row>
    <row r="1852" spans="1:8" x14ac:dyDescent="0.15">
      <c r="A1852" s="21">
        <v>3.6132810000000001E-2</v>
      </c>
      <c r="B1852" s="21">
        <f t="shared" si="56"/>
        <v>0.20265839999999999</v>
      </c>
      <c r="D1852">
        <f t="shared" si="57"/>
        <v>82.06738993710691</v>
      </c>
      <c r="G1852" s="21">
        <v>-0.26097429999999999</v>
      </c>
      <c r="H1852" s="21">
        <v>0.20265839999999999</v>
      </c>
    </row>
    <row r="1853" spans="1:8" x14ac:dyDescent="0.15">
      <c r="A1853" s="21">
        <v>3.6152339999999998E-2</v>
      </c>
      <c r="B1853" s="21">
        <f t="shared" si="56"/>
        <v>0.17163890000000001</v>
      </c>
      <c r="D1853">
        <f t="shared" si="57"/>
        <v>69.652264150943395</v>
      </c>
      <c r="G1853" s="21">
        <v>-0.2214942</v>
      </c>
      <c r="H1853" s="21">
        <v>0.17163890000000001</v>
      </c>
    </row>
    <row r="1854" spans="1:8" x14ac:dyDescent="0.15">
      <c r="A1854" s="21">
        <v>3.6171870000000002E-2</v>
      </c>
      <c r="B1854" s="21">
        <f t="shared" si="56"/>
        <v>0.13502890000000001</v>
      </c>
      <c r="D1854">
        <f t="shared" si="57"/>
        <v>54.985628930817604</v>
      </c>
      <c r="G1854" s="21">
        <v>-0.17485429999999999</v>
      </c>
      <c r="H1854" s="21">
        <v>0.13502890000000001</v>
      </c>
    </row>
    <row r="1855" spans="1:8" x14ac:dyDescent="0.15">
      <c r="A1855" s="21">
        <v>3.619141E-2</v>
      </c>
      <c r="B1855" s="21">
        <f t="shared" si="56"/>
        <v>9.3608880000000005E-2</v>
      </c>
      <c r="D1855">
        <f t="shared" si="57"/>
        <v>38.455503144654088</v>
      </c>
      <c r="G1855" s="21">
        <v>-0.12228849999999999</v>
      </c>
      <c r="H1855" s="21">
        <v>9.3608880000000005E-2</v>
      </c>
    </row>
    <row r="1856" spans="1:8" x14ac:dyDescent="0.15">
      <c r="A1856" s="21">
        <v>3.6210939999999997E-2</v>
      </c>
      <c r="B1856" s="21">
        <f t="shared" si="56"/>
        <v>4.8869410000000002E-2</v>
      </c>
      <c r="D1856">
        <f t="shared" si="57"/>
        <v>20.527044025157231</v>
      </c>
      <c r="G1856" s="21">
        <v>-6.5276000000000001E-2</v>
      </c>
      <c r="H1856" s="21">
        <v>4.8869410000000002E-2</v>
      </c>
    </row>
    <row r="1857" spans="1:8" x14ac:dyDescent="0.15">
      <c r="A1857" s="21">
        <v>3.6230470000000001E-2</v>
      </c>
      <c r="B1857" s="21">
        <f t="shared" si="56"/>
        <v>2.1640370000000002E-3</v>
      </c>
      <c r="D1857">
        <f t="shared" si="57"/>
        <v>1.8012861635220125</v>
      </c>
      <c r="G1857" s="21">
        <v>-5.7280899999999999E-3</v>
      </c>
      <c r="H1857" s="21">
        <v>2.1640370000000002E-3</v>
      </c>
    </row>
    <row r="1858" spans="1:8" x14ac:dyDescent="0.15">
      <c r="A1858" s="21">
        <v>3.6249999999999998E-2</v>
      </c>
      <c r="B1858" s="21">
        <f t="shared" ref="B1858:B1921" si="58">H1858</f>
        <v>-4.4587269999999998E-2</v>
      </c>
      <c r="D1858">
        <f t="shared" ref="D1858:D1921" si="59">G1858*-1000/3.18</f>
        <v>-16.878984276729561</v>
      </c>
      <c r="G1858" s="21">
        <v>5.3675170000000001E-2</v>
      </c>
      <c r="H1858" s="21">
        <v>-4.4587269999999998E-2</v>
      </c>
    </row>
    <row r="1859" spans="1:8" x14ac:dyDescent="0.15">
      <c r="A1859" s="21">
        <v>3.6269530000000001E-2</v>
      </c>
      <c r="B1859" s="21">
        <f t="shared" si="58"/>
        <v>-8.9021359999999994E-2</v>
      </c>
      <c r="D1859">
        <f t="shared" si="59"/>
        <v>-34.700377358490563</v>
      </c>
      <c r="G1859" s="21">
        <v>0.11034720000000001</v>
      </c>
      <c r="H1859" s="21">
        <v>-8.9021359999999994E-2</v>
      </c>
    </row>
    <row r="1860" spans="1:8" x14ac:dyDescent="0.15">
      <c r="A1860" s="21">
        <v>3.6289059999999998E-2</v>
      </c>
      <c r="B1860" s="21">
        <f t="shared" si="58"/>
        <v>-0.13029569999999999</v>
      </c>
      <c r="D1860">
        <f t="shared" si="59"/>
        <v>-51.243867924528303</v>
      </c>
      <c r="G1860" s="21">
        <v>0.1629555</v>
      </c>
      <c r="H1860" s="21">
        <v>-0.13029569999999999</v>
      </c>
    </row>
    <row r="1861" spans="1:8" x14ac:dyDescent="0.15">
      <c r="A1861" s="21">
        <v>3.6308590000000002E-2</v>
      </c>
      <c r="B1861" s="21">
        <f t="shared" si="58"/>
        <v>-0.16747570000000001</v>
      </c>
      <c r="D1861">
        <f t="shared" si="59"/>
        <v>-66.161949685534594</v>
      </c>
      <c r="G1861" s="21">
        <v>0.210395</v>
      </c>
      <c r="H1861" s="21">
        <v>-0.16747570000000001</v>
      </c>
    </row>
    <row r="1862" spans="1:8" x14ac:dyDescent="0.15">
      <c r="A1862" s="21">
        <v>3.632813E-2</v>
      </c>
      <c r="B1862" s="21">
        <f t="shared" si="58"/>
        <v>-0.19926140000000001</v>
      </c>
      <c r="D1862">
        <f t="shared" si="59"/>
        <v>-78.943867924528291</v>
      </c>
      <c r="G1862" s="21">
        <v>0.25104149999999997</v>
      </c>
      <c r="H1862" s="21">
        <v>-0.19926140000000001</v>
      </c>
    </row>
    <row r="1863" spans="1:8" x14ac:dyDescent="0.15">
      <c r="A1863" s="21">
        <v>3.6347659999999997E-2</v>
      </c>
      <c r="B1863" s="21">
        <f t="shared" si="58"/>
        <v>-0.2244575</v>
      </c>
      <c r="D1863">
        <f t="shared" si="59"/>
        <v>-89.055597484276745</v>
      </c>
      <c r="G1863" s="21">
        <v>0.28319680000000003</v>
      </c>
      <c r="H1863" s="21">
        <v>-0.2244575</v>
      </c>
    </row>
    <row r="1864" spans="1:8" x14ac:dyDescent="0.15">
      <c r="A1864" s="21">
        <v>3.6367190000000001E-2</v>
      </c>
      <c r="B1864" s="21">
        <f t="shared" si="58"/>
        <v>-0.24184330000000001</v>
      </c>
      <c r="D1864">
        <f t="shared" si="59"/>
        <v>-96.130188679245279</v>
      </c>
      <c r="G1864" s="21">
        <v>0.30569400000000002</v>
      </c>
      <c r="H1864" s="21">
        <v>-0.24184330000000001</v>
      </c>
    </row>
    <row r="1865" spans="1:8" x14ac:dyDescent="0.15">
      <c r="A1865" s="21">
        <v>3.6386719999999997E-2</v>
      </c>
      <c r="B1865" s="21">
        <f t="shared" si="58"/>
        <v>-0.2509692</v>
      </c>
      <c r="D1865">
        <f t="shared" si="59"/>
        <v>-99.834182389937098</v>
      </c>
      <c r="G1865" s="21">
        <v>0.3174727</v>
      </c>
      <c r="H1865" s="21">
        <v>-0.2509692</v>
      </c>
    </row>
    <row r="1866" spans="1:8" x14ac:dyDescent="0.15">
      <c r="A1866" s="21">
        <v>3.6406250000000001E-2</v>
      </c>
      <c r="B1866" s="21">
        <f t="shared" si="58"/>
        <v>-0.25181219999999999</v>
      </c>
      <c r="D1866">
        <f t="shared" si="59"/>
        <v>-100.20493710691824</v>
      </c>
      <c r="G1866" s="21">
        <v>0.31865169999999998</v>
      </c>
      <c r="H1866" s="21">
        <v>-0.25181219999999999</v>
      </c>
    </row>
    <row r="1867" spans="1:8" x14ac:dyDescent="0.15">
      <c r="A1867" s="21">
        <v>3.6425779999999998E-2</v>
      </c>
      <c r="B1867" s="21">
        <f t="shared" si="58"/>
        <v>-0.2444683</v>
      </c>
      <c r="D1867">
        <f t="shared" si="59"/>
        <v>-97.349591194968554</v>
      </c>
      <c r="G1867" s="21">
        <v>0.30957170000000001</v>
      </c>
      <c r="H1867" s="21">
        <v>-0.2444683</v>
      </c>
    </row>
    <row r="1868" spans="1:8" x14ac:dyDescent="0.15">
      <c r="A1868" s="21">
        <v>3.6445310000000002E-2</v>
      </c>
      <c r="B1868" s="21">
        <f t="shared" si="58"/>
        <v>-0.2290209</v>
      </c>
      <c r="D1868">
        <f t="shared" si="59"/>
        <v>-91.152610062893075</v>
      </c>
      <c r="G1868" s="21">
        <v>0.28986529999999999</v>
      </c>
      <c r="H1868" s="21">
        <v>-0.2290209</v>
      </c>
    </row>
    <row r="1869" spans="1:8" x14ac:dyDescent="0.15">
      <c r="A1869" s="21">
        <v>3.6464839999999998E-2</v>
      </c>
      <c r="B1869" s="21">
        <f t="shared" si="58"/>
        <v>-0.20562949999999999</v>
      </c>
      <c r="D1869">
        <f t="shared" si="59"/>
        <v>-81.849308176100621</v>
      </c>
      <c r="G1869" s="21">
        <v>0.26028079999999998</v>
      </c>
      <c r="H1869" s="21">
        <v>-0.20562949999999999</v>
      </c>
    </row>
    <row r="1870" spans="1:8" x14ac:dyDescent="0.15">
      <c r="A1870" s="21">
        <v>3.6484370000000002E-2</v>
      </c>
      <c r="B1870" s="21">
        <f t="shared" si="58"/>
        <v>-0.17525289999999999</v>
      </c>
      <c r="D1870">
        <f t="shared" si="59"/>
        <v>-69.788773584905655</v>
      </c>
      <c r="G1870" s="21">
        <v>0.2219283</v>
      </c>
      <c r="H1870" s="21">
        <v>-0.17525289999999999</v>
      </c>
    </row>
    <row r="1871" spans="1:8" x14ac:dyDescent="0.15">
      <c r="A1871" s="21">
        <v>3.6503910000000001E-2</v>
      </c>
      <c r="B1871" s="21">
        <f t="shared" si="58"/>
        <v>-0.1390026</v>
      </c>
      <c r="D1871">
        <f t="shared" si="59"/>
        <v>-55.249999999999993</v>
      </c>
      <c r="G1871" s="21">
        <v>0.17569499999999999</v>
      </c>
      <c r="H1871" s="21">
        <v>-0.1390026</v>
      </c>
    </row>
    <row r="1872" spans="1:8" x14ac:dyDescent="0.15">
      <c r="A1872" s="21">
        <v>3.6523439999999997E-2</v>
      </c>
      <c r="B1872" s="21">
        <f t="shared" si="58"/>
        <v>-9.7678180000000003E-2</v>
      </c>
      <c r="D1872">
        <f t="shared" si="59"/>
        <v>-38.644968553459123</v>
      </c>
      <c r="G1872" s="21">
        <v>0.122891</v>
      </c>
      <c r="H1872" s="21">
        <v>-9.7678180000000003E-2</v>
      </c>
    </row>
    <row r="1873" spans="1:8" x14ac:dyDescent="0.15">
      <c r="A1873" s="21">
        <v>3.6542970000000001E-2</v>
      </c>
      <c r="B1873" s="21">
        <f t="shared" si="58"/>
        <v>-5.3110379999999999E-2</v>
      </c>
      <c r="D1873">
        <f t="shared" si="59"/>
        <v>-20.780650943396225</v>
      </c>
      <c r="G1873" s="21">
        <v>6.6082470000000004E-2</v>
      </c>
      <c r="H1873" s="21">
        <v>-5.3110379999999999E-2</v>
      </c>
    </row>
    <row r="1874" spans="1:8" x14ac:dyDescent="0.15">
      <c r="A1874" s="21">
        <v>3.6562499999999998E-2</v>
      </c>
      <c r="B1874" s="21">
        <f t="shared" si="58"/>
        <v>-6.9155830000000003E-3</v>
      </c>
      <c r="D1874">
        <f t="shared" si="59"/>
        <v>-2.2725088050314466</v>
      </c>
      <c r="G1874" s="21">
        <v>7.226578E-3</v>
      </c>
      <c r="H1874" s="21">
        <v>-6.9155830000000003E-3</v>
      </c>
    </row>
    <row r="1875" spans="1:8" x14ac:dyDescent="0.15">
      <c r="A1875" s="21">
        <v>3.6582030000000001E-2</v>
      </c>
      <c r="B1875" s="21">
        <f t="shared" si="58"/>
        <v>3.9810680000000001E-2</v>
      </c>
      <c r="D1875">
        <f t="shared" si="59"/>
        <v>16.465805031446539</v>
      </c>
      <c r="G1875" s="21">
        <v>-5.236126E-2</v>
      </c>
      <c r="H1875" s="21">
        <v>3.9810680000000001E-2</v>
      </c>
    </row>
    <row r="1876" spans="1:8" x14ac:dyDescent="0.15">
      <c r="A1876" s="21">
        <v>3.6601559999999998E-2</v>
      </c>
      <c r="B1876" s="21">
        <f t="shared" si="58"/>
        <v>8.4618029999999997E-2</v>
      </c>
      <c r="D1876">
        <f t="shared" si="59"/>
        <v>34.441069182389931</v>
      </c>
      <c r="G1876" s="21">
        <v>-0.1095226</v>
      </c>
      <c r="H1876" s="21">
        <v>8.4618029999999997E-2</v>
      </c>
    </row>
    <row r="1877" spans="1:8" x14ac:dyDescent="0.15">
      <c r="A1877" s="21">
        <v>3.6621090000000002E-2</v>
      </c>
      <c r="B1877" s="21">
        <f t="shared" si="58"/>
        <v>0.12616050000000001</v>
      </c>
      <c r="D1877">
        <f t="shared" si="59"/>
        <v>51.13647798742138</v>
      </c>
      <c r="G1877" s="21">
        <v>-0.16261400000000001</v>
      </c>
      <c r="H1877" s="21">
        <v>0.12616050000000001</v>
      </c>
    </row>
    <row r="1878" spans="1:8" x14ac:dyDescent="0.15">
      <c r="A1878" s="21">
        <v>3.664063E-2</v>
      </c>
      <c r="B1878" s="21">
        <f t="shared" si="58"/>
        <v>0.16401279999999999</v>
      </c>
      <c r="D1878">
        <f t="shared" si="59"/>
        <v>66.375628930817612</v>
      </c>
      <c r="G1878" s="21">
        <v>-0.2110745</v>
      </c>
      <c r="H1878" s="21">
        <v>0.16401279999999999</v>
      </c>
    </row>
    <row r="1879" spans="1:8" x14ac:dyDescent="0.15">
      <c r="A1879" s="21">
        <v>3.6660159999999997E-2</v>
      </c>
      <c r="B1879" s="21">
        <f t="shared" si="58"/>
        <v>0.1962237</v>
      </c>
      <c r="D1879">
        <f t="shared" si="59"/>
        <v>79.317578616352208</v>
      </c>
      <c r="G1879" s="21">
        <v>-0.25222990000000001</v>
      </c>
      <c r="H1879" s="21">
        <v>0.1962237</v>
      </c>
    </row>
    <row r="1880" spans="1:8" x14ac:dyDescent="0.15">
      <c r="A1880" s="21">
        <v>3.6679690000000001E-2</v>
      </c>
      <c r="B1880" s="21">
        <f t="shared" si="58"/>
        <v>0.2214921</v>
      </c>
      <c r="D1880">
        <f t="shared" si="59"/>
        <v>89.468899371069185</v>
      </c>
      <c r="G1880" s="21">
        <v>-0.28451110000000002</v>
      </c>
      <c r="H1880" s="21">
        <v>0.2214921</v>
      </c>
    </row>
    <row r="1881" spans="1:8" x14ac:dyDescent="0.15">
      <c r="A1881" s="21">
        <v>3.6699219999999998E-2</v>
      </c>
      <c r="B1881" s="21">
        <f t="shared" si="58"/>
        <v>0.23942840000000001</v>
      </c>
      <c r="D1881">
        <f t="shared" si="59"/>
        <v>96.693553459119499</v>
      </c>
      <c r="G1881" s="21">
        <v>-0.30748550000000002</v>
      </c>
      <c r="H1881" s="21">
        <v>0.23942840000000001</v>
      </c>
    </row>
    <row r="1882" spans="1:8" x14ac:dyDescent="0.15">
      <c r="A1882" s="21">
        <v>3.6718750000000001E-2</v>
      </c>
      <c r="B1882" s="21">
        <f t="shared" si="58"/>
        <v>0.2492472</v>
      </c>
      <c r="D1882">
        <f t="shared" si="59"/>
        <v>100.60742138364779</v>
      </c>
      <c r="G1882" s="21">
        <v>-0.31993159999999998</v>
      </c>
      <c r="H1882" s="21">
        <v>0.2492472</v>
      </c>
    </row>
    <row r="1883" spans="1:8" x14ac:dyDescent="0.15">
      <c r="A1883" s="21">
        <v>3.6738279999999998E-2</v>
      </c>
      <c r="B1883" s="21">
        <f t="shared" si="58"/>
        <v>0.2508572</v>
      </c>
      <c r="D1883">
        <f t="shared" si="59"/>
        <v>101.25817610062892</v>
      </c>
      <c r="G1883" s="21">
        <v>-0.32200099999999998</v>
      </c>
      <c r="H1883" s="21">
        <v>0.2508572</v>
      </c>
    </row>
    <row r="1884" spans="1:8" x14ac:dyDescent="0.15">
      <c r="A1884" s="21">
        <v>3.6757810000000002E-2</v>
      </c>
      <c r="B1884" s="21">
        <f t="shared" si="58"/>
        <v>0.24432760000000001</v>
      </c>
      <c r="D1884">
        <f t="shared" si="59"/>
        <v>98.662798742138364</v>
      </c>
      <c r="G1884" s="21">
        <v>-0.31374770000000002</v>
      </c>
      <c r="H1884" s="21">
        <v>0.24432760000000001</v>
      </c>
    </row>
    <row r="1885" spans="1:8" x14ac:dyDescent="0.15">
      <c r="A1885" s="21">
        <v>3.6777339999999999E-2</v>
      </c>
      <c r="B1885" s="21">
        <f t="shared" si="58"/>
        <v>0.2293153</v>
      </c>
      <c r="D1885">
        <f t="shared" si="59"/>
        <v>92.644559748427668</v>
      </c>
      <c r="G1885" s="21">
        <v>-0.29460969999999997</v>
      </c>
      <c r="H1885" s="21">
        <v>0.2293153</v>
      </c>
    </row>
    <row r="1886" spans="1:8" x14ac:dyDescent="0.15">
      <c r="A1886" s="21">
        <v>3.6796870000000002E-2</v>
      </c>
      <c r="B1886" s="21">
        <f t="shared" si="58"/>
        <v>0.2063663</v>
      </c>
      <c r="D1886">
        <f t="shared" si="59"/>
        <v>83.544716981132083</v>
      </c>
      <c r="G1886" s="21">
        <v>-0.26567220000000002</v>
      </c>
      <c r="H1886" s="21">
        <v>0.2063663</v>
      </c>
    </row>
    <row r="1887" spans="1:8" x14ac:dyDescent="0.15">
      <c r="A1887" s="21">
        <v>3.6816410000000001E-2</v>
      </c>
      <c r="B1887" s="21">
        <f t="shared" si="58"/>
        <v>0.1762619</v>
      </c>
      <c r="D1887">
        <f t="shared" si="59"/>
        <v>71.555031446540866</v>
      </c>
      <c r="G1887" s="21">
        <v>-0.227545</v>
      </c>
      <c r="H1887" s="21">
        <v>0.1762619</v>
      </c>
    </row>
    <row r="1888" spans="1:8" x14ac:dyDescent="0.15">
      <c r="A1888" s="21">
        <v>3.6835939999999998E-2</v>
      </c>
      <c r="B1888" s="21">
        <f t="shared" si="58"/>
        <v>0.14014199999999999</v>
      </c>
      <c r="D1888">
        <f t="shared" si="59"/>
        <v>57.079056603773573</v>
      </c>
      <c r="G1888" s="21">
        <v>-0.18151139999999999</v>
      </c>
      <c r="H1888" s="21">
        <v>0.14014199999999999</v>
      </c>
    </row>
    <row r="1889" spans="1:8" x14ac:dyDescent="0.15">
      <c r="A1889" s="21">
        <v>3.6855470000000001E-2</v>
      </c>
      <c r="B1889" s="21">
        <f t="shared" si="58"/>
        <v>9.9497130000000003E-2</v>
      </c>
      <c r="D1889">
        <f t="shared" si="59"/>
        <v>40.799433962264146</v>
      </c>
      <c r="G1889" s="21">
        <v>-0.1297422</v>
      </c>
      <c r="H1889" s="21">
        <v>9.9497130000000003E-2</v>
      </c>
    </row>
    <row r="1890" spans="1:8" x14ac:dyDescent="0.15">
      <c r="A1890" s="21">
        <v>3.6874999999999998E-2</v>
      </c>
      <c r="B1890" s="21">
        <f t="shared" si="58"/>
        <v>5.5156209999999997E-2</v>
      </c>
      <c r="D1890">
        <f t="shared" si="59"/>
        <v>23.06322012578616</v>
      </c>
      <c r="G1890" s="21">
        <v>-7.3341039999999996E-2</v>
      </c>
      <c r="H1890" s="21">
        <v>5.5156209999999997E-2</v>
      </c>
    </row>
    <row r="1891" spans="1:8" x14ac:dyDescent="0.15">
      <c r="A1891" s="21">
        <v>3.6894530000000002E-2</v>
      </c>
      <c r="B1891" s="21">
        <f t="shared" si="58"/>
        <v>8.6930110000000005E-3</v>
      </c>
      <c r="D1891">
        <f t="shared" si="59"/>
        <v>4.500251572327044</v>
      </c>
      <c r="G1891" s="21">
        <v>-1.43108E-2</v>
      </c>
      <c r="H1891" s="21">
        <v>8.6930110000000005E-3</v>
      </c>
    </row>
    <row r="1892" spans="1:8" x14ac:dyDescent="0.15">
      <c r="A1892" s="21">
        <v>3.6914059999999999E-2</v>
      </c>
      <c r="B1892" s="21">
        <f t="shared" si="58"/>
        <v>-3.8000020000000002E-2</v>
      </c>
      <c r="D1892">
        <f t="shared" si="59"/>
        <v>-14.206012578616351</v>
      </c>
      <c r="G1892" s="21">
        <v>4.5175119999999999E-2</v>
      </c>
      <c r="H1892" s="21">
        <v>-3.8000020000000002E-2</v>
      </c>
    </row>
    <row r="1893" spans="1:8" x14ac:dyDescent="0.15">
      <c r="A1893" s="21">
        <v>3.6933590000000002E-2</v>
      </c>
      <c r="B1893" s="21">
        <f t="shared" si="58"/>
        <v>-8.3112710000000006E-2</v>
      </c>
      <c r="D1893">
        <f t="shared" si="59"/>
        <v>-32.303427672955969</v>
      </c>
      <c r="G1893" s="21">
        <v>0.10272489999999999</v>
      </c>
      <c r="H1893" s="21">
        <v>-8.3112710000000006E-2</v>
      </c>
    </row>
    <row r="1894" spans="1:8" x14ac:dyDescent="0.15">
      <c r="A1894" s="21">
        <v>3.6953130000000001E-2</v>
      </c>
      <c r="B1894" s="21">
        <f t="shared" si="58"/>
        <v>-0.1248224</v>
      </c>
      <c r="D1894">
        <f t="shared" si="59"/>
        <v>-49.083836477987418</v>
      </c>
      <c r="G1894" s="21">
        <v>0.15608659999999999</v>
      </c>
      <c r="H1894" s="21">
        <v>-0.1248224</v>
      </c>
    </row>
    <row r="1895" spans="1:8" x14ac:dyDescent="0.15">
      <c r="A1895" s="21">
        <v>3.6972659999999997E-2</v>
      </c>
      <c r="B1895" s="21">
        <f t="shared" si="58"/>
        <v>-0.16245560000000001</v>
      </c>
      <c r="D1895">
        <f t="shared" si="59"/>
        <v>-64.242515723270444</v>
      </c>
      <c r="G1895" s="21">
        <v>0.20429120000000001</v>
      </c>
      <c r="H1895" s="21">
        <v>-0.16245560000000001</v>
      </c>
    </row>
    <row r="1896" spans="1:8" x14ac:dyDescent="0.15">
      <c r="A1896" s="21">
        <v>3.6992190000000001E-2</v>
      </c>
      <c r="B1896" s="21">
        <f t="shared" si="58"/>
        <v>-0.19498119999999999</v>
      </c>
      <c r="D1896">
        <f t="shared" si="59"/>
        <v>-77.247201257861633</v>
      </c>
      <c r="G1896" s="21">
        <v>0.24564610000000001</v>
      </c>
      <c r="H1896" s="21">
        <v>-0.19498119999999999</v>
      </c>
    </row>
    <row r="1897" spans="1:8" x14ac:dyDescent="0.15">
      <c r="A1897" s="21">
        <v>3.7011719999999998E-2</v>
      </c>
      <c r="B1897" s="21">
        <f t="shared" si="58"/>
        <v>-0.22111349999999999</v>
      </c>
      <c r="D1897">
        <f t="shared" si="59"/>
        <v>-87.730283018867922</v>
      </c>
      <c r="G1897" s="21">
        <v>0.27898230000000002</v>
      </c>
      <c r="H1897" s="21">
        <v>-0.22111349999999999</v>
      </c>
    </row>
    <row r="1898" spans="1:8" x14ac:dyDescent="0.15">
      <c r="A1898" s="21">
        <v>3.7031250000000002E-2</v>
      </c>
      <c r="B1898" s="21">
        <f t="shared" si="58"/>
        <v>-0.23983879999999999</v>
      </c>
      <c r="D1898">
        <f t="shared" si="59"/>
        <v>-95.330408805031439</v>
      </c>
      <c r="G1898" s="21">
        <v>0.3031507</v>
      </c>
      <c r="H1898" s="21">
        <v>-0.23983879999999999</v>
      </c>
    </row>
    <row r="1899" spans="1:8" x14ac:dyDescent="0.15">
      <c r="A1899" s="21">
        <v>3.7050779999999998E-2</v>
      </c>
      <c r="B1899" s="21">
        <f t="shared" si="58"/>
        <v>-0.24994849999999999</v>
      </c>
      <c r="D1899">
        <f t="shared" si="59"/>
        <v>-99.423396226415093</v>
      </c>
      <c r="G1899" s="21">
        <v>0.31616640000000001</v>
      </c>
      <c r="H1899" s="21">
        <v>-0.24994849999999999</v>
      </c>
    </row>
    <row r="1900" spans="1:8" x14ac:dyDescent="0.15">
      <c r="A1900" s="21">
        <v>3.7070310000000002E-2</v>
      </c>
      <c r="B1900" s="21">
        <f t="shared" si="58"/>
        <v>-0.2518203</v>
      </c>
      <c r="D1900">
        <f t="shared" si="59"/>
        <v>-100.20827044025157</v>
      </c>
      <c r="G1900" s="21">
        <v>0.31866230000000001</v>
      </c>
      <c r="H1900" s="21">
        <v>-0.2518203</v>
      </c>
    </row>
    <row r="1901" spans="1:8" x14ac:dyDescent="0.15">
      <c r="A1901" s="21">
        <v>3.7089839999999999E-2</v>
      </c>
      <c r="B1901" s="21">
        <f t="shared" si="58"/>
        <v>-0.24591759999999999</v>
      </c>
      <c r="D1901">
        <f t="shared" si="59"/>
        <v>-97.94430817610062</v>
      </c>
      <c r="G1901" s="21">
        <v>0.31146289999999999</v>
      </c>
      <c r="H1901" s="21">
        <v>-0.24591759999999999</v>
      </c>
    </row>
    <row r="1902" spans="1:8" x14ac:dyDescent="0.15">
      <c r="A1902" s="21">
        <v>3.7109379999999997E-2</v>
      </c>
      <c r="B1902" s="21">
        <f t="shared" si="58"/>
        <v>-0.2314427</v>
      </c>
      <c r="D1902">
        <f t="shared" si="59"/>
        <v>-92.131981132075481</v>
      </c>
      <c r="G1902" s="21">
        <v>0.29297970000000001</v>
      </c>
      <c r="H1902" s="21">
        <v>-0.2314427</v>
      </c>
    </row>
    <row r="1903" spans="1:8" x14ac:dyDescent="0.15">
      <c r="A1903" s="21">
        <v>3.7128910000000001E-2</v>
      </c>
      <c r="B1903" s="21">
        <f t="shared" si="58"/>
        <v>-0.20886669999999999</v>
      </c>
      <c r="D1903">
        <f t="shared" si="59"/>
        <v>-83.032075471698107</v>
      </c>
      <c r="G1903" s="21">
        <v>0.264042</v>
      </c>
      <c r="H1903" s="21">
        <v>-0.20886669999999999</v>
      </c>
    </row>
    <row r="1904" spans="1:8" x14ac:dyDescent="0.15">
      <c r="A1904" s="21">
        <v>3.7148439999999998E-2</v>
      </c>
      <c r="B1904" s="21">
        <f t="shared" si="58"/>
        <v>-0.17956610000000001</v>
      </c>
      <c r="D1904">
        <f t="shared" si="59"/>
        <v>-71.424811320754714</v>
      </c>
      <c r="G1904" s="21">
        <v>0.2271309</v>
      </c>
      <c r="H1904" s="21">
        <v>-0.17956610000000001</v>
      </c>
    </row>
    <row r="1905" spans="1:8" x14ac:dyDescent="0.15">
      <c r="A1905" s="21">
        <v>3.7167970000000002E-2</v>
      </c>
      <c r="B1905" s="21">
        <f t="shared" si="58"/>
        <v>-0.144093</v>
      </c>
      <c r="D1905">
        <f t="shared" si="59"/>
        <v>-57.21761006289308</v>
      </c>
      <c r="G1905" s="21">
        <v>0.181952</v>
      </c>
      <c r="H1905" s="21">
        <v>-0.144093</v>
      </c>
    </row>
    <row r="1906" spans="1:8" x14ac:dyDescent="0.15">
      <c r="A1906" s="21">
        <v>3.7187499999999998E-2</v>
      </c>
      <c r="B1906" s="21">
        <f t="shared" si="58"/>
        <v>-0.1032966</v>
      </c>
      <c r="D1906">
        <f t="shared" si="59"/>
        <v>-40.790660377358492</v>
      </c>
      <c r="G1906" s="21">
        <v>0.1297143</v>
      </c>
      <c r="H1906" s="21">
        <v>-0.1032966</v>
      </c>
    </row>
    <row r="1907" spans="1:8" x14ac:dyDescent="0.15">
      <c r="A1907" s="21">
        <v>3.7207030000000002E-2</v>
      </c>
      <c r="B1907" s="21">
        <f t="shared" si="58"/>
        <v>-5.9004319999999999E-2</v>
      </c>
      <c r="D1907">
        <f t="shared" si="59"/>
        <v>-23.117333333333331</v>
      </c>
      <c r="G1907" s="21">
        <v>7.3513120000000001E-2</v>
      </c>
      <c r="H1907" s="21">
        <v>-5.9004319999999999E-2</v>
      </c>
    </row>
    <row r="1908" spans="1:8" x14ac:dyDescent="0.15">
      <c r="A1908" s="21">
        <v>3.7226559999999999E-2</v>
      </c>
      <c r="B1908" s="21">
        <f t="shared" si="58"/>
        <v>-1.278019E-2</v>
      </c>
      <c r="D1908">
        <f t="shared" si="59"/>
        <v>-4.5391132075471701</v>
      </c>
      <c r="G1908" s="21">
        <v>1.443438E-2</v>
      </c>
      <c r="H1908" s="21">
        <v>-1.278019E-2</v>
      </c>
    </row>
    <row r="1909" spans="1:8" x14ac:dyDescent="0.15">
      <c r="A1909" s="21">
        <v>3.7246090000000003E-2</v>
      </c>
      <c r="B1909" s="21">
        <f t="shared" si="58"/>
        <v>3.4029799999999999E-2</v>
      </c>
      <c r="D1909">
        <f t="shared" si="59"/>
        <v>14.260924528301885</v>
      </c>
      <c r="G1909" s="21">
        <v>-4.5349739999999999E-2</v>
      </c>
      <c r="H1909" s="21">
        <v>3.4029799999999999E-2</v>
      </c>
    </row>
    <row r="1910" spans="1:8" x14ac:dyDescent="0.15">
      <c r="A1910" s="21">
        <v>3.7265630000000001E-2</v>
      </c>
      <c r="B1910" s="21">
        <f t="shared" si="58"/>
        <v>7.9170089999999999E-2</v>
      </c>
      <c r="D1910">
        <f t="shared" si="59"/>
        <v>32.285911949685534</v>
      </c>
      <c r="G1910" s="21">
        <v>-0.1026692</v>
      </c>
      <c r="H1910" s="21">
        <v>7.9170089999999999E-2</v>
      </c>
    </row>
    <row r="1911" spans="1:8" x14ac:dyDescent="0.15">
      <c r="A1911" s="21">
        <v>3.7285159999999998E-2</v>
      </c>
      <c r="B1911" s="21">
        <f t="shared" si="58"/>
        <v>0.1209884</v>
      </c>
      <c r="D1911">
        <f t="shared" si="59"/>
        <v>49.097232704402515</v>
      </c>
      <c r="G1911" s="21">
        <v>-0.1561292</v>
      </c>
      <c r="H1911" s="21">
        <v>0.1209884</v>
      </c>
    </row>
    <row r="1912" spans="1:8" x14ac:dyDescent="0.15">
      <c r="A1912" s="21">
        <v>3.7304690000000001E-2</v>
      </c>
      <c r="B1912" s="21">
        <f t="shared" si="58"/>
        <v>0.1592729</v>
      </c>
      <c r="D1912">
        <f t="shared" si="59"/>
        <v>64.458584905660373</v>
      </c>
      <c r="G1912" s="21">
        <v>-0.2049783</v>
      </c>
      <c r="H1912" s="21">
        <v>0.1592729</v>
      </c>
    </row>
    <row r="1913" spans="1:8" x14ac:dyDescent="0.15">
      <c r="A1913" s="21">
        <v>3.7324219999999998E-2</v>
      </c>
      <c r="B1913" s="21">
        <f t="shared" si="58"/>
        <v>0.19257859999999999</v>
      </c>
      <c r="D1913">
        <f t="shared" si="59"/>
        <v>77.845157232704409</v>
      </c>
      <c r="G1913" s="21">
        <v>-0.24754760000000001</v>
      </c>
      <c r="H1913" s="21">
        <v>0.19257859999999999</v>
      </c>
    </row>
    <row r="1914" spans="1:8" x14ac:dyDescent="0.15">
      <c r="A1914" s="21">
        <v>3.7343750000000002E-2</v>
      </c>
      <c r="B1914" s="21">
        <f t="shared" si="58"/>
        <v>0.21903890000000001</v>
      </c>
      <c r="D1914">
        <f t="shared" si="59"/>
        <v>88.528459119496858</v>
      </c>
      <c r="G1914" s="21">
        <v>-0.28152050000000001</v>
      </c>
      <c r="H1914" s="21">
        <v>0.21903890000000001</v>
      </c>
    </row>
    <row r="1915" spans="1:8" x14ac:dyDescent="0.15">
      <c r="A1915" s="21">
        <v>3.7363279999999999E-2</v>
      </c>
      <c r="B1915" s="21">
        <f t="shared" si="58"/>
        <v>0.23793329999999999</v>
      </c>
      <c r="D1915">
        <f t="shared" si="59"/>
        <v>96.016383647798733</v>
      </c>
      <c r="G1915" s="21">
        <v>-0.3053321</v>
      </c>
      <c r="H1915" s="21">
        <v>0.23793329999999999</v>
      </c>
    </row>
    <row r="1916" spans="1:8" x14ac:dyDescent="0.15">
      <c r="A1916" s="21">
        <v>3.7382810000000002E-2</v>
      </c>
      <c r="B1916" s="21">
        <f t="shared" si="58"/>
        <v>0.2486052</v>
      </c>
      <c r="D1916">
        <f t="shared" si="59"/>
        <v>100.33852201257861</v>
      </c>
      <c r="G1916" s="21">
        <v>-0.31907649999999999</v>
      </c>
      <c r="H1916" s="21">
        <v>0.2486052</v>
      </c>
    </row>
    <row r="1917" spans="1:8" x14ac:dyDescent="0.15">
      <c r="A1917" s="21">
        <v>3.7402339999999999E-2</v>
      </c>
      <c r="B1917" s="21">
        <f t="shared" si="58"/>
        <v>0.25124859999999999</v>
      </c>
      <c r="D1917">
        <f t="shared" si="59"/>
        <v>101.57075471698113</v>
      </c>
      <c r="G1917" s="21">
        <v>-0.32299499999999998</v>
      </c>
      <c r="H1917" s="21">
        <v>0.25124859999999999</v>
      </c>
    </row>
    <row r="1918" spans="1:8" x14ac:dyDescent="0.15">
      <c r="A1918" s="21">
        <v>3.7421879999999998E-2</v>
      </c>
      <c r="B1918" s="21">
        <f t="shared" si="58"/>
        <v>0.2458629</v>
      </c>
      <c r="D1918">
        <f t="shared" si="59"/>
        <v>99.369842767295594</v>
      </c>
      <c r="G1918" s="21">
        <v>-0.3159961</v>
      </c>
      <c r="H1918" s="21">
        <v>0.2458629</v>
      </c>
    </row>
    <row r="1919" spans="1:8" x14ac:dyDescent="0.15">
      <c r="A1919" s="21">
        <v>3.7441410000000001E-2</v>
      </c>
      <c r="B1919" s="21">
        <f t="shared" si="58"/>
        <v>0.23203979999999999</v>
      </c>
      <c r="D1919">
        <f t="shared" si="59"/>
        <v>93.80396226415094</v>
      </c>
      <c r="G1919" s="21">
        <v>-0.29829660000000002</v>
      </c>
      <c r="H1919" s="21">
        <v>0.23203979999999999</v>
      </c>
    </row>
    <row r="1920" spans="1:8" x14ac:dyDescent="0.15">
      <c r="A1920" s="21">
        <v>3.7460939999999998E-2</v>
      </c>
      <c r="B1920" s="21">
        <f t="shared" si="58"/>
        <v>0.21030550000000001</v>
      </c>
      <c r="D1920">
        <f t="shared" si="59"/>
        <v>85.150188679245275</v>
      </c>
      <c r="G1920" s="21">
        <v>-0.27077760000000001</v>
      </c>
      <c r="H1920" s="21">
        <v>0.21030550000000001</v>
      </c>
    </row>
    <row r="1921" spans="1:8" x14ac:dyDescent="0.15">
      <c r="A1921" s="21">
        <v>3.7480470000000002E-2</v>
      </c>
      <c r="B1921" s="21">
        <f t="shared" si="58"/>
        <v>0.18096699999999999</v>
      </c>
      <c r="D1921">
        <f t="shared" si="59"/>
        <v>73.472641509433956</v>
      </c>
      <c r="G1921" s="21">
        <v>-0.23364299999999999</v>
      </c>
      <c r="H1921" s="21">
        <v>0.18096699999999999</v>
      </c>
    </row>
    <row r="1922" spans="1:8" x14ac:dyDescent="0.15">
      <c r="A1922" s="21">
        <v>3.7499999999999999E-2</v>
      </c>
      <c r="B1922" s="21">
        <f t="shared" ref="B1922:B1985" si="60">H1922</f>
        <v>0.14540459999999999</v>
      </c>
      <c r="D1922">
        <f t="shared" ref="D1922:D1985" si="61">G1922*-1000/3.18</f>
        <v>59.291383647798746</v>
      </c>
      <c r="G1922" s="21">
        <v>-0.18854660000000001</v>
      </c>
      <c r="H1922" s="21">
        <v>0.14540459999999999</v>
      </c>
    </row>
    <row r="1923" spans="1:8" x14ac:dyDescent="0.15">
      <c r="A1923" s="21">
        <v>3.7519530000000002E-2</v>
      </c>
      <c r="B1923" s="21">
        <f t="shared" si="60"/>
        <v>0.1052507</v>
      </c>
      <c r="D1923">
        <f t="shared" si="61"/>
        <v>43.087327044025152</v>
      </c>
      <c r="G1923" s="21">
        <v>-0.13701769999999999</v>
      </c>
      <c r="H1923" s="21">
        <v>0.1052507</v>
      </c>
    </row>
    <row r="1924" spans="1:8" x14ac:dyDescent="0.15">
      <c r="A1924" s="21">
        <v>3.7539059999999999E-2</v>
      </c>
      <c r="B1924" s="21">
        <f t="shared" si="60"/>
        <v>6.0989019999999998E-2</v>
      </c>
      <c r="D1924">
        <f t="shared" si="61"/>
        <v>25.367078616352199</v>
      </c>
      <c r="G1924" s="21">
        <v>-8.0667310000000006E-2</v>
      </c>
      <c r="H1924" s="21">
        <v>6.0989019999999998E-2</v>
      </c>
    </row>
    <row r="1925" spans="1:8" x14ac:dyDescent="0.15">
      <c r="A1925" s="21">
        <v>3.7558590000000003E-2</v>
      </c>
      <c r="B1925" s="21">
        <f t="shared" si="60"/>
        <v>1.475228E-2</v>
      </c>
      <c r="D1925">
        <f t="shared" si="61"/>
        <v>6.9543805031446544</v>
      </c>
      <c r="G1925" s="21">
        <v>-2.2114930000000001E-2</v>
      </c>
      <c r="H1925" s="21">
        <v>1.475228E-2</v>
      </c>
    </row>
    <row r="1926" spans="1:8" x14ac:dyDescent="0.15">
      <c r="A1926" s="21">
        <v>3.7578130000000001E-2</v>
      </c>
      <c r="B1926" s="21">
        <f t="shared" si="60"/>
        <v>-3.1461830000000003E-2</v>
      </c>
      <c r="D1926">
        <f t="shared" si="61"/>
        <v>-11.611977987421383</v>
      </c>
      <c r="G1926" s="21">
        <v>3.6926090000000002E-2</v>
      </c>
      <c r="H1926" s="21">
        <v>-3.1461830000000003E-2</v>
      </c>
    </row>
    <row r="1927" spans="1:8" x14ac:dyDescent="0.15">
      <c r="A1927" s="21">
        <v>3.7597659999999998E-2</v>
      </c>
      <c r="B1927" s="21">
        <f t="shared" si="60"/>
        <v>-7.6663200000000001E-2</v>
      </c>
      <c r="D1927">
        <f t="shared" si="61"/>
        <v>-29.701292452830192</v>
      </c>
      <c r="G1927" s="21">
        <v>9.4450110000000004E-2</v>
      </c>
      <c r="H1927" s="21">
        <v>-7.6663200000000001E-2</v>
      </c>
    </row>
    <row r="1928" spans="1:8" x14ac:dyDescent="0.15">
      <c r="A1928" s="21">
        <v>3.7617190000000002E-2</v>
      </c>
      <c r="B1928" s="21">
        <f t="shared" si="60"/>
        <v>-0.119058</v>
      </c>
      <c r="D1928">
        <f t="shared" si="61"/>
        <v>-46.703805031446528</v>
      </c>
      <c r="G1928" s="21">
        <v>0.14851809999999999</v>
      </c>
      <c r="H1928" s="21">
        <v>-0.119058</v>
      </c>
    </row>
    <row r="1929" spans="1:8" x14ac:dyDescent="0.15">
      <c r="A1929" s="21">
        <v>3.7636719999999999E-2</v>
      </c>
      <c r="B1929" s="21">
        <f t="shared" si="60"/>
        <v>-0.15782660000000001</v>
      </c>
      <c r="D1929">
        <f t="shared" si="61"/>
        <v>-62.308773584905666</v>
      </c>
      <c r="G1929" s="21">
        <v>0.19814190000000001</v>
      </c>
      <c r="H1929" s="21">
        <v>-0.15782660000000001</v>
      </c>
    </row>
    <row r="1930" spans="1:8" x14ac:dyDescent="0.15">
      <c r="A1930" s="21">
        <v>3.7656250000000002E-2</v>
      </c>
      <c r="B1930" s="21">
        <f t="shared" si="60"/>
        <v>-0.1915781</v>
      </c>
      <c r="D1930">
        <f t="shared" si="61"/>
        <v>-75.770377358490563</v>
      </c>
      <c r="G1930" s="21">
        <v>0.24094979999999999</v>
      </c>
      <c r="H1930" s="21">
        <v>-0.1915781</v>
      </c>
    </row>
    <row r="1931" spans="1:8" x14ac:dyDescent="0.15">
      <c r="A1931" s="21">
        <v>3.7675779999999999E-2</v>
      </c>
      <c r="B1931" s="21">
        <f t="shared" si="60"/>
        <v>-0.21818299999999999</v>
      </c>
      <c r="D1931">
        <f t="shared" si="61"/>
        <v>-86.526446540880514</v>
      </c>
      <c r="G1931" s="21">
        <v>0.27515410000000001</v>
      </c>
      <c r="H1931" s="21">
        <v>-0.21818299999999999</v>
      </c>
    </row>
    <row r="1932" spans="1:8" x14ac:dyDescent="0.15">
      <c r="A1932" s="21">
        <v>3.7695310000000003E-2</v>
      </c>
      <c r="B1932" s="21">
        <f t="shared" si="60"/>
        <v>-0.23729</v>
      </c>
      <c r="D1932">
        <f t="shared" si="61"/>
        <v>-94.31845911949685</v>
      </c>
      <c r="G1932" s="21">
        <v>0.2999327</v>
      </c>
      <c r="H1932" s="21">
        <v>-0.23729</v>
      </c>
    </row>
    <row r="1933" spans="1:8" x14ac:dyDescent="0.15">
      <c r="A1933" s="21">
        <v>3.7714839999999999E-2</v>
      </c>
      <c r="B1933" s="21">
        <f t="shared" si="60"/>
        <v>-0.248501</v>
      </c>
      <c r="D1933">
        <f t="shared" si="61"/>
        <v>-98.78503144654087</v>
      </c>
      <c r="G1933" s="21">
        <v>0.31413639999999998</v>
      </c>
      <c r="H1933" s="21">
        <v>-0.248501</v>
      </c>
    </row>
    <row r="1934" spans="1:8" x14ac:dyDescent="0.15">
      <c r="A1934" s="21">
        <v>3.7734379999999998E-2</v>
      </c>
      <c r="B1934" s="21">
        <f t="shared" si="60"/>
        <v>-0.25183820000000001</v>
      </c>
      <c r="D1934">
        <f t="shared" si="61"/>
        <v>-100.19666666666667</v>
      </c>
      <c r="G1934" s="21">
        <v>0.3186254</v>
      </c>
      <c r="H1934" s="21">
        <v>-0.25183820000000001</v>
      </c>
    </row>
    <row r="1935" spans="1:8" x14ac:dyDescent="0.15">
      <c r="A1935" s="21">
        <v>3.7753910000000002E-2</v>
      </c>
      <c r="B1935" s="21">
        <f t="shared" si="60"/>
        <v>-0.2473687</v>
      </c>
      <c r="D1935">
        <f t="shared" si="61"/>
        <v>-98.412044025157243</v>
      </c>
      <c r="G1935" s="21">
        <v>0.31295030000000001</v>
      </c>
      <c r="H1935" s="21">
        <v>-0.2473687</v>
      </c>
    </row>
    <row r="1936" spans="1:8" x14ac:dyDescent="0.15">
      <c r="A1936" s="21">
        <v>3.7773439999999998E-2</v>
      </c>
      <c r="B1936" s="21">
        <f t="shared" si="60"/>
        <v>-0.23400280000000001</v>
      </c>
      <c r="D1936">
        <f t="shared" si="61"/>
        <v>-93.022421383647796</v>
      </c>
      <c r="G1936" s="21">
        <v>0.2958113</v>
      </c>
      <c r="H1936" s="21">
        <v>-0.23400280000000001</v>
      </c>
    </row>
    <row r="1937" spans="1:8" x14ac:dyDescent="0.15">
      <c r="A1937" s="21">
        <v>3.7792970000000002E-2</v>
      </c>
      <c r="B1937" s="21">
        <f t="shared" si="60"/>
        <v>-0.2125292</v>
      </c>
      <c r="D1937">
        <f t="shared" si="61"/>
        <v>-84.565660377358498</v>
      </c>
      <c r="G1937" s="21">
        <v>0.26891880000000001</v>
      </c>
      <c r="H1937" s="21">
        <v>-0.2125292</v>
      </c>
    </row>
    <row r="1938" spans="1:8" x14ac:dyDescent="0.15">
      <c r="A1938" s="21">
        <v>3.7812499999999999E-2</v>
      </c>
      <c r="B1938" s="21">
        <f t="shared" si="60"/>
        <v>-0.1839674</v>
      </c>
      <c r="D1938">
        <f t="shared" si="61"/>
        <v>-73.120943396226409</v>
      </c>
      <c r="G1938" s="21">
        <v>0.2325246</v>
      </c>
      <c r="H1938" s="21">
        <v>-0.1839674</v>
      </c>
    </row>
    <row r="1939" spans="1:8" x14ac:dyDescent="0.15">
      <c r="A1939" s="21">
        <v>3.7832030000000003E-2</v>
      </c>
      <c r="B1939" s="21">
        <f t="shared" si="60"/>
        <v>-0.1486382</v>
      </c>
      <c r="D1939">
        <f t="shared" si="61"/>
        <v>-58.915597484276731</v>
      </c>
      <c r="G1939" s="21">
        <v>0.18735160000000001</v>
      </c>
      <c r="H1939" s="21">
        <v>-0.1486382</v>
      </c>
    </row>
    <row r="1940" spans="1:8" x14ac:dyDescent="0.15">
      <c r="A1940" s="21">
        <v>3.7851559999999999E-2</v>
      </c>
      <c r="B1940" s="21">
        <f t="shared" si="60"/>
        <v>-0.1086944</v>
      </c>
      <c r="D1940">
        <f t="shared" si="61"/>
        <v>-43.032924528301891</v>
      </c>
      <c r="G1940" s="21">
        <v>0.13684470000000001</v>
      </c>
      <c r="H1940" s="21">
        <v>-0.1086944</v>
      </c>
    </row>
    <row r="1941" spans="1:8" x14ac:dyDescent="0.15">
      <c r="A1941" s="21">
        <v>3.7871090000000003E-2</v>
      </c>
      <c r="B1941" s="21">
        <f t="shared" si="60"/>
        <v>-6.5292649999999994E-2</v>
      </c>
      <c r="D1941">
        <f t="shared" si="61"/>
        <v>-25.637886792452829</v>
      </c>
      <c r="G1941" s="21">
        <v>8.152848E-2</v>
      </c>
      <c r="H1941" s="21">
        <v>-6.5292649999999994E-2</v>
      </c>
    </row>
    <row r="1942" spans="1:8" x14ac:dyDescent="0.15">
      <c r="A1942" s="21">
        <v>3.7890630000000002E-2</v>
      </c>
      <c r="B1942" s="21">
        <f t="shared" si="60"/>
        <v>-1.9041260000000001E-2</v>
      </c>
      <c r="D1942">
        <f t="shared" si="61"/>
        <v>-7.0594213836477984</v>
      </c>
      <c r="G1942" s="21">
        <v>2.244896E-2</v>
      </c>
      <c r="H1942" s="21">
        <v>-1.9041260000000001E-2</v>
      </c>
    </row>
    <row r="1943" spans="1:8" x14ac:dyDescent="0.15">
      <c r="A1943" s="21">
        <v>3.7910159999999998E-2</v>
      </c>
      <c r="B1943" s="21">
        <f t="shared" si="60"/>
        <v>2.757807E-2</v>
      </c>
      <c r="D1943">
        <f t="shared" si="61"/>
        <v>11.593044025157232</v>
      </c>
      <c r="G1943" s="21">
        <v>-3.6865879999999997E-2</v>
      </c>
      <c r="H1943" s="21">
        <v>2.757807E-2</v>
      </c>
    </row>
    <row r="1944" spans="1:8" x14ac:dyDescent="0.15">
      <c r="A1944" s="21">
        <v>3.7929690000000002E-2</v>
      </c>
      <c r="B1944" s="21">
        <f t="shared" si="60"/>
        <v>7.291388E-2</v>
      </c>
      <c r="D1944">
        <f t="shared" si="61"/>
        <v>29.801125786163524</v>
      </c>
      <c r="G1944" s="21">
        <v>-9.4767580000000004E-2</v>
      </c>
      <c r="H1944" s="21">
        <v>7.291388E-2</v>
      </c>
    </row>
    <row r="1945" spans="1:8" x14ac:dyDescent="0.15">
      <c r="A1945" s="21">
        <v>3.7949219999999999E-2</v>
      </c>
      <c r="B1945" s="21">
        <f t="shared" si="60"/>
        <v>0.11592860000000001</v>
      </c>
      <c r="D1945">
        <f t="shared" si="61"/>
        <v>47.061352201257861</v>
      </c>
      <c r="G1945" s="21">
        <v>-0.14965510000000001</v>
      </c>
      <c r="H1945" s="21">
        <v>0.11592860000000001</v>
      </c>
    </row>
    <row r="1946" spans="1:8" x14ac:dyDescent="0.15">
      <c r="A1946" s="21">
        <v>3.7968750000000002E-2</v>
      </c>
      <c r="B1946" s="21">
        <f t="shared" si="60"/>
        <v>0.15508620000000001</v>
      </c>
      <c r="D1946">
        <f t="shared" si="61"/>
        <v>62.794056603773583</v>
      </c>
      <c r="G1946" s="21">
        <v>-0.1996851</v>
      </c>
      <c r="H1946" s="21">
        <v>0.15508620000000001</v>
      </c>
    </row>
    <row r="1947" spans="1:8" x14ac:dyDescent="0.15">
      <c r="A1947" s="21">
        <v>3.7988279999999999E-2</v>
      </c>
      <c r="B1947" s="21">
        <f t="shared" si="60"/>
        <v>0.1888832</v>
      </c>
      <c r="D1947">
        <f t="shared" si="61"/>
        <v>76.370566037735841</v>
      </c>
      <c r="G1947" s="21">
        <v>-0.2428584</v>
      </c>
      <c r="H1947" s="21">
        <v>0.1888832</v>
      </c>
    </row>
    <row r="1948" spans="1:8" x14ac:dyDescent="0.15">
      <c r="A1948" s="21">
        <v>3.8007810000000003E-2</v>
      </c>
      <c r="B1948" s="21">
        <f t="shared" si="60"/>
        <v>0.21573439999999999</v>
      </c>
      <c r="D1948">
        <f t="shared" si="61"/>
        <v>87.096949685534582</v>
      </c>
      <c r="G1948" s="21">
        <v>-0.2769683</v>
      </c>
      <c r="H1948" s="21">
        <v>0.21573439999999999</v>
      </c>
    </row>
    <row r="1949" spans="1:8" x14ac:dyDescent="0.15">
      <c r="A1949" s="21">
        <v>3.802734E-2</v>
      </c>
      <c r="B1949" s="21">
        <f t="shared" si="60"/>
        <v>0.23531869999999999</v>
      </c>
      <c r="D1949">
        <f t="shared" si="61"/>
        <v>95.051823899371058</v>
      </c>
      <c r="G1949" s="21">
        <v>-0.3022648</v>
      </c>
      <c r="H1949" s="21">
        <v>0.23531869999999999</v>
      </c>
    </row>
    <row r="1950" spans="1:8" x14ac:dyDescent="0.15">
      <c r="A1950" s="21">
        <v>3.8046879999999998E-2</v>
      </c>
      <c r="B1950" s="21">
        <f t="shared" si="60"/>
        <v>0.24746370000000001</v>
      </c>
      <c r="D1950">
        <f t="shared" si="61"/>
        <v>99.991069182389936</v>
      </c>
      <c r="G1950" s="21">
        <v>-0.31797160000000002</v>
      </c>
      <c r="H1950" s="21">
        <v>0.24746370000000001</v>
      </c>
    </row>
    <row r="1951" spans="1:8" x14ac:dyDescent="0.15">
      <c r="A1951" s="21">
        <v>3.8066410000000002E-2</v>
      </c>
      <c r="B1951" s="21">
        <f t="shared" si="60"/>
        <v>0.25146950000000001</v>
      </c>
      <c r="D1951">
        <f t="shared" si="61"/>
        <v>101.52855345911949</v>
      </c>
      <c r="G1951" s="21">
        <v>-0.3228608</v>
      </c>
      <c r="H1951" s="21">
        <v>0.25146950000000001</v>
      </c>
    </row>
    <row r="1952" spans="1:8" x14ac:dyDescent="0.15">
      <c r="A1952" s="21">
        <v>3.8085939999999999E-2</v>
      </c>
      <c r="B1952" s="21">
        <f t="shared" si="60"/>
        <v>0.2474614</v>
      </c>
      <c r="D1952">
        <f t="shared" si="61"/>
        <v>99.933427672955986</v>
      </c>
      <c r="G1952" s="21">
        <v>-0.31778830000000002</v>
      </c>
      <c r="H1952" s="21">
        <v>0.2474614</v>
      </c>
    </row>
    <row r="1953" spans="1:8" x14ac:dyDescent="0.15">
      <c r="A1953" s="21">
        <v>3.8105470000000002E-2</v>
      </c>
      <c r="B1953" s="21">
        <f t="shared" si="60"/>
        <v>0.23486000000000001</v>
      </c>
      <c r="D1953">
        <f t="shared" si="61"/>
        <v>94.931698113207545</v>
      </c>
      <c r="G1953" s="21">
        <v>-0.30188280000000001</v>
      </c>
      <c r="H1953" s="21">
        <v>0.23486000000000001</v>
      </c>
    </row>
    <row r="1954" spans="1:8" x14ac:dyDescent="0.15">
      <c r="A1954" s="21">
        <v>3.8124999999999999E-2</v>
      </c>
      <c r="B1954" s="21">
        <f t="shared" si="60"/>
        <v>0.2134115</v>
      </c>
      <c r="D1954">
        <f t="shared" si="61"/>
        <v>86.414779874213849</v>
      </c>
      <c r="G1954" s="21">
        <v>-0.27479900000000002</v>
      </c>
      <c r="H1954" s="21">
        <v>0.2134115</v>
      </c>
    </row>
    <row r="1955" spans="1:8" x14ac:dyDescent="0.15">
      <c r="A1955" s="21">
        <v>3.8144530000000003E-2</v>
      </c>
      <c r="B1955" s="21">
        <f t="shared" si="60"/>
        <v>0.1846573</v>
      </c>
      <c r="D1955">
        <f t="shared" si="61"/>
        <v>74.935660377358488</v>
      </c>
      <c r="G1955" s="21">
        <v>-0.23829539999999999</v>
      </c>
      <c r="H1955" s="21">
        <v>0.1846573</v>
      </c>
    </row>
    <row r="1956" spans="1:8" x14ac:dyDescent="0.15">
      <c r="A1956" s="21">
        <v>3.816406E-2</v>
      </c>
      <c r="B1956" s="21">
        <f t="shared" si="60"/>
        <v>0.15012829999999999</v>
      </c>
      <c r="D1956">
        <f t="shared" si="61"/>
        <v>61.06</v>
      </c>
      <c r="G1956" s="21">
        <v>-0.1941708</v>
      </c>
      <c r="H1956" s="21">
        <v>0.15012829999999999</v>
      </c>
    </row>
    <row r="1957" spans="1:8" x14ac:dyDescent="0.15">
      <c r="A1957" s="21">
        <v>3.8183590000000003E-2</v>
      </c>
      <c r="B1957" s="21">
        <f t="shared" si="60"/>
        <v>0.1109115</v>
      </c>
      <c r="D1957">
        <f t="shared" si="61"/>
        <v>45.363081761006292</v>
      </c>
      <c r="G1957" s="21">
        <v>-0.14425460000000001</v>
      </c>
      <c r="H1957" s="21">
        <v>0.1109115</v>
      </c>
    </row>
    <row r="1958" spans="1:8" x14ac:dyDescent="0.15">
      <c r="A1958" s="21">
        <v>3.820312E-2</v>
      </c>
      <c r="B1958" s="21">
        <f t="shared" si="60"/>
        <v>6.7853930000000007E-2</v>
      </c>
      <c r="D1958">
        <f t="shared" si="61"/>
        <v>28.138984276729555</v>
      </c>
      <c r="G1958" s="21">
        <v>-8.9481969999999994E-2</v>
      </c>
      <c r="H1958" s="21">
        <v>6.7853930000000007E-2</v>
      </c>
    </row>
    <row r="1959" spans="1:8" x14ac:dyDescent="0.15">
      <c r="A1959" s="21">
        <v>3.8222659999999999E-2</v>
      </c>
      <c r="B1959" s="21">
        <f t="shared" si="60"/>
        <v>2.167034E-2</v>
      </c>
      <c r="D1959">
        <f t="shared" si="61"/>
        <v>9.6089811320754723</v>
      </c>
      <c r="G1959" s="21">
        <v>-3.055656E-2</v>
      </c>
      <c r="H1959" s="21">
        <v>2.167034E-2</v>
      </c>
    </row>
    <row r="1960" spans="1:8" x14ac:dyDescent="0.15">
      <c r="A1960" s="21">
        <v>3.8242190000000002E-2</v>
      </c>
      <c r="B1960" s="21">
        <f t="shared" si="60"/>
        <v>-2.560202E-2</v>
      </c>
      <c r="D1960">
        <f t="shared" si="61"/>
        <v>-9.3062232704402508</v>
      </c>
      <c r="G1960" s="21">
        <v>2.9593789999999998E-2</v>
      </c>
      <c r="H1960" s="21">
        <v>-2.560202E-2</v>
      </c>
    </row>
    <row r="1961" spans="1:8" x14ac:dyDescent="0.15">
      <c r="A1961" s="21">
        <v>3.8261719999999999E-2</v>
      </c>
      <c r="B1961" s="21">
        <f t="shared" si="60"/>
        <v>-7.1212399999999995E-2</v>
      </c>
      <c r="D1961">
        <f t="shared" si="61"/>
        <v>-27.535789308176099</v>
      </c>
      <c r="G1961" s="21">
        <v>8.7563810000000006E-2</v>
      </c>
      <c r="H1961" s="21">
        <v>-7.1212399999999995E-2</v>
      </c>
    </row>
    <row r="1962" spans="1:8" x14ac:dyDescent="0.15">
      <c r="A1962" s="21">
        <v>3.8281250000000003E-2</v>
      </c>
      <c r="B1962" s="21">
        <f t="shared" si="60"/>
        <v>-0.1141259</v>
      </c>
      <c r="D1962">
        <f t="shared" si="61"/>
        <v>-44.793364779874217</v>
      </c>
      <c r="G1962" s="21">
        <v>0.14244290000000001</v>
      </c>
      <c r="H1962" s="21">
        <v>-0.1141259</v>
      </c>
    </row>
    <row r="1963" spans="1:8" x14ac:dyDescent="0.15">
      <c r="A1963" s="21">
        <v>3.830078E-2</v>
      </c>
      <c r="B1963" s="21">
        <f t="shared" si="60"/>
        <v>-0.15318380000000001</v>
      </c>
      <c r="D1963">
        <f t="shared" si="61"/>
        <v>-60.462295597484278</v>
      </c>
      <c r="G1963" s="21">
        <v>0.1922701</v>
      </c>
      <c r="H1963" s="21">
        <v>-0.15318380000000001</v>
      </c>
    </row>
    <row r="1964" spans="1:8" x14ac:dyDescent="0.15">
      <c r="A1964" s="21">
        <v>3.8320310000000003E-2</v>
      </c>
      <c r="B1964" s="21">
        <f t="shared" si="60"/>
        <v>-0.1867934</v>
      </c>
      <c r="D1964">
        <f t="shared" si="61"/>
        <v>-73.902232704402508</v>
      </c>
      <c r="G1964" s="21">
        <v>0.2350091</v>
      </c>
      <c r="H1964" s="21">
        <v>-0.1867934</v>
      </c>
    </row>
    <row r="1965" spans="1:8" x14ac:dyDescent="0.15">
      <c r="A1965" s="21">
        <v>3.833984E-2</v>
      </c>
      <c r="B1965" s="21">
        <f t="shared" si="60"/>
        <v>-0.21461089999999999</v>
      </c>
      <c r="D1965">
        <f t="shared" si="61"/>
        <v>-85.130377358490563</v>
      </c>
      <c r="G1965" s="21">
        <v>0.27071460000000003</v>
      </c>
      <c r="H1965" s="21">
        <v>-0.21461089999999999</v>
      </c>
    </row>
    <row r="1966" spans="1:8" x14ac:dyDescent="0.15">
      <c r="A1966" s="21">
        <v>3.8359379999999998E-2</v>
      </c>
      <c r="B1966" s="21">
        <f t="shared" si="60"/>
        <v>-0.2352609</v>
      </c>
      <c r="D1966">
        <f t="shared" si="61"/>
        <v>-93.482672955974834</v>
      </c>
      <c r="G1966" s="21">
        <v>0.29727490000000001</v>
      </c>
      <c r="H1966" s="21">
        <v>-0.2352609</v>
      </c>
    </row>
    <row r="1967" spans="1:8" x14ac:dyDescent="0.15">
      <c r="A1967" s="21">
        <v>3.8378910000000002E-2</v>
      </c>
      <c r="B1967" s="21">
        <f t="shared" si="60"/>
        <v>-0.2476872</v>
      </c>
      <c r="D1967">
        <f t="shared" si="61"/>
        <v>-98.525691823899379</v>
      </c>
      <c r="G1967" s="21">
        <v>0.31331170000000003</v>
      </c>
      <c r="H1967" s="21">
        <v>-0.2476872</v>
      </c>
    </row>
    <row r="1968" spans="1:8" x14ac:dyDescent="0.15">
      <c r="A1968" s="21">
        <v>3.8398439999999999E-2</v>
      </c>
      <c r="B1968" s="21">
        <f t="shared" si="60"/>
        <v>-0.2522373</v>
      </c>
      <c r="D1968">
        <f t="shared" si="61"/>
        <v>-100.38396226415094</v>
      </c>
      <c r="G1968" s="21">
        <v>0.31922099999999998</v>
      </c>
      <c r="H1968" s="21">
        <v>-0.2522373</v>
      </c>
    </row>
    <row r="1969" spans="1:8" x14ac:dyDescent="0.15">
      <c r="A1969" s="21">
        <v>3.8417970000000003E-2</v>
      </c>
      <c r="B1969" s="21">
        <f t="shared" si="60"/>
        <v>-0.24831500000000001</v>
      </c>
      <c r="D1969">
        <f t="shared" si="61"/>
        <v>-98.828301886792445</v>
      </c>
      <c r="G1969" s="21">
        <v>0.314274</v>
      </c>
      <c r="H1969" s="21">
        <v>-0.24831500000000001</v>
      </c>
    </row>
    <row r="1970" spans="1:8" x14ac:dyDescent="0.15">
      <c r="A1970" s="21">
        <v>3.8437499999999999E-2</v>
      </c>
      <c r="B1970" s="21">
        <f t="shared" si="60"/>
        <v>-0.23585510000000001</v>
      </c>
      <c r="D1970">
        <f t="shared" si="61"/>
        <v>-93.905534591194964</v>
      </c>
      <c r="G1970" s="21">
        <v>0.29861959999999999</v>
      </c>
      <c r="H1970" s="21">
        <v>-0.23585510000000001</v>
      </c>
    </row>
    <row r="1971" spans="1:8" x14ac:dyDescent="0.15">
      <c r="A1971" s="21">
        <v>3.8457030000000003E-2</v>
      </c>
      <c r="B1971" s="21">
        <f t="shared" si="60"/>
        <v>-0.21553659999999999</v>
      </c>
      <c r="D1971">
        <f t="shared" si="61"/>
        <v>-85.773396226415088</v>
      </c>
      <c r="G1971" s="21">
        <v>0.27275939999999999</v>
      </c>
      <c r="H1971" s="21">
        <v>-0.21553659999999999</v>
      </c>
    </row>
    <row r="1972" spans="1:8" x14ac:dyDescent="0.15">
      <c r="A1972" s="21">
        <v>3.847656E-2</v>
      </c>
      <c r="B1972" s="21">
        <f t="shared" si="60"/>
        <v>-0.18775149999999999</v>
      </c>
      <c r="D1972">
        <f t="shared" si="61"/>
        <v>-74.620094339622639</v>
      </c>
      <c r="G1972" s="21">
        <v>0.2372919</v>
      </c>
      <c r="H1972" s="21">
        <v>-0.18775149999999999</v>
      </c>
    </row>
    <row r="1973" spans="1:8" x14ac:dyDescent="0.15">
      <c r="A1973" s="21">
        <v>3.8496089999999997E-2</v>
      </c>
      <c r="B1973" s="21">
        <f t="shared" si="60"/>
        <v>-0.15361079999999999</v>
      </c>
      <c r="D1973">
        <f t="shared" si="61"/>
        <v>-60.942578616352201</v>
      </c>
      <c r="G1973" s="21">
        <v>0.19379740000000001</v>
      </c>
      <c r="H1973" s="21">
        <v>-0.15361079999999999</v>
      </c>
    </row>
    <row r="1974" spans="1:8" x14ac:dyDescent="0.15">
      <c r="A1974" s="21">
        <v>3.851562E-2</v>
      </c>
      <c r="B1974" s="21">
        <f t="shared" si="60"/>
        <v>-0.1143518</v>
      </c>
      <c r="D1974">
        <f t="shared" si="61"/>
        <v>-45.254968553459115</v>
      </c>
      <c r="G1974" s="21">
        <v>0.14391080000000001</v>
      </c>
      <c r="H1974" s="21">
        <v>-0.1143518</v>
      </c>
    </row>
    <row r="1975" spans="1:8" x14ac:dyDescent="0.15">
      <c r="A1975" s="21">
        <v>3.8535159999999999E-2</v>
      </c>
      <c r="B1975" s="21">
        <f t="shared" si="60"/>
        <v>-7.1016599999999999E-2</v>
      </c>
      <c r="D1975">
        <f t="shared" si="61"/>
        <v>-27.92528616352201</v>
      </c>
      <c r="G1975" s="21">
        <v>8.8802409999999998E-2</v>
      </c>
      <c r="H1975" s="21">
        <v>-7.1016599999999999E-2</v>
      </c>
    </row>
    <row r="1976" spans="1:8" x14ac:dyDescent="0.15">
      <c r="A1976" s="21">
        <v>3.8554690000000003E-2</v>
      </c>
      <c r="B1976" s="21">
        <f t="shared" si="60"/>
        <v>-2.5150550000000001E-2</v>
      </c>
      <c r="D1976">
        <f t="shared" si="61"/>
        <v>-9.5025723270440245</v>
      </c>
      <c r="G1976" s="21">
        <v>3.0218180000000001E-2</v>
      </c>
      <c r="H1976" s="21">
        <v>-2.5150550000000001E-2</v>
      </c>
    </row>
    <row r="1977" spans="1:8" x14ac:dyDescent="0.15">
      <c r="A1977" s="21">
        <v>3.8574219999999999E-2</v>
      </c>
      <c r="B1977" s="21">
        <f t="shared" si="60"/>
        <v>2.1755210000000001E-2</v>
      </c>
      <c r="D1977">
        <f t="shared" si="61"/>
        <v>9.2643993710691817</v>
      </c>
      <c r="G1977" s="21">
        <v>-2.9460790000000001E-2</v>
      </c>
      <c r="H1977" s="21">
        <v>2.1755210000000001E-2</v>
      </c>
    </row>
    <row r="1978" spans="1:8" x14ac:dyDescent="0.15">
      <c r="A1978" s="21">
        <v>3.8593750000000003E-2</v>
      </c>
      <c r="B1978" s="21">
        <f t="shared" si="60"/>
        <v>6.7835670000000001E-2</v>
      </c>
      <c r="D1978">
        <f t="shared" si="61"/>
        <v>27.725977987421384</v>
      </c>
      <c r="G1978" s="21">
        <v>-8.8168609999999994E-2</v>
      </c>
      <c r="H1978" s="21">
        <v>6.7835670000000001E-2</v>
      </c>
    </row>
    <row r="1979" spans="1:8" x14ac:dyDescent="0.15">
      <c r="A1979" s="21">
        <v>3.861328E-2</v>
      </c>
      <c r="B1979" s="21">
        <f t="shared" si="60"/>
        <v>0.11089640000000001</v>
      </c>
      <c r="D1979">
        <f t="shared" si="61"/>
        <v>45.035471698113199</v>
      </c>
      <c r="G1979" s="21">
        <v>-0.1432128</v>
      </c>
      <c r="H1979" s="21">
        <v>0.11089640000000001</v>
      </c>
    </row>
    <row r="1980" spans="1:8" x14ac:dyDescent="0.15">
      <c r="A1980" s="21">
        <v>3.8632809999999997E-2</v>
      </c>
      <c r="B1980" s="21">
        <f t="shared" si="60"/>
        <v>0.1499412</v>
      </c>
      <c r="D1980">
        <f t="shared" si="61"/>
        <v>60.687484276729556</v>
      </c>
      <c r="G1980" s="21">
        <v>-0.1929862</v>
      </c>
      <c r="H1980" s="21">
        <v>0.1499412</v>
      </c>
    </row>
    <row r="1981" spans="1:8" x14ac:dyDescent="0.15">
      <c r="A1981" s="21">
        <v>3.865234E-2</v>
      </c>
      <c r="B1981" s="21">
        <f t="shared" si="60"/>
        <v>0.18426480000000001</v>
      </c>
      <c r="D1981">
        <f t="shared" si="61"/>
        <v>74.520786163522004</v>
      </c>
      <c r="G1981" s="21">
        <v>-0.2369761</v>
      </c>
      <c r="H1981" s="21">
        <v>0.18426480000000001</v>
      </c>
    </row>
    <row r="1982" spans="1:8" x14ac:dyDescent="0.15">
      <c r="A1982" s="21">
        <v>3.8671879999999999E-2</v>
      </c>
      <c r="B1982" s="21">
        <f t="shared" si="60"/>
        <v>0.21274170000000001</v>
      </c>
      <c r="D1982">
        <f t="shared" si="61"/>
        <v>85.95355345911949</v>
      </c>
      <c r="G1982" s="21">
        <v>-0.27333229999999997</v>
      </c>
      <c r="H1982" s="21">
        <v>0.21274170000000001</v>
      </c>
    </row>
    <row r="1983" spans="1:8" x14ac:dyDescent="0.15">
      <c r="A1983" s="21">
        <v>3.8691410000000002E-2</v>
      </c>
      <c r="B1983" s="21">
        <f t="shared" si="60"/>
        <v>0.23398949999999999</v>
      </c>
      <c r="D1983">
        <f t="shared" si="61"/>
        <v>94.426792452830185</v>
      </c>
      <c r="G1983" s="21">
        <v>-0.30027720000000002</v>
      </c>
      <c r="H1983" s="21">
        <v>0.23398949999999999</v>
      </c>
    </row>
    <row r="1984" spans="1:8" x14ac:dyDescent="0.15">
      <c r="A1984" s="21">
        <v>3.8710939999999999E-2</v>
      </c>
      <c r="B1984" s="21">
        <f t="shared" si="60"/>
        <v>0.24686859999999999</v>
      </c>
      <c r="D1984">
        <f t="shared" si="61"/>
        <v>99.670440251572316</v>
      </c>
      <c r="G1984" s="21">
        <v>-0.31695200000000001</v>
      </c>
      <c r="H1984" s="21">
        <v>0.24686859999999999</v>
      </c>
    </row>
    <row r="1985" spans="1:8" x14ac:dyDescent="0.15">
      <c r="A1985" s="21">
        <v>3.8730470000000003E-2</v>
      </c>
      <c r="B1985" s="21">
        <f t="shared" si="60"/>
        <v>0.251772</v>
      </c>
      <c r="D1985">
        <f t="shared" si="61"/>
        <v>101.70377358490566</v>
      </c>
      <c r="G1985" s="21">
        <v>-0.32341799999999998</v>
      </c>
      <c r="H1985" s="21">
        <v>0.251772</v>
      </c>
    </row>
    <row r="1986" spans="1:8" x14ac:dyDescent="0.15">
      <c r="A1986" s="21">
        <v>3.875E-2</v>
      </c>
      <c r="B1986" s="21">
        <f t="shared" ref="B1986:B2001" si="62">H1986</f>
        <v>0.24853030000000001</v>
      </c>
      <c r="D1986">
        <f t="shared" ref="D1986:D2001" si="63">G1986*-1000/3.18</f>
        <v>100.37732704402514</v>
      </c>
      <c r="G1986" s="21">
        <v>-0.31919989999999998</v>
      </c>
      <c r="H1986" s="21">
        <v>0.24853030000000001</v>
      </c>
    </row>
    <row r="1987" spans="1:8" x14ac:dyDescent="0.15">
      <c r="A1987" s="21">
        <v>3.8769530000000003E-2</v>
      </c>
      <c r="B1987" s="21">
        <f t="shared" si="62"/>
        <v>0.2365419</v>
      </c>
      <c r="D1987">
        <f t="shared" si="63"/>
        <v>95.603867924528302</v>
      </c>
      <c r="G1987" s="21">
        <v>-0.30402030000000002</v>
      </c>
      <c r="H1987" s="21">
        <v>0.2365419</v>
      </c>
    </row>
    <row r="1988" spans="1:8" x14ac:dyDescent="0.15">
      <c r="A1988" s="21">
        <v>3.878906E-2</v>
      </c>
      <c r="B1988" s="21">
        <f t="shared" si="62"/>
        <v>0.216776</v>
      </c>
      <c r="D1988">
        <f t="shared" si="63"/>
        <v>87.738238993710695</v>
      </c>
      <c r="G1988" s="21">
        <v>-0.27900760000000002</v>
      </c>
      <c r="H1988" s="21">
        <v>0.216776</v>
      </c>
    </row>
    <row r="1989" spans="1:8" x14ac:dyDescent="0.15">
      <c r="A1989" s="21">
        <v>3.8808589999999997E-2</v>
      </c>
      <c r="B1989" s="21">
        <f t="shared" si="62"/>
        <v>0.1896282</v>
      </c>
      <c r="D1989">
        <f t="shared" si="63"/>
        <v>76.835440251572322</v>
      </c>
      <c r="G1989" s="21">
        <v>-0.24433669999999999</v>
      </c>
      <c r="H1989" s="21">
        <v>0.1896282</v>
      </c>
    </row>
    <row r="1990" spans="1:8" x14ac:dyDescent="0.15">
      <c r="A1990" s="21">
        <v>3.8828120000000001E-2</v>
      </c>
      <c r="B1990" s="21">
        <f t="shared" si="62"/>
        <v>0.1558187</v>
      </c>
      <c r="D1990">
        <f t="shared" si="63"/>
        <v>63.340377358490564</v>
      </c>
      <c r="G1990" s="21">
        <v>-0.2014224</v>
      </c>
      <c r="H1990" s="21">
        <v>0.1558187</v>
      </c>
    </row>
    <row r="1991" spans="1:8" x14ac:dyDescent="0.15">
      <c r="A1991" s="21">
        <v>3.8847659999999999E-2</v>
      </c>
      <c r="B1991" s="21">
        <f t="shared" si="62"/>
        <v>0.11684899999999999</v>
      </c>
      <c r="D1991">
        <f t="shared" si="63"/>
        <v>47.790157232704395</v>
      </c>
      <c r="G1991" s="21">
        <v>-0.15197269999999999</v>
      </c>
      <c r="H1991" s="21">
        <v>0.11684899999999999</v>
      </c>
    </row>
    <row r="1992" spans="1:8" x14ac:dyDescent="0.15">
      <c r="A1992" s="21">
        <v>3.8867190000000003E-2</v>
      </c>
      <c r="B1992" s="21">
        <f t="shared" si="62"/>
        <v>7.3561070000000006E-2</v>
      </c>
      <c r="D1992">
        <f t="shared" si="63"/>
        <v>30.424918238993708</v>
      </c>
      <c r="G1992" s="21">
        <v>-9.6751240000000002E-2</v>
      </c>
      <c r="H1992" s="21">
        <v>7.3561070000000006E-2</v>
      </c>
    </row>
    <row r="1993" spans="1:8" x14ac:dyDescent="0.15">
      <c r="A1993" s="21">
        <v>3.888672E-2</v>
      </c>
      <c r="B1993" s="21">
        <f t="shared" si="62"/>
        <v>2.7789580000000001E-2</v>
      </c>
      <c r="D1993">
        <f t="shared" si="63"/>
        <v>12.106833333333332</v>
      </c>
      <c r="G1993" s="21">
        <v>-3.8499730000000003E-2</v>
      </c>
      <c r="H1993" s="21">
        <v>2.7789580000000001E-2</v>
      </c>
    </row>
    <row r="1994" spans="1:8" x14ac:dyDescent="0.15">
      <c r="A1994" s="21">
        <v>3.8906250000000003E-2</v>
      </c>
      <c r="B1994" s="21">
        <f t="shared" si="62"/>
        <v>-1.8886799999999999E-2</v>
      </c>
      <c r="D1994">
        <f t="shared" si="63"/>
        <v>-6.6223773584905663</v>
      </c>
      <c r="G1994" s="21">
        <v>2.105916E-2</v>
      </c>
      <c r="H1994" s="21">
        <v>-1.8886799999999999E-2</v>
      </c>
    </row>
    <row r="1995" spans="1:8" x14ac:dyDescent="0.15">
      <c r="A1995" s="21">
        <v>3.892578E-2</v>
      </c>
      <c r="B1995" s="21">
        <f t="shared" si="62"/>
        <v>-6.502078E-2</v>
      </c>
      <c r="D1995">
        <f t="shared" si="63"/>
        <v>-25.118389937106919</v>
      </c>
      <c r="G1995" s="21">
        <v>7.987648E-2</v>
      </c>
      <c r="H1995" s="21">
        <v>-6.502078E-2</v>
      </c>
    </row>
    <row r="1996" spans="1:8" x14ac:dyDescent="0.15">
      <c r="A1996" s="21">
        <v>3.8945309999999997E-2</v>
      </c>
      <c r="B1996" s="21">
        <f t="shared" si="62"/>
        <v>-0.1081565</v>
      </c>
      <c r="D1996">
        <f t="shared" si="63"/>
        <v>-42.371289308176102</v>
      </c>
      <c r="G1996" s="21">
        <v>0.13474069999999999</v>
      </c>
      <c r="H1996" s="21">
        <v>-0.1081565</v>
      </c>
    </row>
    <row r="1997" spans="1:8" x14ac:dyDescent="0.15">
      <c r="A1997" s="21">
        <v>3.8964840000000001E-2</v>
      </c>
      <c r="B1997" s="21">
        <f t="shared" si="62"/>
        <v>-0.1476703</v>
      </c>
      <c r="D1997">
        <f t="shared" si="63"/>
        <v>-58.277578616352194</v>
      </c>
      <c r="G1997" s="21">
        <v>0.18532270000000001</v>
      </c>
      <c r="H1997" s="21">
        <v>-0.1476703</v>
      </c>
    </row>
    <row r="1998" spans="1:8" x14ac:dyDescent="0.15">
      <c r="A1998" s="21">
        <v>3.8984379999999999E-2</v>
      </c>
      <c r="B1998" s="21">
        <f t="shared" si="62"/>
        <v>-0.1827763</v>
      </c>
      <c r="D1998">
        <f t="shared" si="63"/>
        <v>-72.392327044025151</v>
      </c>
      <c r="G1998" s="21">
        <v>0.23020760000000001</v>
      </c>
      <c r="H1998" s="21">
        <v>-0.1827763</v>
      </c>
    </row>
    <row r="1999" spans="1:8" x14ac:dyDescent="0.15">
      <c r="A1999" s="21">
        <v>3.9003910000000003E-2</v>
      </c>
      <c r="B1999" s="21">
        <f t="shared" si="62"/>
        <v>-0.2111722</v>
      </c>
      <c r="D1999">
        <f t="shared" si="63"/>
        <v>-83.774025157232714</v>
      </c>
      <c r="G1999" s="21">
        <v>0.26640140000000001</v>
      </c>
      <c r="H1999" s="21">
        <v>-0.2111722</v>
      </c>
    </row>
    <row r="2000" spans="1:8" x14ac:dyDescent="0.15">
      <c r="A2000" s="21">
        <v>3.902344E-2</v>
      </c>
      <c r="B2000" s="21">
        <f t="shared" si="62"/>
        <v>-0.23243259999999999</v>
      </c>
      <c r="D2000">
        <f t="shared" si="63"/>
        <v>-92.323113207547152</v>
      </c>
      <c r="G2000" s="21">
        <v>0.2935875</v>
      </c>
      <c r="H2000" s="21">
        <v>-0.23243259999999999</v>
      </c>
    </row>
    <row r="2001" spans="1:8" x14ac:dyDescent="0.15">
      <c r="A2001" s="21">
        <v>3.9042970000000003E-2</v>
      </c>
      <c r="B2001" s="21">
        <f t="shared" si="62"/>
        <v>-0.2463265</v>
      </c>
      <c r="D2001">
        <f t="shared" si="63"/>
        <v>-97.933490566037733</v>
      </c>
      <c r="G2001" s="21">
        <v>0.3114285</v>
      </c>
      <c r="H2001" s="21">
        <v>-0.2463265</v>
      </c>
    </row>
    <row r="2002" spans="1:8" x14ac:dyDescent="0.15">
      <c r="A2002" s="21"/>
      <c r="B2002" s="21"/>
      <c r="G2002" s="21">
        <v>0.31848159999999998</v>
      </c>
      <c r="H2002" s="21">
        <v>-0.25178729999999999</v>
      </c>
    </row>
    <row r="2003" spans="1:8" x14ac:dyDescent="0.15">
      <c r="A2003" s="21"/>
      <c r="B2003" s="21"/>
      <c r="G2003" s="21">
        <v>0.3152219</v>
      </c>
      <c r="H2003" s="21">
        <v>-0.2491061</v>
      </c>
    </row>
    <row r="2004" spans="1:8" x14ac:dyDescent="0.15">
      <c r="A2004" s="21"/>
      <c r="B2004" s="21"/>
      <c r="G2004" s="21">
        <v>0.30152800000000002</v>
      </c>
      <c r="H2004" s="21">
        <v>-0.23819689999999999</v>
      </c>
    </row>
    <row r="2005" spans="1:8" x14ac:dyDescent="0.15">
      <c r="A2005" s="21"/>
      <c r="B2005" s="21"/>
      <c r="G2005" s="21">
        <v>0.27663120000000002</v>
      </c>
      <c r="H2005" s="21">
        <v>-0.21864700000000001</v>
      </c>
    </row>
    <row r="2006" spans="1:8" x14ac:dyDescent="0.15">
      <c r="A2006" s="21"/>
      <c r="B2006" s="21"/>
      <c r="G2006" s="21">
        <v>0.2421394</v>
      </c>
      <c r="H2006" s="21">
        <v>-0.19149840000000001</v>
      </c>
    </row>
    <row r="2007" spans="1:8" x14ac:dyDescent="0.15">
      <c r="A2007" s="21"/>
      <c r="B2007" s="21"/>
      <c r="G2007" s="21">
        <v>0.19962540000000001</v>
      </c>
      <c r="H2007" s="21">
        <v>-0.1580078</v>
      </c>
    </row>
    <row r="2008" spans="1:8" x14ac:dyDescent="0.15">
      <c r="A2008" s="21"/>
      <c r="B2008" s="21"/>
      <c r="G2008" s="21">
        <v>0.15071329999999999</v>
      </c>
      <c r="H2008" s="21">
        <v>-0.11954099999999999</v>
      </c>
    </row>
    <row r="2009" spans="1:8" x14ac:dyDescent="0.15">
      <c r="A2009" s="21"/>
      <c r="B2009" s="21"/>
      <c r="G2009" s="21">
        <v>9.6710889999999994E-2</v>
      </c>
      <c r="H2009" s="21">
        <v>-7.7078069999999999E-2</v>
      </c>
    </row>
    <row r="2010" spans="1:8" x14ac:dyDescent="0.15">
      <c r="A2010" s="21"/>
      <c r="B2010" s="21"/>
      <c r="G2010" s="21">
        <v>3.8251640000000003E-2</v>
      </c>
      <c r="H2010" s="21">
        <v>-3.125261E-2</v>
      </c>
    </row>
    <row r="2011" spans="1:8" x14ac:dyDescent="0.15">
      <c r="A2011" s="21"/>
      <c r="B2011" s="21"/>
      <c r="G2011" s="21">
        <v>-2.1736579999999998E-2</v>
      </c>
      <c r="H2011" s="21">
        <v>1.573372E-2</v>
      </c>
    </row>
    <row r="2012" spans="1:8" x14ac:dyDescent="0.15">
      <c r="A2012" s="21"/>
      <c r="B2012" s="21"/>
      <c r="G2012" s="21">
        <v>-8.0319779999999993E-2</v>
      </c>
      <c r="H2012" s="21">
        <v>6.1652869999999999E-2</v>
      </c>
    </row>
    <row r="2013" spans="1:8" x14ac:dyDescent="0.15">
      <c r="A2013" s="21"/>
      <c r="B2013" s="21"/>
      <c r="G2013" s="21">
        <v>-0.1360469</v>
      </c>
      <c r="H2013" s="21">
        <v>0.1053028</v>
      </c>
    </row>
    <row r="2014" spans="1:8" x14ac:dyDescent="0.15">
      <c r="A2014" s="21"/>
      <c r="B2014" s="21"/>
      <c r="G2014" s="21">
        <v>-0.18708050000000001</v>
      </c>
      <c r="H2014" s="21">
        <v>0.14525579999999999</v>
      </c>
    </row>
    <row r="2015" spans="1:8" x14ac:dyDescent="0.15">
      <c r="A2015" s="21"/>
      <c r="B2015" s="21"/>
      <c r="G2015" s="21">
        <v>-0.23149910000000001</v>
      </c>
      <c r="H2015" s="21">
        <v>0.18019879999999999</v>
      </c>
    </row>
    <row r="2016" spans="1:8" x14ac:dyDescent="0.15">
      <c r="A2016" s="21"/>
      <c r="B2016" s="21"/>
      <c r="G2016" s="21">
        <v>-0.26857720000000002</v>
      </c>
      <c r="H2016" s="21">
        <v>0.20919090000000001</v>
      </c>
    </row>
    <row r="2017" spans="1:8" x14ac:dyDescent="0.15">
      <c r="A2017" s="21"/>
      <c r="B2017" s="21"/>
      <c r="G2017" s="21">
        <v>-0.29723119999999997</v>
      </c>
      <c r="H2017" s="21">
        <v>0.231349</v>
      </c>
    </row>
    <row r="2018" spans="1:8" x14ac:dyDescent="0.15">
      <c r="A2018" s="21"/>
      <c r="B2018" s="21"/>
      <c r="G2018" s="21">
        <v>-0.31533440000000001</v>
      </c>
      <c r="H2018" s="21">
        <v>0.2456373</v>
      </c>
    </row>
    <row r="2019" spans="1:8" x14ac:dyDescent="0.15">
      <c r="A2019" s="21"/>
      <c r="B2019" s="21"/>
      <c r="G2019" s="21">
        <v>-0.32290669999999999</v>
      </c>
      <c r="H2019" s="21">
        <v>0.25159219999999999</v>
      </c>
    </row>
    <row r="2020" spans="1:8" x14ac:dyDescent="0.15">
      <c r="A2020" s="21"/>
      <c r="B2020" s="21"/>
      <c r="G2020" s="21">
        <v>-0.32028790000000001</v>
      </c>
      <c r="H2020" s="21">
        <v>0.2494113</v>
      </c>
    </row>
    <row r="2021" spans="1:8" x14ac:dyDescent="0.15">
      <c r="A2021" s="21"/>
      <c r="B2021" s="21"/>
      <c r="G2021" s="21">
        <v>-0.30693280000000001</v>
      </c>
      <c r="H2021" s="21">
        <v>0.23885000000000001</v>
      </c>
    </row>
    <row r="2022" spans="1:8" x14ac:dyDescent="0.15">
      <c r="A2022" s="21"/>
      <c r="B2022" s="21"/>
      <c r="G2022" s="21">
        <v>-0.28305609999999998</v>
      </c>
      <c r="H2022" s="21">
        <v>0.2198658</v>
      </c>
    </row>
    <row r="2023" spans="1:8" x14ac:dyDescent="0.15">
      <c r="A2023" s="21"/>
      <c r="B2023" s="21"/>
      <c r="G2023" s="21">
        <v>-0.24904680000000001</v>
      </c>
      <c r="H2023" s="21">
        <v>0.19324569999999999</v>
      </c>
    </row>
    <row r="2024" spans="1:8" x14ac:dyDescent="0.15">
      <c r="A2024" s="21"/>
      <c r="B2024" s="21"/>
      <c r="G2024" s="21">
        <v>-0.2071143</v>
      </c>
      <c r="H2024" s="21">
        <v>0.1602526</v>
      </c>
    </row>
    <row r="2025" spans="1:8" x14ac:dyDescent="0.15">
      <c r="A2025" s="21"/>
      <c r="B2025" s="21"/>
      <c r="G2025" s="21">
        <v>-0.1585927</v>
      </c>
      <c r="H2025" s="21">
        <v>0.121991</v>
      </c>
    </row>
    <row r="2026" spans="1:8" x14ac:dyDescent="0.15">
      <c r="A2026" s="21"/>
      <c r="B2026" s="21"/>
      <c r="G2026" s="21">
        <v>-0.10398399999999999</v>
      </c>
      <c r="H2026" s="21">
        <v>7.9342250000000003E-2</v>
      </c>
    </row>
    <row r="2027" spans="1:8" x14ac:dyDescent="0.15">
      <c r="A2027" s="21"/>
      <c r="B2027" s="21"/>
      <c r="G2027" s="21">
        <v>-4.611697E-2</v>
      </c>
      <c r="H2027" s="21">
        <v>3.3823800000000001E-2</v>
      </c>
    </row>
    <row r="2028" spans="1:8" x14ac:dyDescent="0.15">
      <c r="A2028" s="21"/>
      <c r="B2028" s="21"/>
      <c r="G2028" s="21">
        <v>1.328755E-2</v>
      </c>
      <c r="H2028" s="21">
        <v>-1.295964E-2</v>
      </c>
    </row>
    <row r="2029" spans="1:8" x14ac:dyDescent="0.15">
      <c r="A2029" s="21"/>
      <c r="B2029" s="21"/>
      <c r="G2029" s="21">
        <v>7.232595E-2</v>
      </c>
      <c r="H2029" s="21">
        <v>-5.9273350000000002E-2</v>
      </c>
    </row>
    <row r="2030" spans="1:8" x14ac:dyDescent="0.15">
      <c r="A2030" s="21"/>
      <c r="B2030" s="21"/>
      <c r="G2030" s="21">
        <v>0.1279457</v>
      </c>
      <c r="H2030" s="21">
        <v>-0.1029429</v>
      </c>
    </row>
    <row r="2031" spans="1:8" x14ac:dyDescent="0.15">
      <c r="A2031" s="21"/>
      <c r="B2031" s="21"/>
      <c r="G2031" s="21">
        <v>0.17891389999999999</v>
      </c>
      <c r="H2031" s="21">
        <v>-0.1427881</v>
      </c>
    </row>
    <row r="2032" spans="1:8" x14ac:dyDescent="0.15">
      <c r="A2032" s="21"/>
      <c r="B2032" s="21"/>
      <c r="G2032" s="21">
        <v>0.22423070000000001</v>
      </c>
      <c r="H2032" s="21">
        <v>-0.17822859999999999</v>
      </c>
    </row>
    <row r="2033" spans="1:8" x14ac:dyDescent="0.15">
      <c r="A2033" s="21"/>
      <c r="B2033" s="21"/>
      <c r="G2033" s="21">
        <v>0.26213019999999998</v>
      </c>
      <c r="H2033" s="21">
        <v>-0.20797089999999999</v>
      </c>
    </row>
    <row r="2034" spans="1:8" x14ac:dyDescent="0.15">
      <c r="A2034" s="21"/>
      <c r="B2034" s="21"/>
      <c r="G2034" s="21">
        <v>0.29102440000000002</v>
      </c>
      <c r="H2034" s="21">
        <v>-0.23055580000000001</v>
      </c>
    </row>
    <row r="2035" spans="1:8" x14ac:dyDescent="0.15">
      <c r="A2035" s="21"/>
      <c r="B2035" s="21"/>
      <c r="G2035" s="21">
        <v>0.30964979999999998</v>
      </c>
      <c r="H2035" s="21">
        <v>-0.2450552</v>
      </c>
    </row>
    <row r="2036" spans="1:8" x14ac:dyDescent="0.15">
      <c r="A2036" s="21"/>
      <c r="B2036" s="21"/>
      <c r="G2036" s="21">
        <v>0.31815900000000003</v>
      </c>
      <c r="H2036" s="21">
        <v>-0.25147799999999998</v>
      </c>
    </row>
    <row r="2037" spans="1:8" x14ac:dyDescent="0.15">
      <c r="A2037" s="21"/>
      <c r="B2037" s="21"/>
      <c r="G2037" s="21">
        <v>0.3165963</v>
      </c>
      <c r="H2037" s="21">
        <v>-0.24996779999999999</v>
      </c>
    </row>
    <row r="2038" spans="1:8" x14ac:dyDescent="0.15">
      <c r="A2038" s="21"/>
      <c r="B2038" s="21"/>
      <c r="G2038" s="21">
        <v>0.3034307</v>
      </c>
      <c r="H2038" s="21">
        <v>-0.23973720000000001</v>
      </c>
    </row>
    <row r="2039" spans="1:8" x14ac:dyDescent="0.15">
      <c r="A2039" s="21"/>
      <c r="B2039" s="21"/>
      <c r="G2039" s="21">
        <v>0.27972560000000002</v>
      </c>
      <c r="H2039" s="21">
        <v>-0.2211505</v>
      </c>
    </row>
    <row r="2040" spans="1:8" x14ac:dyDescent="0.15">
      <c r="A2040" s="21"/>
      <c r="B2040" s="21"/>
      <c r="G2040" s="21">
        <v>0.24746380000000001</v>
      </c>
      <c r="H2040" s="21">
        <v>-0.1955691</v>
      </c>
    </row>
    <row r="2041" spans="1:8" x14ac:dyDescent="0.15">
      <c r="A2041" s="21"/>
      <c r="B2041" s="21"/>
      <c r="G2041" s="21">
        <v>0.20618130000000001</v>
      </c>
      <c r="H2041" s="21">
        <v>-0.1631898</v>
      </c>
    </row>
    <row r="2042" spans="1:8" x14ac:dyDescent="0.15">
      <c r="A2042" s="21"/>
      <c r="B2042" s="21"/>
      <c r="G2042" s="21">
        <v>0.1574565</v>
      </c>
      <c r="H2042" s="21">
        <v>-0.124977</v>
      </c>
    </row>
    <row r="2043" spans="1:8" x14ac:dyDescent="0.15">
      <c r="A2043" s="21"/>
      <c r="B2043" s="21"/>
      <c r="G2043" s="21">
        <v>0.1035959</v>
      </c>
      <c r="H2043" s="21">
        <v>-8.2691799999999996E-2</v>
      </c>
    </row>
    <row r="2044" spans="1:8" x14ac:dyDescent="0.15">
      <c r="A2044" s="21"/>
      <c r="B2044" s="21"/>
      <c r="G2044" s="21">
        <v>4.5673430000000001E-2</v>
      </c>
      <c r="H2044" s="21">
        <v>-3.7313609999999997E-2</v>
      </c>
    </row>
    <row r="2045" spans="1:8" x14ac:dyDescent="0.15">
      <c r="A2045" s="21"/>
      <c r="B2045" s="21"/>
      <c r="G2045" s="21">
        <v>-1.392384E-2</v>
      </c>
      <c r="H2045" s="21">
        <v>9.6243990000000005E-3</v>
      </c>
    </row>
    <row r="2046" spans="1:8" x14ac:dyDescent="0.15">
      <c r="A2046" s="21"/>
      <c r="B2046" s="21"/>
      <c r="G2046" s="21">
        <v>-7.2963399999999998E-2</v>
      </c>
      <c r="H2046" s="21">
        <v>5.596226E-2</v>
      </c>
    </row>
    <row r="2047" spans="1:8" x14ac:dyDescent="0.15">
      <c r="A2047" s="21"/>
      <c r="B2047" s="21"/>
      <c r="G2047" s="21">
        <v>-0.1289169</v>
      </c>
      <c r="H2047" s="21">
        <v>9.9760370000000001E-2</v>
      </c>
    </row>
    <row r="2048" spans="1:8" x14ac:dyDescent="0.15">
      <c r="A2048" s="21"/>
      <c r="B2048" s="21"/>
      <c r="G2048" s="21">
        <v>-0.18002960000000001</v>
      </c>
      <c r="H2048" s="21">
        <v>0.1398633</v>
      </c>
    </row>
    <row r="2049" spans="1:8" x14ac:dyDescent="0.15">
      <c r="A2049" s="21"/>
      <c r="B2049" s="21"/>
      <c r="G2049" s="21">
        <v>-0.22632070000000001</v>
      </c>
      <c r="H2049" s="21">
        <v>0.17584040000000001</v>
      </c>
    </row>
    <row r="2050" spans="1:8" x14ac:dyDescent="0.15">
      <c r="D2050">
        <f t="shared" ref="D2050" si="64">G2050*-1000/3.18</f>
        <v>0</v>
      </c>
    </row>
  </sheetData>
  <phoneticPr fontId="1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F2451E0501</cp:lastModifiedBy>
  <dcterms:created xsi:type="dcterms:W3CDTF">2026-05-16T13:35:05Z</dcterms:created>
  <dcterms:modified xsi:type="dcterms:W3CDTF">2026-09-25T13:13:58Z</dcterms:modified>
</cp:coreProperties>
</file>