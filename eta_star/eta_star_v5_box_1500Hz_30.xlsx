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Box\Personal\01_Study\03_Paper\02_2nd paper\Experiment\01_Ediss_Powder_Damper_test\Box\"/>
    </mc:Choice>
  </mc:AlternateContent>
  <xr:revisionPtr revIDLastSave="0" documentId="13_ncr:1_{E527BD3A-5A9C-4553-BA6D-73E74F18E6DE}" xr6:coauthVersionLast="47" xr6:coauthVersionMax="47" xr10:uidLastSave="{00000000-0000-0000-0000-000000000000}"/>
  <bookViews>
    <workbookView xWindow="1080" yWindow="1080" windowWidth="21600" windowHeight="11295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<sst xmlns="http://schemas.openxmlformats.org/spreadsheetml/2006/main" count="123" uniqueCount="69">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</sst>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E+00"/>
    <numFmt numFmtId="178" formatCode="0.0000"/>
    <numFmt numFmtId="179" formatCode="0.00000"/>
  </numFmts>
  <fonts count="13" x14ac:knownFonts="1">
    <font>
      <sz val="11"/>
      <color theme="1"/>
      <name val="ＭＳ Ｐゴシック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7" fillId="0" borderId="0" xfId="0" applyFont="1"/>
    <xf numFmtId="176" fontId="8" fillId="7" borderId="0" xfId="0" applyNumberFormat="1" applyFont="1" applyFill="1" applyAlignment="1">
      <alignment horizontal="center" vertical="center"/>
    </xf>
    <xf numFmtId="177" fontId="3" fillId="0" borderId="0" xfId="0" applyNumberFormat="1" applyFont="1"/>
    <xf numFmtId="176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1" fontId="0" fillId="0" borderId="0" xfId="0" applyNumberFormat="1"/>
    <xf numFmtId="0" fontId="1" fillId="8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3.5" x14ac:dyDescent="0.1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15">
      <c r="A1" s="26" t="s">
        <v>0</v>
      </c>
      <c r="B1" s="23"/>
      <c r="C1" s="23"/>
      <c r="D1" s="23"/>
      <c r="E1" s="23"/>
      <c r="F1" s="23"/>
      <c r="G1" s="23"/>
      <c r="H1" s="23"/>
    </row>
    <row r="3" spans="1:8" ht="15" x14ac:dyDescent="0.25">
      <c r="A3" s="1" t="s">
        <v>1</v>
      </c>
    </row>
    <row r="4" spans="1:8" ht="14.25" x14ac:dyDescent="0.2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ht="14.25" x14ac:dyDescent="0.2">
      <c r="A5" s="2" t="s">
        <v>5</v>
      </c>
      <c r="B5" s="5">
        <f>COUNT(TimeData!A2:A100000)</f>
        <v>2000</v>
      </c>
      <c r="C5" s="2" t="s">
        <v>6</v>
      </c>
    </row>
    <row r="6" spans="1:8" ht="14.25" x14ac:dyDescent="0.2">
      <c r="A6" s="2" t="s">
        <v>7</v>
      </c>
      <c r="B6" s="6">
        <v>50</v>
      </c>
      <c r="C6" s="2" t="s">
        <v>3</v>
      </c>
      <c r="D6" s="4" t="s">
        <v>8</v>
      </c>
    </row>
    <row r="7" spans="1:8" ht="14.25" x14ac:dyDescent="0.2">
      <c r="A7" s="2" t="s">
        <v>9</v>
      </c>
      <c r="B7" s="6">
        <v>1.61</v>
      </c>
      <c r="C7" s="2" t="s">
        <v>10</v>
      </c>
      <c r="D7" s="4" t="s">
        <v>11</v>
      </c>
    </row>
    <row r="8" spans="1:8" ht="14.25" x14ac:dyDescent="0.2">
      <c r="A8" s="2" t="s">
        <v>12</v>
      </c>
      <c r="B8" s="6">
        <v>2.1</v>
      </c>
      <c r="C8" s="2" t="s">
        <v>10</v>
      </c>
      <c r="D8" s="4" t="s">
        <v>13</v>
      </c>
    </row>
    <row r="9" spans="1:8" ht="14.25" x14ac:dyDescent="0.2">
      <c r="A9" s="2" t="s">
        <v>14</v>
      </c>
      <c r="B9" s="7">
        <f>B7+B8</f>
        <v>3.71</v>
      </c>
      <c r="C9" s="2" t="s">
        <v>10</v>
      </c>
    </row>
    <row r="10" spans="1:8" ht="14.25" x14ac:dyDescent="0.2">
      <c r="A10" s="2" t="s">
        <v>15</v>
      </c>
      <c r="B10" s="8">
        <f>2*PI()*B6</f>
        <v>314.15926535897933</v>
      </c>
      <c r="C10" s="2" t="s">
        <v>16</v>
      </c>
    </row>
    <row r="12" spans="1:8" ht="15" x14ac:dyDescent="0.25">
      <c r="A12" s="1" t="s">
        <v>17</v>
      </c>
    </row>
    <row r="13" spans="1:8" ht="14.25" x14ac:dyDescent="0.2">
      <c r="A13" s="25" t="s">
        <v>18</v>
      </c>
      <c r="B13" s="23"/>
      <c r="C13" s="23"/>
      <c r="D13" s="23"/>
      <c r="E13" s="23"/>
      <c r="F13" s="23"/>
      <c r="G13" s="23"/>
      <c r="H13" s="23"/>
    </row>
    <row r="14" spans="1:8" ht="14.25" x14ac:dyDescent="0.2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ht="14.25" x14ac:dyDescent="0.2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ht="14.25" x14ac:dyDescent="0.2">
      <c r="A16" s="25" t="s">
        <v>21</v>
      </c>
      <c r="B16" s="23"/>
      <c r="C16" s="23"/>
      <c r="D16" s="23"/>
      <c r="E16" s="23"/>
      <c r="F16" s="23"/>
      <c r="G16" s="23"/>
      <c r="H16" s="23"/>
    </row>
    <row r="18" spans="1:8" ht="15" x14ac:dyDescent="0.25">
      <c r="A18" s="1" t="s">
        <v>22</v>
      </c>
    </row>
    <row r="19" spans="1:8" ht="14.25" x14ac:dyDescent="0.2">
      <c r="A19" s="24" t="s">
        <v>23</v>
      </c>
      <c r="B19" s="23"/>
      <c r="C19" s="23"/>
      <c r="D19" s="23"/>
      <c r="E19" s="23"/>
      <c r="F19" s="23"/>
      <c r="G19" s="23"/>
      <c r="H19" s="23"/>
    </row>
    <row r="20" spans="1:8" ht="14.25" x14ac:dyDescent="0.2">
      <c r="A20" s="24" t="s">
        <v>24</v>
      </c>
      <c r="B20" s="23"/>
      <c r="C20" s="23"/>
      <c r="D20" s="23"/>
      <c r="E20" s="23"/>
      <c r="F20" s="23"/>
      <c r="G20" s="23"/>
      <c r="H20" s="23"/>
    </row>
    <row r="21" spans="1:8" ht="14.25" x14ac:dyDescent="0.2">
      <c r="A21" s="24" t="s">
        <v>25</v>
      </c>
      <c r="B21" s="23"/>
      <c r="C21" s="23"/>
      <c r="D21" s="23"/>
      <c r="E21" s="23"/>
      <c r="F21" s="23"/>
      <c r="G21" s="23"/>
      <c r="H21" s="23"/>
    </row>
    <row r="22" spans="1:8" ht="14.25" x14ac:dyDescent="0.2">
      <c r="A22" s="24" t="s">
        <v>26</v>
      </c>
      <c r="B22" s="23"/>
      <c r="C22" s="23"/>
      <c r="D22" s="23"/>
      <c r="E22" s="23"/>
      <c r="F22" s="23"/>
      <c r="G22" s="23"/>
      <c r="H22" s="23"/>
    </row>
    <row r="27" spans="1:8" ht="15" x14ac:dyDescent="0.25">
      <c r="A27" s="1" t="s">
        <v>27</v>
      </c>
    </row>
    <row r="28" spans="1:8" ht="15" x14ac:dyDescent="0.15">
      <c r="A28" s="9" t="s">
        <v>28</v>
      </c>
      <c r="B28" s="9" t="s">
        <v>29</v>
      </c>
      <c r="C28" s="9" t="s">
        <v>30</v>
      </c>
      <c r="D28" s="9" t="s">
        <v>31</v>
      </c>
    </row>
    <row r="29" spans="1:8" ht="14.25" x14ac:dyDescent="0.2">
      <c r="A29" s="2" t="s">
        <v>32</v>
      </c>
      <c r="B29" s="10">
        <f>SUMPRODUCT(TimeData!C2:C100000, COS(2*PI()*$B$6*TimeData!A2:A100000))</f>
        <v>0</v>
      </c>
      <c r="C29" s="2"/>
    </row>
    <row r="30" spans="1:8" ht="14.25" x14ac:dyDescent="0.2">
      <c r="A30" s="2" t="s">
        <v>33</v>
      </c>
      <c r="B30" s="10">
        <f>-SUMPRODUCT(TimeData!C2:C100000, SIN(2*PI()*$B$6*TimeData!A2:A100000))</f>
        <v>0</v>
      </c>
      <c r="C30" s="2"/>
    </row>
    <row r="31" spans="1:8" ht="14.25" x14ac:dyDescent="0.2">
      <c r="A31" s="2" t="s">
        <v>34</v>
      </c>
      <c r="B31" s="10">
        <f>SUMPRODUCT(TimeData!B2:B100000, COS(2*PI()*$B$6*TimeData!A2:A100000))</f>
        <v>-4.549646820398193</v>
      </c>
      <c r="C31" s="2"/>
    </row>
    <row r="32" spans="1:8" ht="14.25" x14ac:dyDescent="0.2">
      <c r="A32" s="2" t="s">
        <v>35</v>
      </c>
      <c r="B32" s="10">
        <f>-SUMPRODUCT(TimeData!B2:B100000, SIN(2*PI()*$B$6*TimeData!A2:A100000))</f>
        <v>-0.67834931303074208</v>
      </c>
      <c r="C32" s="2"/>
    </row>
    <row r="33" spans="1:4" ht="14.25" x14ac:dyDescent="0.2">
      <c r="A33" s="2" t="s">
        <v>36</v>
      </c>
      <c r="B33" s="10">
        <f>-(B10^2)*B29/1000</f>
        <v>0</v>
      </c>
      <c r="C33" s="2"/>
    </row>
    <row r="34" spans="1:4" ht="14.25" x14ac:dyDescent="0.2">
      <c r="A34" s="2" t="s">
        <v>37</v>
      </c>
      <c r="B34" s="10">
        <f>-(B10^2)*B30/1000</f>
        <v>0</v>
      </c>
      <c r="C34" s="2"/>
    </row>
    <row r="35" spans="1:4" ht="14.25" x14ac:dyDescent="0.2">
      <c r="A35" s="2" t="s">
        <v>38</v>
      </c>
      <c r="B35" s="10">
        <f>B33^2+B34^2</f>
        <v>0</v>
      </c>
      <c r="C35" s="2"/>
    </row>
    <row r="36" spans="1:4" ht="14.25" x14ac:dyDescent="0.2">
      <c r="A36" s="2" t="s">
        <v>39</v>
      </c>
      <c r="B36" s="10">
        <f>B33*B31+B34*B32</f>
        <v>0</v>
      </c>
      <c r="C36" s="2"/>
    </row>
    <row r="37" spans="1:4" ht="14.25" x14ac:dyDescent="0.2">
      <c r="A37" s="2" t="s">
        <v>40</v>
      </c>
      <c r="B37" s="10">
        <f>B33*B32-B34*B31</f>
        <v>0</v>
      </c>
      <c r="C37" s="2"/>
    </row>
    <row r="38" spans="1:4" ht="14.25" x14ac:dyDescent="0.2">
      <c r="A38" s="2" t="s">
        <v>41</v>
      </c>
      <c r="B38" s="11">
        <f>2*SQRT(B29^2+B30^2)/B5</f>
        <v>0</v>
      </c>
      <c r="C38" s="2" t="s">
        <v>42</v>
      </c>
    </row>
    <row r="39" spans="1:4" ht="14.25" x14ac:dyDescent="0.2">
      <c r="A39" s="2" t="s">
        <v>43</v>
      </c>
      <c r="B39" s="12">
        <f>2*SQRT(B35)/B5</f>
        <v>0</v>
      </c>
      <c r="C39" s="2" t="s">
        <v>44</v>
      </c>
    </row>
    <row r="40" spans="1:4" ht="14.25" x14ac:dyDescent="0.2">
      <c r="A40" s="2" t="s">
        <v>45</v>
      </c>
      <c r="B40" s="13">
        <f>B39/B10</f>
        <v>0</v>
      </c>
      <c r="C40" s="2" t="s">
        <v>46</v>
      </c>
    </row>
    <row r="41" spans="1:4" ht="18" x14ac:dyDescent="0.2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ht="14.25" x14ac:dyDescent="0.2">
      <c r="A42" s="2" t="s">
        <v>50</v>
      </c>
      <c r="B42" s="16">
        <f>-B37/(PI()*B6^2*B5^2)</f>
        <v>0</v>
      </c>
      <c r="C42" s="2" t="s">
        <v>51</v>
      </c>
    </row>
    <row r="43" spans="1:4" ht="14.25" x14ac:dyDescent="0.2">
      <c r="A43" s="2" t="s">
        <v>52</v>
      </c>
      <c r="B43" s="16">
        <f>0.5*(B9/1000)*B40^2</f>
        <v>0</v>
      </c>
      <c r="C43" s="2" t="s">
        <v>51</v>
      </c>
    </row>
    <row r="44" spans="1:4" ht="14.25" x14ac:dyDescent="0.2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honeticPr fontId="1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8" sqref="D8"/>
    </sheetView>
  </sheetViews>
  <sheetFormatPr defaultRowHeight="13.5" x14ac:dyDescent="0.1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15">
      <c r="A1" s="22" t="s">
        <v>55</v>
      </c>
      <c r="B1" s="23"/>
      <c r="C1" s="23"/>
      <c r="D1" s="23"/>
      <c r="E1" s="23"/>
      <c r="F1" s="23"/>
      <c r="G1" s="23"/>
      <c r="H1" s="23"/>
    </row>
    <row r="3" spans="1:8" ht="15" x14ac:dyDescent="0.25">
      <c r="A3" s="1" t="s">
        <v>1</v>
      </c>
    </row>
    <row r="4" spans="1:8" ht="14.25" x14ac:dyDescent="0.2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ht="14.25" x14ac:dyDescent="0.2">
      <c r="A5" s="2" t="s">
        <v>5</v>
      </c>
      <c r="B5" s="5">
        <f>COUNT(TimeData!A2:A100000)</f>
        <v>2000</v>
      </c>
      <c r="C5" s="2" t="s">
        <v>6</v>
      </c>
    </row>
    <row r="6" spans="1:8" ht="14.25" x14ac:dyDescent="0.2">
      <c r="A6" s="2" t="s">
        <v>7</v>
      </c>
      <c r="B6" s="6">
        <v>1500</v>
      </c>
      <c r="C6" s="2" t="s">
        <v>3</v>
      </c>
      <c r="D6" s="4" t="s">
        <v>8</v>
      </c>
    </row>
    <row r="7" spans="1:8" ht="14.25" x14ac:dyDescent="0.2">
      <c r="A7" s="2" t="s">
        <v>9</v>
      </c>
      <c r="B7" s="6">
        <v>0</v>
      </c>
      <c r="C7" s="2" t="s">
        <v>10</v>
      </c>
      <c r="D7" s="4" t="s">
        <v>11</v>
      </c>
    </row>
    <row r="8" spans="1:8" ht="14.25" x14ac:dyDescent="0.2">
      <c r="A8" s="2" t="s">
        <v>12</v>
      </c>
      <c r="B8" s="6">
        <v>0.88</v>
      </c>
      <c r="C8" s="2" t="s">
        <v>10</v>
      </c>
      <c r="D8" s="4" t="s">
        <v>13</v>
      </c>
    </row>
    <row r="9" spans="1:8" ht="14.25" x14ac:dyDescent="0.2">
      <c r="A9" s="2" t="s">
        <v>14</v>
      </c>
      <c r="B9" s="7">
        <f>B7+B8</f>
        <v>0.88</v>
      </c>
      <c r="C9" s="2" t="s">
        <v>10</v>
      </c>
    </row>
    <row r="10" spans="1:8" ht="14.25" x14ac:dyDescent="0.2">
      <c r="A10" s="2" t="s">
        <v>15</v>
      </c>
      <c r="B10" s="8">
        <f>2*PI()*B6</f>
        <v>9424.7779607693792</v>
      </c>
      <c r="C10" s="2" t="s">
        <v>16</v>
      </c>
    </row>
    <row r="12" spans="1:8" ht="15" x14ac:dyDescent="0.25">
      <c r="A12" s="1" t="s">
        <v>17</v>
      </c>
    </row>
    <row r="13" spans="1:8" ht="14.25" x14ac:dyDescent="0.2">
      <c r="A13" s="25" t="s">
        <v>56</v>
      </c>
      <c r="B13" s="23"/>
      <c r="C13" s="23"/>
      <c r="D13" s="23"/>
      <c r="E13" s="23"/>
      <c r="F13" s="23"/>
      <c r="G13" s="23"/>
      <c r="H13" s="23"/>
    </row>
    <row r="14" spans="1:8" ht="14.25" x14ac:dyDescent="0.2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ht="14.25" x14ac:dyDescent="0.2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ht="14.25" x14ac:dyDescent="0.2">
      <c r="A16" s="25" t="s">
        <v>57</v>
      </c>
      <c r="B16" s="23"/>
      <c r="C16" s="23"/>
      <c r="D16" s="23"/>
      <c r="E16" s="23"/>
      <c r="F16" s="23"/>
      <c r="G16" s="23"/>
      <c r="H16" s="23"/>
    </row>
    <row r="18" spans="1:8" ht="15" x14ac:dyDescent="0.25">
      <c r="A18" s="1" t="s">
        <v>22</v>
      </c>
    </row>
    <row r="19" spans="1:8" ht="14.25" x14ac:dyDescent="0.2">
      <c r="A19" s="24" t="s">
        <v>58</v>
      </c>
      <c r="B19" s="23"/>
      <c r="C19" s="23"/>
      <c r="D19" s="23"/>
      <c r="E19" s="23"/>
      <c r="F19" s="23"/>
      <c r="G19" s="23"/>
      <c r="H19" s="23"/>
    </row>
    <row r="20" spans="1:8" ht="14.25" x14ac:dyDescent="0.2">
      <c r="A20" s="24" t="s">
        <v>25</v>
      </c>
      <c r="B20" s="23"/>
      <c r="C20" s="23"/>
      <c r="D20" s="23"/>
      <c r="E20" s="23"/>
      <c r="F20" s="23"/>
      <c r="G20" s="23"/>
      <c r="H20" s="23"/>
    </row>
    <row r="21" spans="1:8" ht="14.25" x14ac:dyDescent="0.2">
      <c r="A21" s="24" t="s">
        <v>26</v>
      </c>
      <c r="B21" s="23"/>
      <c r="C21" s="23"/>
      <c r="D21" s="23"/>
      <c r="E21" s="23"/>
      <c r="F21" s="23"/>
      <c r="G21" s="23"/>
      <c r="H21" s="23"/>
    </row>
    <row r="27" spans="1:8" ht="15" x14ac:dyDescent="0.25">
      <c r="A27" s="1" t="s">
        <v>27</v>
      </c>
    </row>
    <row r="28" spans="1:8" ht="15" x14ac:dyDescent="0.15">
      <c r="A28" s="9" t="s">
        <v>28</v>
      </c>
      <c r="B28" s="9" t="s">
        <v>29</v>
      </c>
      <c r="C28" s="9" t="s">
        <v>30</v>
      </c>
      <c r="D28" s="9" t="s">
        <v>31</v>
      </c>
    </row>
    <row r="29" spans="1:8" ht="14.25" x14ac:dyDescent="0.2">
      <c r="A29" s="2" t="s">
        <v>34</v>
      </c>
      <c r="B29" s="10">
        <f>SUMPRODUCT(TimeData!B2:B100000, COS(2*PI()*$B$6*TimeData!A2:A100000))</f>
        <v>-471.90677657944161</v>
      </c>
      <c r="C29" s="2"/>
    </row>
    <row r="30" spans="1:8" ht="14.25" x14ac:dyDescent="0.2">
      <c r="A30" s="2" t="s">
        <v>35</v>
      </c>
      <c r="B30" s="10">
        <f>-SUMPRODUCT(TimeData!B2:B100000, SIN(2*PI()*$B$6*TimeData!A2:A100000))</f>
        <v>563.43967618438865</v>
      </c>
      <c r="C30" s="2"/>
    </row>
    <row r="31" spans="1:8" ht="14.25" x14ac:dyDescent="0.2">
      <c r="A31" s="2" t="s">
        <v>59</v>
      </c>
      <c r="B31" s="10">
        <f>SUMPRODUCT(TimeData!D2:D100000, COS(2*PI()*$B$6*TimeData!A2:A100000))</f>
        <v>-188560.35588205236</v>
      </c>
      <c r="C31" s="2"/>
    </row>
    <row r="32" spans="1:8" ht="14.25" x14ac:dyDescent="0.2">
      <c r="A32" s="2" t="s">
        <v>60</v>
      </c>
      <c r="B32" s="10">
        <f>-SUMPRODUCT(TimeData!D2:D100000, SIN(2*PI()*$B$6*TimeData!A2:A100000))</f>
        <v>226282.23668650724</v>
      </c>
      <c r="C32" s="2"/>
    </row>
    <row r="33" spans="1:4" ht="14.25" x14ac:dyDescent="0.2">
      <c r="A33" s="2" t="s">
        <v>38</v>
      </c>
      <c r="B33" s="10">
        <f>B31^2+B32^2</f>
        <v>86758658450.214722</v>
      </c>
      <c r="C33" s="2"/>
    </row>
    <row r="34" spans="1:4" ht="14.25" x14ac:dyDescent="0.2">
      <c r="A34" s="2" t="s">
        <v>39</v>
      </c>
      <c r="B34" s="10">
        <f>B31*B29+B32*B30</f>
        <v>216479299.8998965</v>
      </c>
      <c r="C34" s="2"/>
    </row>
    <row r="35" spans="1:4" ht="14.25" x14ac:dyDescent="0.2">
      <c r="A35" s="2" t="s">
        <v>40</v>
      </c>
      <c r="B35" s="10">
        <f>B31*B30-B32*B29</f>
        <v>541735.05251923203</v>
      </c>
      <c r="C35" s="2"/>
    </row>
    <row r="36" spans="1:4" ht="14.25" x14ac:dyDescent="0.2">
      <c r="A36" s="2" t="s">
        <v>43</v>
      </c>
      <c r="B36" s="12">
        <f>2*SQRT(B33)/B5</f>
        <v>294.54822771528387</v>
      </c>
      <c r="C36" s="2" t="s">
        <v>44</v>
      </c>
    </row>
    <row r="37" spans="1:4" ht="14.25" x14ac:dyDescent="0.2">
      <c r="A37" s="2" t="s">
        <v>45</v>
      </c>
      <c r="B37" s="13">
        <f>B36/B10</f>
        <v>3.1252537613229756E-2</v>
      </c>
      <c r="C37" s="2" t="s">
        <v>46</v>
      </c>
    </row>
    <row r="38" spans="1:4" ht="18" x14ac:dyDescent="0.25">
      <c r="A38" s="14" t="s">
        <v>47</v>
      </c>
      <c r="B38" s="15">
        <f>-2*PI()*B35/((B9/1000)*B33)</f>
        <v>-4.4583207014305161E-2</v>
      </c>
      <c r="C38" s="2" t="s">
        <v>48</v>
      </c>
      <c r="D38" s="2" t="s">
        <v>49</v>
      </c>
    </row>
    <row r="39" spans="1:4" ht="14.25" x14ac:dyDescent="0.2">
      <c r="A39" s="2" t="s">
        <v>50</v>
      </c>
      <c r="B39" s="16">
        <f>-B35/(PI()*B6^2*B5^2)</f>
        <v>-1.9159958101018513E-8</v>
      </c>
      <c r="C39" s="2" t="s">
        <v>51</v>
      </c>
    </row>
    <row r="40" spans="1:4" ht="14.25" x14ac:dyDescent="0.2">
      <c r="A40" s="2" t="s">
        <v>52</v>
      </c>
      <c r="B40" s="16">
        <f>0.5*(B9/1000)*B37^2</f>
        <v>4.2975728719718986E-7</v>
      </c>
      <c r="C40" s="2" t="s">
        <v>51</v>
      </c>
    </row>
    <row r="41" spans="1:4" ht="14.25" x14ac:dyDescent="0.2">
      <c r="A41" s="2" t="s">
        <v>53</v>
      </c>
      <c r="B41" s="17">
        <f>B39/B40</f>
        <v>-4.4583207014305161E-2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honeticPr fontId="1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3.5" x14ac:dyDescent="0.15"/>
  <cols>
    <col min="1" max="2" width="14" customWidth="1"/>
    <col min="3" max="4" width="22" customWidth="1"/>
    <col min="6" max="6" width="50" customWidth="1"/>
  </cols>
  <sheetData>
    <row r="1" spans="1:8" ht="15" x14ac:dyDescent="0.15">
      <c r="A1" s="9" t="s">
        <v>61</v>
      </c>
      <c r="B1" s="9" t="s">
        <v>62</v>
      </c>
      <c r="C1" s="9" t="s">
        <v>63</v>
      </c>
      <c r="D1" s="9" t="s">
        <v>64</v>
      </c>
    </row>
    <row r="2" spans="1:8" ht="14.25" x14ac:dyDescent="0.2">
      <c r="A2" s="21">
        <v>0</v>
      </c>
      <c r="B2" s="21">
        <f>H2</f>
        <v>-0.46603220000000001</v>
      </c>
      <c r="D2">
        <f>G2*-1000/3.18</f>
        <v>-185.71792452830186</v>
      </c>
      <c r="F2" s="18" t="s">
        <v>65</v>
      </c>
      <c r="G2" s="21">
        <v>0.59058299999999997</v>
      </c>
      <c r="H2" s="21">
        <v>-0.46603220000000001</v>
      </c>
    </row>
    <row r="3" spans="1:8" ht="14.25" x14ac:dyDescent="0.2">
      <c r="A3" s="21">
        <v>1.953125E-5</v>
      </c>
      <c r="B3" s="21">
        <f t="shared" ref="B3:B66" si="0">H3</f>
        <v>-0.56192589999999998</v>
      </c>
      <c r="D3">
        <f t="shared" ref="D3:D66" si="1">G3*-1000/3.18</f>
        <v>-224.04003144654089</v>
      </c>
      <c r="F3" s="19" t="s">
        <v>66</v>
      </c>
      <c r="G3" s="21">
        <v>0.71244730000000001</v>
      </c>
      <c r="H3" s="21">
        <v>-0.56192589999999998</v>
      </c>
    </row>
    <row r="4" spans="1:8" ht="14.25" x14ac:dyDescent="0.2">
      <c r="A4" s="21">
        <v>3.9062500000000001E-5</v>
      </c>
      <c r="B4" s="21">
        <f t="shared" si="0"/>
        <v>-0.63883570000000001</v>
      </c>
      <c r="D4">
        <f t="shared" si="1"/>
        <v>-254.77676100628929</v>
      </c>
      <c r="F4" s="20" t="s">
        <v>67</v>
      </c>
      <c r="G4" s="21">
        <v>0.81019010000000002</v>
      </c>
      <c r="H4" s="21">
        <v>-0.63883570000000001</v>
      </c>
    </row>
    <row r="5" spans="1:8" ht="14.25" x14ac:dyDescent="0.2">
      <c r="A5" s="21">
        <v>5.8593749999999998E-5</v>
      </c>
      <c r="B5" s="21">
        <f t="shared" si="0"/>
        <v>-0.69368249999999998</v>
      </c>
      <c r="D5">
        <f t="shared" si="1"/>
        <v>-276.92902515723267</v>
      </c>
      <c r="F5" s="4" t="s">
        <v>68</v>
      </c>
      <c r="G5" s="21">
        <v>0.88063429999999998</v>
      </c>
      <c r="H5" s="21">
        <v>-0.69368249999999998</v>
      </c>
    </row>
    <row r="6" spans="1:8" x14ac:dyDescent="0.15">
      <c r="A6" s="21">
        <v>7.8125000000000002E-5</v>
      </c>
      <c r="B6" s="21">
        <f t="shared" si="0"/>
        <v>-0.72576779999999996</v>
      </c>
      <c r="D6">
        <f t="shared" si="1"/>
        <v>-290.10352201257859</v>
      </c>
      <c r="G6" s="21">
        <v>0.92252920000000005</v>
      </c>
      <c r="H6" s="21">
        <v>-0.72576779999999996</v>
      </c>
    </row>
    <row r="7" spans="1:8" x14ac:dyDescent="0.15">
      <c r="A7" s="21">
        <v>9.7656250000000005E-5</v>
      </c>
      <c r="B7" s="21">
        <f t="shared" si="0"/>
        <v>-0.73338029999999998</v>
      </c>
      <c r="D7">
        <f t="shared" si="1"/>
        <v>-293.30707547169811</v>
      </c>
      <c r="G7" s="21">
        <v>0.93271649999999995</v>
      </c>
      <c r="H7" s="21">
        <v>-0.73338029999999998</v>
      </c>
    </row>
    <row r="8" spans="1:8" x14ac:dyDescent="0.15">
      <c r="A8" s="21">
        <v>1.171875E-4</v>
      </c>
      <c r="B8" s="21">
        <f t="shared" si="0"/>
        <v>-0.71578960000000003</v>
      </c>
      <c r="D8">
        <f t="shared" si="1"/>
        <v>-286.30811320754719</v>
      </c>
      <c r="G8" s="21">
        <v>0.91045980000000004</v>
      </c>
      <c r="H8" s="21">
        <v>-0.71578960000000003</v>
      </c>
    </row>
    <row r="9" spans="1:8" x14ac:dyDescent="0.15">
      <c r="A9" s="21">
        <v>1.367188E-4</v>
      </c>
      <c r="B9" s="21">
        <f t="shared" si="0"/>
        <v>-0.67549459999999995</v>
      </c>
      <c r="D9">
        <f t="shared" si="1"/>
        <v>-270.52987421383648</v>
      </c>
      <c r="G9" s="21">
        <v>0.86028499999999997</v>
      </c>
      <c r="H9" s="21">
        <v>-0.67549459999999995</v>
      </c>
    </row>
    <row r="10" spans="1:8" x14ac:dyDescent="0.15">
      <c r="A10" s="21">
        <v>1.5625E-4</v>
      </c>
      <c r="B10" s="21">
        <f t="shared" si="0"/>
        <v>-0.61201349999999999</v>
      </c>
      <c r="D10">
        <f t="shared" si="1"/>
        <v>-245.33301886792452</v>
      </c>
      <c r="G10" s="21">
        <v>0.78015900000000005</v>
      </c>
      <c r="H10" s="21">
        <v>-0.61201349999999999</v>
      </c>
    </row>
    <row r="11" spans="1:8" x14ac:dyDescent="0.15">
      <c r="A11" s="21">
        <v>1.757812E-4</v>
      </c>
      <c r="B11" s="21">
        <f t="shared" si="0"/>
        <v>-0.52563519999999997</v>
      </c>
      <c r="D11">
        <f t="shared" si="1"/>
        <v>-210.6805031446541</v>
      </c>
      <c r="G11" s="21">
        <v>0.669964</v>
      </c>
      <c r="H11" s="21">
        <v>-0.52563519999999997</v>
      </c>
    </row>
    <row r="12" spans="1:8" x14ac:dyDescent="0.15">
      <c r="A12" s="21">
        <v>1.9531250000000001E-4</v>
      </c>
      <c r="B12" s="21">
        <f t="shared" si="0"/>
        <v>-0.4220177</v>
      </c>
      <c r="D12">
        <f t="shared" si="1"/>
        <v>-169.3964465408805</v>
      </c>
      <c r="G12" s="21">
        <v>0.53868070000000001</v>
      </c>
      <c r="H12" s="21">
        <v>-0.4220177</v>
      </c>
    </row>
    <row r="13" spans="1:8" x14ac:dyDescent="0.15">
      <c r="A13" s="21">
        <v>2.1484379999999999E-4</v>
      </c>
      <c r="B13" s="21">
        <f t="shared" si="0"/>
        <v>-0.30345420000000001</v>
      </c>
      <c r="D13">
        <f t="shared" si="1"/>
        <v>-122.06937106918238</v>
      </c>
      <c r="G13" s="21">
        <v>0.38818059999999999</v>
      </c>
      <c r="H13" s="21">
        <v>-0.30345420000000001</v>
      </c>
    </row>
    <row r="14" spans="1:8" x14ac:dyDescent="0.15">
      <c r="A14" s="21">
        <v>2.3437499999999999E-4</v>
      </c>
      <c r="B14" s="21">
        <f t="shared" si="0"/>
        <v>-0.17308370000000001</v>
      </c>
      <c r="D14">
        <f t="shared" si="1"/>
        <v>-69.892735849056606</v>
      </c>
      <c r="G14" s="21">
        <v>0.22225890000000001</v>
      </c>
      <c r="H14" s="21">
        <v>-0.17308370000000001</v>
      </c>
    </row>
    <row r="15" spans="1:8" x14ac:dyDescent="0.15">
      <c r="A15" s="21">
        <v>2.5390630000000003E-4</v>
      </c>
      <c r="B15" s="21">
        <f t="shared" si="0"/>
        <v>-3.87558E-2</v>
      </c>
      <c r="D15">
        <f t="shared" si="1"/>
        <v>-16.14230503144654</v>
      </c>
      <c r="G15" s="21">
        <v>5.1332530000000001E-2</v>
      </c>
      <c r="H15" s="21">
        <v>-3.87558E-2</v>
      </c>
    </row>
    <row r="16" spans="1:8" x14ac:dyDescent="0.15">
      <c r="A16" s="21">
        <v>2.7343750000000003E-4</v>
      </c>
      <c r="B16" s="21">
        <f t="shared" si="0"/>
        <v>9.6266450000000003E-2</v>
      </c>
      <c r="D16">
        <f t="shared" si="1"/>
        <v>38.066289308176096</v>
      </c>
      <c r="G16" s="21">
        <v>-0.1210508</v>
      </c>
      <c r="H16" s="21">
        <v>9.6266450000000003E-2</v>
      </c>
    </row>
    <row r="17" spans="1:8" x14ac:dyDescent="0.15">
      <c r="A17" s="21">
        <v>2.9296870000000003E-4</v>
      </c>
      <c r="B17" s="21">
        <f t="shared" si="0"/>
        <v>0.22830690000000001</v>
      </c>
      <c r="D17">
        <f t="shared" si="1"/>
        <v>90.955786163522006</v>
      </c>
      <c r="G17" s="21">
        <v>-0.28923939999999998</v>
      </c>
      <c r="H17" s="21">
        <v>0.22830690000000001</v>
      </c>
    </row>
    <row r="18" spans="1:8" x14ac:dyDescent="0.15">
      <c r="A18" s="21">
        <v>3.1250000000000001E-4</v>
      </c>
      <c r="B18" s="21">
        <f t="shared" si="0"/>
        <v>0.35127449999999999</v>
      </c>
      <c r="D18">
        <f t="shared" si="1"/>
        <v>140.28880503144654</v>
      </c>
      <c r="G18" s="21">
        <v>-0.44611840000000003</v>
      </c>
      <c r="H18" s="21">
        <v>0.35127449999999999</v>
      </c>
    </row>
    <row r="19" spans="1:8" x14ac:dyDescent="0.15">
      <c r="A19" s="21">
        <v>3.3203129999999999E-4</v>
      </c>
      <c r="B19" s="21">
        <f t="shared" si="0"/>
        <v>0.46254109999999998</v>
      </c>
      <c r="D19">
        <f t="shared" si="1"/>
        <v>185.20411949685536</v>
      </c>
      <c r="G19" s="21">
        <v>-0.5889491</v>
      </c>
      <c r="H19" s="21">
        <v>0.46254109999999998</v>
      </c>
    </row>
    <row r="20" spans="1:8" x14ac:dyDescent="0.15">
      <c r="A20" s="21">
        <v>3.5156249999999999E-4</v>
      </c>
      <c r="B20" s="21">
        <f t="shared" si="0"/>
        <v>0.55810020000000005</v>
      </c>
      <c r="D20">
        <f t="shared" si="1"/>
        <v>223.7043396226415</v>
      </c>
      <c r="G20" s="21">
        <v>-0.71137980000000001</v>
      </c>
      <c r="H20" s="21">
        <v>0.55810020000000005</v>
      </c>
    </row>
    <row r="21" spans="1:8" x14ac:dyDescent="0.15">
      <c r="A21" s="21">
        <v>3.7109380000000002E-4</v>
      </c>
      <c r="B21" s="21">
        <f t="shared" si="0"/>
        <v>0.63454160000000004</v>
      </c>
      <c r="D21">
        <f t="shared" si="1"/>
        <v>254.58471698113206</v>
      </c>
      <c r="G21" s="21">
        <v>-0.80957939999999995</v>
      </c>
      <c r="H21" s="21">
        <v>0.63454160000000004</v>
      </c>
    </row>
    <row r="22" spans="1:8" x14ac:dyDescent="0.15">
      <c r="A22" s="21">
        <v>3.9062500000000002E-4</v>
      </c>
      <c r="B22" s="21">
        <f t="shared" si="0"/>
        <v>0.69069000000000003</v>
      </c>
      <c r="D22">
        <f t="shared" si="1"/>
        <v>277.37704402515726</v>
      </c>
      <c r="G22" s="21">
        <v>-0.88205900000000004</v>
      </c>
      <c r="H22" s="21">
        <v>0.69069000000000003</v>
      </c>
    </row>
    <row r="23" spans="1:8" x14ac:dyDescent="0.15">
      <c r="A23" s="21">
        <v>4.1015620000000002E-4</v>
      </c>
      <c r="B23" s="21">
        <f t="shared" si="0"/>
        <v>0.72404089999999999</v>
      </c>
      <c r="D23">
        <f t="shared" si="1"/>
        <v>290.90427672955974</v>
      </c>
      <c r="G23" s="21">
        <v>-0.9250756</v>
      </c>
      <c r="H23" s="21">
        <v>0.72404089999999999</v>
      </c>
    </row>
    <row r="24" spans="1:8" x14ac:dyDescent="0.15">
      <c r="A24" s="21">
        <v>4.296875E-4</v>
      </c>
      <c r="B24" s="21">
        <f t="shared" si="0"/>
        <v>0.73417730000000003</v>
      </c>
      <c r="D24">
        <f t="shared" si="1"/>
        <v>295.163144654088</v>
      </c>
      <c r="G24" s="21">
        <v>-0.93861879999999998</v>
      </c>
      <c r="H24" s="21">
        <v>0.73417730000000003</v>
      </c>
    </row>
    <row r="25" spans="1:8" x14ac:dyDescent="0.15">
      <c r="A25" s="21">
        <v>4.4921879999999998E-4</v>
      </c>
      <c r="B25" s="21">
        <f t="shared" si="0"/>
        <v>0.71959779999999995</v>
      </c>
      <c r="D25">
        <f t="shared" si="1"/>
        <v>289.31116352201258</v>
      </c>
      <c r="G25" s="21">
        <v>-0.92000950000000004</v>
      </c>
      <c r="H25" s="21">
        <v>0.71959779999999995</v>
      </c>
    </row>
    <row r="26" spans="1:8" x14ac:dyDescent="0.15">
      <c r="A26" s="21">
        <v>4.6874999999999998E-4</v>
      </c>
      <c r="B26" s="21">
        <f t="shared" si="0"/>
        <v>0.67887920000000002</v>
      </c>
      <c r="D26">
        <f t="shared" si="1"/>
        <v>272.89201257861635</v>
      </c>
      <c r="G26" s="21">
        <v>-0.86779660000000003</v>
      </c>
      <c r="H26" s="21">
        <v>0.67887920000000002</v>
      </c>
    </row>
    <row r="27" spans="1:8" x14ac:dyDescent="0.15">
      <c r="A27" s="21">
        <v>4.8828119999999998E-4</v>
      </c>
      <c r="B27" s="21">
        <f t="shared" si="0"/>
        <v>0.61566180000000004</v>
      </c>
      <c r="D27">
        <f t="shared" si="1"/>
        <v>247.62632075471694</v>
      </c>
      <c r="G27" s="21">
        <v>-0.78745169999999998</v>
      </c>
      <c r="H27" s="21">
        <v>0.61566180000000004</v>
      </c>
    </row>
    <row r="28" spans="1:8" x14ac:dyDescent="0.15">
      <c r="A28" s="21">
        <v>5.0781250000000002E-4</v>
      </c>
      <c r="B28" s="21">
        <f t="shared" si="0"/>
        <v>0.53218920000000003</v>
      </c>
      <c r="D28">
        <f t="shared" si="1"/>
        <v>214.11512578616353</v>
      </c>
      <c r="G28" s="21">
        <v>-0.68088610000000005</v>
      </c>
      <c r="H28" s="21">
        <v>0.53218920000000003</v>
      </c>
    </row>
    <row r="29" spans="1:8" x14ac:dyDescent="0.15">
      <c r="A29" s="21">
        <v>5.2734380000000005E-4</v>
      </c>
      <c r="B29" s="21">
        <f t="shared" si="0"/>
        <v>0.43073790000000001</v>
      </c>
      <c r="D29">
        <f t="shared" si="1"/>
        <v>173.37776729559749</v>
      </c>
      <c r="G29" s="21">
        <v>-0.55134130000000003</v>
      </c>
      <c r="H29" s="21">
        <v>0.43073790000000001</v>
      </c>
    </row>
    <row r="30" spans="1:8" x14ac:dyDescent="0.15">
      <c r="A30" s="21">
        <v>5.4687500000000005E-4</v>
      </c>
      <c r="B30" s="21">
        <f t="shared" si="0"/>
        <v>0.31449189999999999</v>
      </c>
      <c r="D30">
        <f t="shared" si="1"/>
        <v>126.61166666666666</v>
      </c>
      <c r="G30" s="21">
        <v>-0.40262510000000001</v>
      </c>
      <c r="H30" s="21">
        <v>0.31449189999999999</v>
      </c>
    </row>
    <row r="31" spans="1:8" x14ac:dyDescent="0.15">
      <c r="A31" s="21">
        <v>5.6640620000000005E-4</v>
      </c>
      <c r="B31" s="21">
        <f t="shared" si="0"/>
        <v>0.1854256</v>
      </c>
      <c r="D31">
        <f t="shared" si="1"/>
        <v>74.748459119496843</v>
      </c>
      <c r="G31" s="21">
        <v>-0.2377001</v>
      </c>
      <c r="H31" s="21">
        <v>0.1854256</v>
      </c>
    </row>
    <row r="32" spans="1:8" x14ac:dyDescent="0.15">
      <c r="A32" s="21">
        <v>5.8593749999999998E-4</v>
      </c>
      <c r="B32" s="21">
        <f t="shared" si="0"/>
        <v>4.9982690000000003E-2</v>
      </c>
      <c r="D32">
        <f t="shared" si="1"/>
        <v>20.787657232704404</v>
      </c>
      <c r="G32" s="21">
        <v>-6.6104750000000004E-2</v>
      </c>
      <c r="H32" s="21">
        <v>4.9982690000000003E-2</v>
      </c>
    </row>
    <row r="33" spans="1:8" x14ac:dyDescent="0.15">
      <c r="A33" s="21">
        <v>6.0546869999999998E-4</v>
      </c>
      <c r="B33" s="21">
        <f t="shared" si="0"/>
        <v>-8.5931439999999998E-2</v>
      </c>
      <c r="D33">
        <f t="shared" si="1"/>
        <v>-33.503081761006285</v>
      </c>
      <c r="G33" s="21">
        <v>0.1065398</v>
      </c>
      <c r="H33" s="21">
        <v>-8.5931439999999998E-2</v>
      </c>
    </row>
    <row r="34" spans="1:8" x14ac:dyDescent="0.15">
      <c r="A34" s="21">
        <v>6.2500000000000001E-4</v>
      </c>
      <c r="B34" s="21">
        <f t="shared" si="0"/>
        <v>-0.21807679999999999</v>
      </c>
      <c r="D34">
        <f t="shared" si="1"/>
        <v>-86.429905660377358</v>
      </c>
      <c r="G34" s="21">
        <v>0.27484710000000001</v>
      </c>
      <c r="H34" s="21">
        <v>-0.21807679999999999</v>
      </c>
    </row>
    <row r="35" spans="1:8" x14ac:dyDescent="0.15">
      <c r="A35" s="21">
        <v>6.4453130000000005E-4</v>
      </c>
      <c r="B35" s="21">
        <f t="shared" si="0"/>
        <v>-0.34034140000000002</v>
      </c>
      <c r="D35">
        <f t="shared" si="1"/>
        <v>-135.30261006289308</v>
      </c>
      <c r="G35" s="21">
        <v>0.43026229999999999</v>
      </c>
      <c r="H35" s="21">
        <v>-0.34034140000000002</v>
      </c>
    </row>
    <row r="36" spans="1:8" x14ac:dyDescent="0.15">
      <c r="A36" s="21">
        <v>6.6406250000000005E-4</v>
      </c>
      <c r="B36" s="21">
        <f t="shared" si="0"/>
        <v>-0.45171610000000001</v>
      </c>
      <c r="D36">
        <f t="shared" si="1"/>
        <v>-180.04641509433964</v>
      </c>
      <c r="G36" s="21">
        <v>0.57254760000000005</v>
      </c>
      <c r="H36" s="21">
        <v>-0.45171610000000001</v>
      </c>
    </row>
    <row r="37" spans="1:8" x14ac:dyDescent="0.15">
      <c r="A37" s="21">
        <v>6.8359379999999997E-4</v>
      </c>
      <c r="B37" s="21">
        <f t="shared" si="0"/>
        <v>-0.55042899999999995</v>
      </c>
      <c r="D37">
        <f t="shared" si="1"/>
        <v>-219.56210691823898</v>
      </c>
      <c r="G37" s="21">
        <v>0.69820749999999998</v>
      </c>
      <c r="H37" s="21">
        <v>-0.55042899999999995</v>
      </c>
    </row>
    <row r="38" spans="1:8" x14ac:dyDescent="0.15">
      <c r="A38" s="21">
        <v>7.0312499999999997E-4</v>
      </c>
      <c r="B38" s="21">
        <f t="shared" si="0"/>
        <v>-0.62951230000000002</v>
      </c>
      <c r="D38">
        <f t="shared" si="1"/>
        <v>-251.08647798742138</v>
      </c>
      <c r="G38" s="21">
        <v>0.79845500000000003</v>
      </c>
      <c r="H38" s="21">
        <v>-0.62951230000000002</v>
      </c>
    </row>
    <row r="39" spans="1:8" x14ac:dyDescent="0.15">
      <c r="A39" s="21">
        <v>7.2265619999999997E-4</v>
      </c>
      <c r="B39" s="21">
        <f t="shared" si="0"/>
        <v>-0.68696400000000002</v>
      </c>
      <c r="D39">
        <f t="shared" si="1"/>
        <v>-274.34528301886792</v>
      </c>
      <c r="G39" s="21">
        <v>0.87241800000000003</v>
      </c>
      <c r="H39" s="21">
        <v>-0.68696400000000002</v>
      </c>
    </row>
    <row r="40" spans="1:8" x14ac:dyDescent="0.15">
      <c r="A40" s="21">
        <v>7.4218750000000001E-4</v>
      </c>
      <c r="B40" s="21">
        <f t="shared" si="0"/>
        <v>-0.72250040000000004</v>
      </c>
      <c r="D40">
        <f t="shared" si="1"/>
        <v>-288.91261006289307</v>
      </c>
      <c r="G40" s="21">
        <v>0.91874210000000001</v>
      </c>
      <c r="H40" s="21">
        <v>-0.72250040000000004</v>
      </c>
    </row>
    <row r="41" spans="1:8" x14ac:dyDescent="0.15">
      <c r="A41" s="21">
        <v>7.6171880000000004E-4</v>
      </c>
      <c r="B41" s="21">
        <f t="shared" si="0"/>
        <v>-0.73342560000000001</v>
      </c>
      <c r="D41">
        <f t="shared" si="1"/>
        <v>-293.37018867924525</v>
      </c>
      <c r="G41" s="21">
        <v>0.9329172</v>
      </c>
      <c r="H41" s="21">
        <v>-0.73342560000000001</v>
      </c>
    </row>
    <row r="42" spans="1:8" x14ac:dyDescent="0.15">
      <c r="A42" s="21">
        <v>7.8125000000000004E-4</v>
      </c>
      <c r="B42" s="21">
        <f t="shared" si="0"/>
        <v>-0.71978750000000002</v>
      </c>
      <c r="D42">
        <f t="shared" si="1"/>
        <v>-287.9996226415094</v>
      </c>
      <c r="G42" s="21">
        <v>0.91583879999999995</v>
      </c>
      <c r="H42" s="21">
        <v>-0.71978750000000002</v>
      </c>
    </row>
    <row r="43" spans="1:8" x14ac:dyDescent="0.15">
      <c r="A43" s="21">
        <v>8.0078129999999997E-4</v>
      </c>
      <c r="B43" s="21">
        <f t="shared" si="0"/>
        <v>-0.68206900000000004</v>
      </c>
      <c r="D43">
        <f t="shared" si="1"/>
        <v>-273.1679874213836</v>
      </c>
      <c r="G43" s="21">
        <v>0.86867419999999995</v>
      </c>
      <c r="H43" s="21">
        <v>-0.68206900000000004</v>
      </c>
    </row>
    <row r="44" spans="1:8" x14ac:dyDescent="0.15">
      <c r="A44" s="21">
        <v>8.2031249999999997E-4</v>
      </c>
      <c r="B44" s="21">
        <f t="shared" si="0"/>
        <v>-0.62070309999999995</v>
      </c>
      <c r="D44">
        <f t="shared" si="1"/>
        <v>-248.87811320754716</v>
      </c>
      <c r="G44" s="21">
        <v>0.79143240000000004</v>
      </c>
      <c r="H44" s="21">
        <v>-0.62070309999999995</v>
      </c>
    </row>
    <row r="45" spans="1:8" x14ac:dyDescent="0.15">
      <c r="A45" s="21">
        <v>8.3984369999999997E-4</v>
      </c>
      <c r="B45" s="21">
        <f t="shared" si="0"/>
        <v>-0.53796169999999999</v>
      </c>
      <c r="D45">
        <f t="shared" si="1"/>
        <v>-215.88393081761004</v>
      </c>
      <c r="G45" s="21">
        <v>0.68651090000000003</v>
      </c>
      <c r="H45" s="21">
        <v>-0.53796169999999999</v>
      </c>
    </row>
    <row r="46" spans="1:8" x14ac:dyDescent="0.15">
      <c r="A46" s="21">
        <v>8.59375E-4</v>
      </c>
      <c r="B46" s="21">
        <f t="shared" si="0"/>
        <v>-0.43625000000000003</v>
      </c>
      <c r="D46">
        <f t="shared" si="1"/>
        <v>-175.1564779874214</v>
      </c>
      <c r="G46" s="21">
        <v>0.55699759999999998</v>
      </c>
      <c r="H46" s="21">
        <v>-0.43625000000000003</v>
      </c>
    </row>
    <row r="47" spans="1:8" x14ac:dyDescent="0.15">
      <c r="A47" s="21">
        <v>8.7890630000000004E-4</v>
      </c>
      <c r="B47" s="21">
        <f t="shared" si="0"/>
        <v>-0.31938620000000001</v>
      </c>
      <c r="D47">
        <f t="shared" si="1"/>
        <v>-128.48484276729559</v>
      </c>
      <c r="G47" s="21">
        <v>0.40858179999999999</v>
      </c>
      <c r="H47" s="21">
        <v>-0.31938620000000001</v>
      </c>
    </row>
    <row r="48" spans="1:8" x14ac:dyDescent="0.15">
      <c r="A48" s="21">
        <v>8.9843750000000004E-4</v>
      </c>
      <c r="B48" s="21">
        <f t="shared" si="0"/>
        <v>-0.19146579999999999</v>
      </c>
      <c r="D48">
        <f t="shared" si="1"/>
        <v>-77.413805031446543</v>
      </c>
      <c r="G48" s="21">
        <v>0.2461759</v>
      </c>
      <c r="H48" s="21">
        <v>-0.19146579999999999</v>
      </c>
    </row>
    <row r="49" spans="1:8" x14ac:dyDescent="0.15">
      <c r="A49" s="21">
        <v>9.1796879999999997E-4</v>
      </c>
      <c r="B49" s="21">
        <f t="shared" si="0"/>
        <v>-5.6400159999999998E-2</v>
      </c>
      <c r="D49">
        <f t="shared" si="1"/>
        <v>-23.225172955974845</v>
      </c>
      <c r="G49" s="21">
        <v>7.3856050000000006E-2</v>
      </c>
      <c r="H49" s="21">
        <v>-5.6400159999999998E-2</v>
      </c>
    </row>
    <row r="50" spans="1:8" x14ac:dyDescent="0.15">
      <c r="A50" s="21">
        <v>9.3749999999999997E-4</v>
      </c>
      <c r="B50" s="21">
        <f t="shared" si="0"/>
        <v>7.9736520000000005E-2</v>
      </c>
      <c r="D50">
        <f t="shared" si="1"/>
        <v>31.325402515723269</v>
      </c>
      <c r="G50" s="21">
        <v>-9.961478E-2</v>
      </c>
      <c r="H50" s="21">
        <v>7.9736520000000005E-2</v>
      </c>
    </row>
    <row r="51" spans="1:8" x14ac:dyDescent="0.15">
      <c r="A51" s="21">
        <v>9.5703119999999997E-4</v>
      </c>
      <c r="B51" s="21">
        <f t="shared" si="0"/>
        <v>0.211668</v>
      </c>
      <c r="D51">
        <f t="shared" si="1"/>
        <v>84.143396226415078</v>
      </c>
      <c r="G51" s="21">
        <v>-0.26757599999999998</v>
      </c>
      <c r="H51" s="21">
        <v>0.211668</v>
      </c>
    </row>
    <row r="52" spans="1:8" x14ac:dyDescent="0.15">
      <c r="A52" s="21">
        <v>9.765625E-4</v>
      </c>
      <c r="B52" s="21">
        <f t="shared" si="0"/>
        <v>0.33574949999999998</v>
      </c>
      <c r="D52">
        <f t="shared" si="1"/>
        <v>134.00122641509432</v>
      </c>
      <c r="G52" s="21">
        <v>-0.4261239</v>
      </c>
      <c r="H52" s="21">
        <v>0.33574949999999998</v>
      </c>
    </row>
    <row r="53" spans="1:8" x14ac:dyDescent="0.15">
      <c r="A53" s="21">
        <v>9.9609380000000003E-4</v>
      </c>
      <c r="B53" s="21">
        <f t="shared" si="0"/>
        <v>0.44831110000000002</v>
      </c>
      <c r="D53">
        <f t="shared" si="1"/>
        <v>179.37842767295598</v>
      </c>
      <c r="G53" s="21">
        <v>-0.57042340000000002</v>
      </c>
      <c r="H53" s="21">
        <v>0.44831110000000002</v>
      </c>
    </row>
    <row r="54" spans="1:8" x14ac:dyDescent="0.15">
      <c r="A54" s="21">
        <v>1.015625E-3</v>
      </c>
      <c r="B54" s="21">
        <f t="shared" si="0"/>
        <v>0.5463732</v>
      </c>
      <c r="D54">
        <f t="shared" si="1"/>
        <v>218.93610062893077</v>
      </c>
      <c r="G54" s="21">
        <v>-0.69621679999999997</v>
      </c>
      <c r="H54" s="21">
        <v>0.5463732</v>
      </c>
    </row>
    <row r="55" spans="1:8" x14ac:dyDescent="0.15">
      <c r="A55" s="21">
        <v>1.035156E-3</v>
      </c>
      <c r="B55" s="21">
        <f t="shared" si="0"/>
        <v>0.62612409999999996</v>
      </c>
      <c r="D55">
        <f t="shared" si="1"/>
        <v>251.04477987421382</v>
      </c>
      <c r="G55" s="21">
        <v>-0.79832239999999999</v>
      </c>
      <c r="H55" s="21">
        <v>0.62612409999999996</v>
      </c>
    </row>
    <row r="56" spans="1:8" x14ac:dyDescent="0.15">
      <c r="A56" s="21">
        <v>1.054688E-3</v>
      </c>
      <c r="B56" s="21">
        <f t="shared" si="0"/>
        <v>0.6845097</v>
      </c>
      <c r="D56">
        <f t="shared" si="1"/>
        <v>274.76468553459119</v>
      </c>
      <c r="G56" s="21">
        <v>-0.87375170000000002</v>
      </c>
      <c r="H56" s="21">
        <v>0.6845097</v>
      </c>
    </row>
    <row r="57" spans="1:8" x14ac:dyDescent="0.15">
      <c r="A57" s="21">
        <v>1.074219E-3</v>
      </c>
      <c r="B57" s="21">
        <f t="shared" si="0"/>
        <v>0.72131710000000004</v>
      </c>
      <c r="D57">
        <f t="shared" si="1"/>
        <v>289.8511320754717</v>
      </c>
      <c r="G57" s="21">
        <v>-0.92172659999999995</v>
      </c>
      <c r="H57" s="21">
        <v>0.72131710000000004</v>
      </c>
    </row>
    <row r="58" spans="1:8" x14ac:dyDescent="0.15">
      <c r="A58" s="21">
        <v>1.0937500000000001E-3</v>
      </c>
      <c r="B58" s="21">
        <f t="shared" si="0"/>
        <v>0.73459540000000001</v>
      </c>
      <c r="D58">
        <f t="shared" si="1"/>
        <v>295.22314465408806</v>
      </c>
      <c r="G58" s="21">
        <v>-0.93880960000000002</v>
      </c>
      <c r="H58" s="21">
        <v>0.73459540000000001</v>
      </c>
    </row>
    <row r="59" spans="1:8" x14ac:dyDescent="0.15">
      <c r="A59" s="21">
        <v>1.113281E-3</v>
      </c>
      <c r="B59" s="21">
        <f t="shared" si="0"/>
        <v>0.7222769</v>
      </c>
      <c r="D59">
        <f t="shared" si="1"/>
        <v>290.29974842767291</v>
      </c>
      <c r="G59" s="21">
        <v>-0.92315320000000001</v>
      </c>
      <c r="H59" s="21">
        <v>0.7222769</v>
      </c>
    </row>
    <row r="60" spans="1:8" x14ac:dyDescent="0.15">
      <c r="A60" s="21">
        <v>1.132812E-3</v>
      </c>
      <c r="B60" s="21">
        <f t="shared" si="0"/>
        <v>0.68581040000000004</v>
      </c>
      <c r="D60">
        <f t="shared" si="1"/>
        <v>275.73594339622645</v>
      </c>
      <c r="G60" s="21">
        <v>-0.87684030000000002</v>
      </c>
      <c r="H60" s="21">
        <v>0.68581040000000004</v>
      </c>
    </row>
    <row r="61" spans="1:8" x14ac:dyDescent="0.15">
      <c r="A61" s="21">
        <v>1.152344E-3</v>
      </c>
      <c r="B61" s="21">
        <f t="shared" si="0"/>
        <v>0.6255676</v>
      </c>
      <c r="D61">
        <f t="shared" si="1"/>
        <v>251.59040880503144</v>
      </c>
      <c r="G61" s="21">
        <v>-0.80005749999999998</v>
      </c>
      <c r="H61" s="21">
        <v>0.6255676</v>
      </c>
    </row>
    <row r="62" spans="1:8" x14ac:dyDescent="0.15">
      <c r="A62" s="21">
        <v>1.171875E-3</v>
      </c>
      <c r="B62" s="21">
        <f t="shared" si="0"/>
        <v>0.54370879999999999</v>
      </c>
      <c r="D62">
        <f t="shared" si="1"/>
        <v>218.72968553459117</v>
      </c>
      <c r="G62" s="21">
        <v>-0.69556039999999997</v>
      </c>
      <c r="H62" s="21">
        <v>0.54370879999999999</v>
      </c>
    </row>
    <row r="63" spans="1:8" x14ac:dyDescent="0.15">
      <c r="A63" s="21">
        <v>1.1914060000000001E-3</v>
      </c>
      <c r="B63" s="21">
        <f t="shared" si="0"/>
        <v>0.44512160000000001</v>
      </c>
      <c r="D63">
        <f t="shared" si="1"/>
        <v>179.11547169811317</v>
      </c>
      <c r="G63" s="21">
        <v>-0.56958719999999996</v>
      </c>
      <c r="H63" s="21">
        <v>0.44512160000000001</v>
      </c>
    </row>
    <row r="64" spans="1:8" x14ac:dyDescent="0.15">
      <c r="A64" s="21">
        <v>1.210937E-3</v>
      </c>
      <c r="B64" s="21">
        <f t="shared" si="0"/>
        <v>0.33066970000000001</v>
      </c>
      <c r="D64">
        <f t="shared" si="1"/>
        <v>133.16031446540879</v>
      </c>
      <c r="G64" s="21">
        <v>-0.42344979999999999</v>
      </c>
      <c r="H64" s="21">
        <v>0.33066970000000001</v>
      </c>
    </row>
    <row r="65" spans="1:8" x14ac:dyDescent="0.15">
      <c r="A65" s="21">
        <v>1.2304690000000001E-3</v>
      </c>
      <c r="B65" s="21">
        <f t="shared" si="0"/>
        <v>0.20292669999999999</v>
      </c>
      <c r="D65">
        <f t="shared" si="1"/>
        <v>81.925628930817609</v>
      </c>
      <c r="G65" s="21">
        <v>-0.26052350000000002</v>
      </c>
      <c r="H65" s="21">
        <v>0.20292669999999999</v>
      </c>
    </row>
    <row r="66" spans="1:8" x14ac:dyDescent="0.15">
      <c r="A66" s="21">
        <v>1.25E-3</v>
      </c>
      <c r="B66" s="21">
        <f t="shared" si="0"/>
        <v>6.7966799999999994E-2</v>
      </c>
      <c r="D66">
        <f t="shared" si="1"/>
        <v>27.899924528301888</v>
      </c>
      <c r="G66" s="21">
        <v>-8.8721759999999997E-2</v>
      </c>
      <c r="H66" s="21">
        <v>6.7966799999999994E-2</v>
      </c>
    </row>
    <row r="67" spans="1:8" x14ac:dyDescent="0.15">
      <c r="A67" s="21">
        <v>1.269531E-3</v>
      </c>
      <c r="B67" s="21">
        <f t="shared" ref="B67:B130" si="2">H67</f>
        <v>-6.8807149999999997E-2</v>
      </c>
      <c r="D67">
        <f t="shared" ref="D67:D130" si="3">G67*-1000/3.18</f>
        <v>-26.648289308176096</v>
      </c>
      <c r="G67" s="21">
        <v>8.4741559999999994E-2</v>
      </c>
      <c r="H67" s="21">
        <v>-6.8807149999999997E-2</v>
      </c>
    </row>
    <row r="68" spans="1:8" x14ac:dyDescent="0.15">
      <c r="A68" s="21">
        <v>1.289063E-3</v>
      </c>
      <c r="B68" s="21">
        <f t="shared" si="2"/>
        <v>-0.2006829</v>
      </c>
      <c r="D68">
        <f t="shared" si="3"/>
        <v>-79.319402515723269</v>
      </c>
      <c r="G68" s="21">
        <v>0.25223570000000001</v>
      </c>
      <c r="H68" s="21">
        <v>-0.2006829</v>
      </c>
    </row>
    <row r="69" spans="1:8" x14ac:dyDescent="0.15">
      <c r="A69" s="21">
        <v>1.3085939999999999E-3</v>
      </c>
      <c r="B69" s="21">
        <f t="shared" si="2"/>
        <v>-0.32440540000000001</v>
      </c>
      <c r="D69">
        <f t="shared" si="3"/>
        <v>-129.04814465408802</v>
      </c>
      <c r="G69" s="21">
        <v>0.41037309999999999</v>
      </c>
      <c r="H69" s="21">
        <v>-0.32440540000000001</v>
      </c>
    </row>
    <row r="70" spans="1:8" x14ac:dyDescent="0.15">
      <c r="A70" s="21">
        <v>1.3281250000000001E-3</v>
      </c>
      <c r="B70" s="21">
        <f t="shared" si="2"/>
        <v>-0.43829800000000002</v>
      </c>
      <c r="D70">
        <f t="shared" si="3"/>
        <v>-174.69254716981129</v>
      </c>
      <c r="G70" s="21">
        <v>0.55552230000000002</v>
      </c>
      <c r="H70" s="21">
        <v>-0.43829800000000002</v>
      </c>
    </row>
    <row r="71" spans="1:8" x14ac:dyDescent="0.15">
      <c r="A71" s="21">
        <v>1.347656E-3</v>
      </c>
      <c r="B71" s="21">
        <f t="shared" si="2"/>
        <v>-0.53793460000000004</v>
      </c>
      <c r="D71">
        <f t="shared" si="3"/>
        <v>-214.44342767295598</v>
      </c>
      <c r="G71" s="21">
        <v>0.68193009999999998</v>
      </c>
      <c r="H71" s="21">
        <v>-0.53793460000000004</v>
      </c>
    </row>
    <row r="72" spans="1:8" x14ac:dyDescent="0.15">
      <c r="A72" s="21">
        <v>1.3671880000000001E-3</v>
      </c>
      <c r="B72" s="21">
        <f t="shared" si="2"/>
        <v>-0.62047739999999996</v>
      </c>
      <c r="D72">
        <f t="shared" si="3"/>
        <v>-247.55672955974842</v>
      </c>
      <c r="G72" s="21">
        <v>0.7872304</v>
      </c>
      <c r="H72" s="21">
        <v>-0.62047739999999996</v>
      </c>
    </row>
    <row r="73" spans="1:8" x14ac:dyDescent="0.15">
      <c r="A73" s="21">
        <v>1.386719E-3</v>
      </c>
      <c r="B73" s="21">
        <f t="shared" si="2"/>
        <v>-0.68168709999999999</v>
      </c>
      <c r="D73">
        <f t="shared" si="3"/>
        <v>-272.20295597484272</v>
      </c>
      <c r="G73" s="21">
        <v>0.86560539999999997</v>
      </c>
      <c r="H73" s="21">
        <v>-0.68168709999999999</v>
      </c>
    </row>
    <row r="74" spans="1:8" x14ac:dyDescent="0.15">
      <c r="A74" s="21">
        <v>1.4062499999999999E-3</v>
      </c>
      <c r="B74" s="21">
        <f t="shared" si="2"/>
        <v>-0.71881130000000004</v>
      </c>
      <c r="D74">
        <f t="shared" si="3"/>
        <v>-287.30880503144652</v>
      </c>
      <c r="G74" s="21">
        <v>0.91364199999999995</v>
      </c>
      <c r="H74" s="21">
        <v>-0.71881130000000004</v>
      </c>
    </row>
    <row r="75" spans="1:8" x14ac:dyDescent="0.15">
      <c r="A75" s="21">
        <v>1.4257810000000001E-3</v>
      </c>
      <c r="B75" s="21">
        <f t="shared" si="2"/>
        <v>-0.733344</v>
      </c>
      <c r="D75">
        <f t="shared" si="3"/>
        <v>-293.36361635220123</v>
      </c>
      <c r="G75" s="21">
        <v>0.93289630000000001</v>
      </c>
      <c r="H75" s="21">
        <v>-0.733344</v>
      </c>
    </row>
    <row r="76" spans="1:8" x14ac:dyDescent="0.15">
      <c r="A76" s="21">
        <v>1.445312E-3</v>
      </c>
      <c r="B76" s="21">
        <f t="shared" si="2"/>
        <v>-0.72341770000000005</v>
      </c>
      <c r="D76">
        <f t="shared" si="3"/>
        <v>-289.40490566037732</v>
      </c>
      <c r="G76" s="21">
        <v>0.9203076</v>
      </c>
      <c r="H76" s="21">
        <v>-0.72341770000000005</v>
      </c>
    </row>
    <row r="77" spans="1:8" x14ac:dyDescent="0.15">
      <c r="A77" s="21">
        <v>1.4648440000000001E-3</v>
      </c>
      <c r="B77" s="21">
        <f t="shared" si="2"/>
        <v>-0.68848710000000002</v>
      </c>
      <c r="D77">
        <f t="shared" si="3"/>
        <v>-275.64606918238991</v>
      </c>
      <c r="G77" s="21">
        <v>0.87655450000000001</v>
      </c>
      <c r="H77" s="21">
        <v>-0.68848710000000002</v>
      </c>
    </row>
    <row r="78" spans="1:8" x14ac:dyDescent="0.15">
      <c r="A78" s="21">
        <v>1.484375E-3</v>
      </c>
      <c r="B78" s="21">
        <f t="shared" si="2"/>
        <v>-0.63074269999999999</v>
      </c>
      <c r="D78">
        <f t="shared" si="3"/>
        <v>-252.81732704402515</v>
      </c>
      <c r="G78" s="21">
        <v>0.80395910000000004</v>
      </c>
      <c r="H78" s="21">
        <v>-0.63074269999999999</v>
      </c>
    </row>
    <row r="79" spans="1:8" x14ac:dyDescent="0.15">
      <c r="A79" s="21">
        <v>1.5039059999999999E-3</v>
      </c>
      <c r="B79" s="21">
        <f t="shared" si="2"/>
        <v>-0.55043249999999999</v>
      </c>
      <c r="D79">
        <f t="shared" si="3"/>
        <v>-220.71257861635218</v>
      </c>
      <c r="G79" s="21">
        <v>0.70186599999999999</v>
      </c>
      <c r="H79" s="21">
        <v>-0.55043249999999999</v>
      </c>
    </row>
    <row r="80" spans="1:8" x14ac:dyDescent="0.15">
      <c r="A80" s="21">
        <v>1.523438E-3</v>
      </c>
      <c r="B80" s="21">
        <f t="shared" si="2"/>
        <v>-0.45125019999999999</v>
      </c>
      <c r="D80">
        <f t="shared" si="3"/>
        <v>-181.12355345911948</v>
      </c>
      <c r="G80" s="21">
        <v>0.57597290000000001</v>
      </c>
      <c r="H80" s="21">
        <v>-0.45125019999999999</v>
      </c>
    </row>
    <row r="81" spans="1:8" x14ac:dyDescent="0.15">
      <c r="A81" s="21">
        <v>1.5429689999999999E-3</v>
      </c>
      <c r="B81" s="21">
        <f t="shared" si="2"/>
        <v>-0.33654309999999998</v>
      </c>
      <c r="D81">
        <f t="shared" si="3"/>
        <v>-135.2812578616352</v>
      </c>
      <c r="G81" s="21">
        <v>0.43019439999999998</v>
      </c>
      <c r="H81" s="21">
        <v>-0.33654309999999998</v>
      </c>
    </row>
    <row r="82" spans="1:8" x14ac:dyDescent="0.15">
      <c r="A82" s="21">
        <v>1.5625000000000001E-3</v>
      </c>
      <c r="B82" s="21">
        <f t="shared" si="2"/>
        <v>-0.208675</v>
      </c>
      <c r="D82">
        <f t="shared" si="3"/>
        <v>-84.160471698113199</v>
      </c>
      <c r="G82" s="21">
        <v>0.26763029999999999</v>
      </c>
      <c r="H82" s="21">
        <v>-0.208675</v>
      </c>
    </row>
    <row r="83" spans="1:8" x14ac:dyDescent="0.15">
      <c r="A83" s="21">
        <v>1.582031E-3</v>
      </c>
      <c r="B83" s="21">
        <f t="shared" si="2"/>
        <v>-7.4843900000000005E-2</v>
      </c>
      <c r="D83">
        <f t="shared" si="3"/>
        <v>-30.69897798742138</v>
      </c>
      <c r="G83" s="21">
        <v>9.7622749999999994E-2</v>
      </c>
      <c r="H83" s="21">
        <v>-7.4843900000000005E-2</v>
      </c>
    </row>
    <row r="84" spans="1:8" x14ac:dyDescent="0.15">
      <c r="A84" s="21">
        <v>1.6015630000000001E-3</v>
      </c>
      <c r="B84" s="21">
        <f t="shared" si="2"/>
        <v>6.0768389999999999E-2</v>
      </c>
      <c r="D84">
        <f t="shared" si="3"/>
        <v>23.757116352201255</v>
      </c>
      <c r="G84" s="21">
        <v>-7.5547630000000005E-2</v>
      </c>
      <c r="H84" s="21">
        <v>6.0768389999999999E-2</v>
      </c>
    </row>
    <row r="85" spans="1:8" x14ac:dyDescent="0.15">
      <c r="A85" s="21">
        <v>1.621094E-3</v>
      </c>
      <c r="B85" s="21">
        <f t="shared" si="2"/>
        <v>0.19446749999999999</v>
      </c>
      <c r="D85">
        <f t="shared" si="3"/>
        <v>77.409685534591191</v>
      </c>
      <c r="G85" s="21">
        <v>-0.24616279999999999</v>
      </c>
      <c r="H85" s="21">
        <v>0.19446749999999999</v>
      </c>
    </row>
    <row r="86" spans="1:8" x14ac:dyDescent="0.15">
      <c r="A86" s="21">
        <v>1.6406249999999999E-3</v>
      </c>
      <c r="B86" s="21">
        <f t="shared" si="2"/>
        <v>0.3193435</v>
      </c>
      <c r="D86">
        <f t="shared" si="3"/>
        <v>127.4120754716981</v>
      </c>
      <c r="G86" s="21">
        <v>-0.40517039999999999</v>
      </c>
      <c r="H86" s="21">
        <v>0.3193435</v>
      </c>
    </row>
    <row r="87" spans="1:8" x14ac:dyDescent="0.15">
      <c r="A87" s="21">
        <v>1.6601560000000001E-3</v>
      </c>
      <c r="B87" s="21">
        <f t="shared" si="2"/>
        <v>0.43361640000000001</v>
      </c>
      <c r="D87">
        <f t="shared" si="3"/>
        <v>173.48738993710691</v>
      </c>
      <c r="G87" s="21">
        <v>-0.55168989999999996</v>
      </c>
      <c r="H87" s="21">
        <v>0.43361640000000001</v>
      </c>
    </row>
    <row r="88" spans="1:8" x14ac:dyDescent="0.15">
      <c r="A88" s="21">
        <v>1.679687E-3</v>
      </c>
      <c r="B88" s="21">
        <f t="shared" si="2"/>
        <v>0.53442449999999997</v>
      </c>
      <c r="D88">
        <f t="shared" si="3"/>
        <v>214.17106918238991</v>
      </c>
      <c r="G88" s="21">
        <v>-0.681064</v>
      </c>
      <c r="H88" s="21">
        <v>0.53442449999999997</v>
      </c>
    </row>
    <row r="89" spans="1:8" x14ac:dyDescent="0.15">
      <c r="A89" s="21">
        <v>1.6992190000000001E-3</v>
      </c>
      <c r="B89" s="21">
        <f t="shared" si="2"/>
        <v>0.61622790000000005</v>
      </c>
      <c r="D89">
        <f t="shared" si="3"/>
        <v>247.13779874213836</v>
      </c>
      <c r="G89" s="21">
        <v>-0.78589819999999999</v>
      </c>
      <c r="H89" s="21">
        <v>0.61622790000000005</v>
      </c>
    </row>
    <row r="90" spans="1:8" x14ac:dyDescent="0.15">
      <c r="A90" s="21">
        <v>1.71875E-3</v>
      </c>
      <c r="B90" s="21">
        <f t="shared" si="2"/>
        <v>0.67769219999999997</v>
      </c>
      <c r="D90">
        <f t="shared" si="3"/>
        <v>272.08896226415095</v>
      </c>
      <c r="G90" s="21">
        <v>-0.86524290000000004</v>
      </c>
      <c r="H90" s="21">
        <v>0.67769219999999997</v>
      </c>
    </row>
    <row r="91" spans="1:8" x14ac:dyDescent="0.15">
      <c r="A91" s="21">
        <v>1.7382809999999999E-3</v>
      </c>
      <c r="B91" s="21">
        <f t="shared" si="2"/>
        <v>0.71723159999999997</v>
      </c>
      <c r="D91">
        <f t="shared" si="3"/>
        <v>288.12694968553456</v>
      </c>
      <c r="G91" s="21">
        <v>-0.91624369999999999</v>
      </c>
      <c r="H91" s="21">
        <v>0.71723159999999997</v>
      </c>
    </row>
    <row r="92" spans="1:8" x14ac:dyDescent="0.15">
      <c r="A92" s="21">
        <v>1.757813E-3</v>
      </c>
      <c r="B92" s="21">
        <f t="shared" si="2"/>
        <v>0.73344010000000004</v>
      </c>
      <c r="D92">
        <f t="shared" si="3"/>
        <v>294.83333333333331</v>
      </c>
      <c r="G92" s="21">
        <v>-0.93757000000000001</v>
      </c>
      <c r="H92" s="21">
        <v>0.73344010000000004</v>
      </c>
    </row>
    <row r="93" spans="1:8" x14ac:dyDescent="0.15">
      <c r="A93" s="21">
        <v>1.7773439999999999E-3</v>
      </c>
      <c r="B93" s="21">
        <f t="shared" si="2"/>
        <v>0.72531429999999997</v>
      </c>
      <c r="D93">
        <f t="shared" si="3"/>
        <v>291.7164150943396</v>
      </c>
      <c r="G93" s="21">
        <v>-0.92765819999999999</v>
      </c>
      <c r="H93" s="21">
        <v>0.72531429999999997</v>
      </c>
    </row>
    <row r="94" spans="1:8" x14ac:dyDescent="0.15">
      <c r="A94" s="21">
        <v>1.7968750000000001E-3</v>
      </c>
      <c r="B94" s="21">
        <f t="shared" si="2"/>
        <v>0.69124229999999998</v>
      </c>
      <c r="D94">
        <f t="shared" si="3"/>
        <v>277.89962264150938</v>
      </c>
      <c r="G94" s="21">
        <v>-0.88372079999999997</v>
      </c>
      <c r="H94" s="21">
        <v>0.69124229999999998</v>
      </c>
    </row>
    <row r="95" spans="1:8" x14ac:dyDescent="0.15">
      <c r="A95" s="21">
        <v>1.816406E-3</v>
      </c>
      <c r="B95" s="21">
        <f t="shared" si="2"/>
        <v>0.63398449999999995</v>
      </c>
      <c r="D95">
        <f t="shared" si="3"/>
        <v>255.09044025157232</v>
      </c>
      <c r="G95" s="21">
        <v>-0.81118760000000001</v>
      </c>
      <c r="H95" s="21">
        <v>0.63398449999999995</v>
      </c>
    </row>
    <row r="96" spans="1:8" x14ac:dyDescent="0.15">
      <c r="A96" s="21">
        <v>1.8359380000000001E-3</v>
      </c>
      <c r="B96" s="21">
        <f t="shared" si="2"/>
        <v>0.5559617</v>
      </c>
      <c r="D96">
        <f t="shared" si="3"/>
        <v>223.84893081761007</v>
      </c>
      <c r="G96" s="21">
        <v>-0.71183960000000002</v>
      </c>
      <c r="H96" s="21">
        <v>0.5559617</v>
      </c>
    </row>
    <row r="97" spans="1:8" x14ac:dyDescent="0.15">
      <c r="A97" s="21">
        <v>1.855469E-3</v>
      </c>
      <c r="B97" s="21">
        <f t="shared" si="2"/>
        <v>0.4583853</v>
      </c>
      <c r="D97">
        <f t="shared" si="3"/>
        <v>184.47160377358489</v>
      </c>
      <c r="G97" s="21">
        <v>-0.58661969999999997</v>
      </c>
      <c r="H97" s="21">
        <v>0.4583853</v>
      </c>
    </row>
    <row r="98" spans="1:8" x14ac:dyDescent="0.15">
      <c r="A98" s="21">
        <v>1.8749999999999999E-3</v>
      </c>
      <c r="B98" s="21">
        <f t="shared" si="2"/>
        <v>0.34576689999999999</v>
      </c>
      <c r="D98">
        <f t="shared" si="3"/>
        <v>139.37157232704402</v>
      </c>
      <c r="G98" s="21">
        <v>-0.44320159999999997</v>
      </c>
      <c r="H98" s="21">
        <v>0.34576689999999999</v>
      </c>
    </row>
    <row r="99" spans="1:8" x14ac:dyDescent="0.15">
      <c r="A99" s="21">
        <v>1.8945310000000001E-3</v>
      </c>
      <c r="B99" s="21">
        <f t="shared" si="2"/>
        <v>0.2202211</v>
      </c>
      <c r="D99">
        <f t="shared" si="3"/>
        <v>88.883490566037722</v>
      </c>
      <c r="G99" s="21">
        <v>-0.2826495</v>
      </c>
      <c r="H99" s="21">
        <v>0.2202211</v>
      </c>
    </row>
    <row r="100" spans="1:8" x14ac:dyDescent="0.15">
      <c r="A100" s="21">
        <v>1.914062E-3</v>
      </c>
      <c r="B100" s="21">
        <f t="shared" si="2"/>
        <v>8.5154129999999995E-2</v>
      </c>
      <c r="D100">
        <f t="shared" si="3"/>
        <v>34.760471698113207</v>
      </c>
      <c r="G100" s="21">
        <v>-0.11053830000000001</v>
      </c>
      <c r="H100" s="21">
        <v>8.5154129999999995E-2</v>
      </c>
    </row>
    <row r="101" spans="1:8" x14ac:dyDescent="0.15">
      <c r="A101" s="21">
        <v>1.9335940000000001E-3</v>
      </c>
      <c r="B101" s="21">
        <f t="shared" si="2"/>
        <v>-5.0930969999999999E-2</v>
      </c>
      <c r="D101">
        <f t="shared" si="3"/>
        <v>-19.387779874213837</v>
      </c>
      <c r="G101" s="21">
        <v>6.1653140000000002E-2</v>
      </c>
      <c r="H101" s="21">
        <v>-5.0930969999999999E-2</v>
      </c>
    </row>
    <row r="102" spans="1:8" x14ac:dyDescent="0.15">
      <c r="A102" s="21">
        <v>1.953125E-3</v>
      </c>
      <c r="B102" s="21">
        <f t="shared" si="2"/>
        <v>-0.18358569999999999</v>
      </c>
      <c r="D102">
        <f t="shared" si="3"/>
        <v>-72.565786163522006</v>
      </c>
      <c r="G102" s="21">
        <v>0.2307592</v>
      </c>
      <c r="H102" s="21">
        <v>-0.18358569999999999</v>
      </c>
    </row>
    <row r="103" spans="1:8" x14ac:dyDescent="0.15">
      <c r="A103" s="21">
        <v>1.9726560000000001E-3</v>
      </c>
      <c r="B103" s="21">
        <f t="shared" si="2"/>
        <v>-0.3094152</v>
      </c>
      <c r="D103">
        <f t="shared" si="3"/>
        <v>-122.95512578616352</v>
      </c>
      <c r="G103" s="21">
        <v>0.39099729999999999</v>
      </c>
      <c r="H103" s="21">
        <v>-0.3094152</v>
      </c>
    </row>
    <row r="104" spans="1:8" x14ac:dyDescent="0.15">
      <c r="A104" s="21">
        <v>1.9921880000000002E-3</v>
      </c>
      <c r="B104" s="21">
        <f t="shared" si="2"/>
        <v>-0.42401060000000002</v>
      </c>
      <c r="D104">
        <f t="shared" si="3"/>
        <v>-168.84336477987418</v>
      </c>
      <c r="G104" s="21">
        <v>0.53692189999999995</v>
      </c>
      <c r="H104" s="21">
        <v>-0.42401060000000002</v>
      </c>
    </row>
    <row r="105" spans="1:8" x14ac:dyDescent="0.15">
      <c r="A105" s="21">
        <v>2.0117189999999999E-3</v>
      </c>
      <c r="B105" s="21">
        <f t="shared" si="2"/>
        <v>-0.52624029999999999</v>
      </c>
      <c r="D105">
        <f t="shared" si="3"/>
        <v>-209.85883647798741</v>
      </c>
      <c r="G105" s="21">
        <v>0.66735109999999997</v>
      </c>
      <c r="H105" s="21">
        <v>-0.52624029999999999</v>
      </c>
    </row>
    <row r="106" spans="1:8" x14ac:dyDescent="0.15">
      <c r="A106" s="21">
        <v>2.0312500000000001E-3</v>
      </c>
      <c r="B106" s="21">
        <f t="shared" si="2"/>
        <v>-0.61122209999999999</v>
      </c>
      <c r="D106">
        <f t="shared" si="3"/>
        <v>-243.69899371069178</v>
      </c>
      <c r="G106" s="21">
        <v>0.77496279999999995</v>
      </c>
      <c r="H106" s="21">
        <v>-0.61122209999999999</v>
      </c>
    </row>
    <row r="107" spans="1:8" x14ac:dyDescent="0.15">
      <c r="A107" s="21">
        <v>2.0507809999999998E-3</v>
      </c>
      <c r="B107" s="21">
        <f t="shared" si="2"/>
        <v>-0.67446360000000005</v>
      </c>
      <c r="D107">
        <f t="shared" si="3"/>
        <v>-269.15883647798745</v>
      </c>
      <c r="G107" s="21">
        <v>0.85592509999999999</v>
      </c>
      <c r="H107" s="21">
        <v>-0.67446360000000005</v>
      </c>
    </row>
    <row r="108" spans="1:8" x14ac:dyDescent="0.15">
      <c r="A108" s="21">
        <v>2.0703129999999998E-3</v>
      </c>
      <c r="B108" s="21">
        <f t="shared" si="2"/>
        <v>-0.71612659999999995</v>
      </c>
      <c r="D108">
        <f t="shared" si="3"/>
        <v>-286.16452830188678</v>
      </c>
      <c r="G108" s="21">
        <v>0.91000320000000001</v>
      </c>
      <c r="H108" s="21">
        <v>-0.71612659999999995</v>
      </c>
    </row>
    <row r="109" spans="1:8" x14ac:dyDescent="0.15">
      <c r="A109" s="21">
        <v>2.089844E-3</v>
      </c>
      <c r="B109" s="21">
        <f t="shared" si="2"/>
        <v>-0.73354660000000005</v>
      </c>
      <c r="D109">
        <f t="shared" si="3"/>
        <v>-293.22066037735851</v>
      </c>
      <c r="G109" s="21">
        <v>0.93244170000000004</v>
      </c>
      <c r="H109" s="21">
        <v>-0.73354660000000005</v>
      </c>
    </row>
    <row r="110" spans="1:8" x14ac:dyDescent="0.15">
      <c r="A110" s="21">
        <v>2.1093750000000001E-3</v>
      </c>
      <c r="B110" s="21">
        <f t="shared" si="2"/>
        <v>-0.72616340000000001</v>
      </c>
      <c r="D110">
        <f t="shared" si="3"/>
        <v>-290.35990566037736</v>
      </c>
      <c r="G110" s="21">
        <v>0.92334450000000001</v>
      </c>
      <c r="H110" s="21">
        <v>-0.72616340000000001</v>
      </c>
    </row>
    <row r="111" spans="1:8" x14ac:dyDescent="0.15">
      <c r="A111" s="21">
        <v>2.1289059999999999E-3</v>
      </c>
      <c r="B111" s="21">
        <f t="shared" si="2"/>
        <v>-0.69533310000000004</v>
      </c>
      <c r="D111">
        <f t="shared" si="3"/>
        <v>-278.27446540880504</v>
      </c>
      <c r="G111" s="21">
        <v>0.88491280000000005</v>
      </c>
      <c r="H111" s="21">
        <v>-0.69533310000000004</v>
      </c>
    </row>
    <row r="112" spans="1:8" x14ac:dyDescent="0.15">
      <c r="A112" s="21">
        <v>2.1484379999999999E-3</v>
      </c>
      <c r="B112" s="21">
        <f t="shared" si="2"/>
        <v>-0.63999329999999999</v>
      </c>
      <c r="D112">
        <f t="shared" si="3"/>
        <v>-256.39229559748424</v>
      </c>
      <c r="G112" s="21">
        <v>0.81532749999999998</v>
      </c>
      <c r="H112" s="21">
        <v>-0.63999329999999999</v>
      </c>
    </row>
    <row r="113" spans="1:8" x14ac:dyDescent="0.15">
      <c r="A113" s="21">
        <v>2.1679690000000001E-3</v>
      </c>
      <c r="B113" s="21">
        <f t="shared" si="2"/>
        <v>-0.56255120000000003</v>
      </c>
      <c r="D113">
        <f t="shared" si="3"/>
        <v>-225.50088050314466</v>
      </c>
      <c r="G113" s="21">
        <v>0.71709279999999997</v>
      </c>
      <c r="H113" s="21">
        <v>-0.56255120000000003</v>
      </c>
    </row>
    <row r="114" spans="1:8" x14ac:dyDescent="0.15">
      <c r="A114" s="21">
        <v>2.1875000000000002E-3</v>
      </c>
      <c r="B114" s="21">
        <f t="shared" si="2"/>
        <v>-0.46610679999999999</v>
      </c>
      <c r="D114">
        <f t="shared" si="3"/>
        <v>-186.91786163522013</v>
      </c>
      <c r="G114" s="21">
        <v>0.5943988</v>
      </c>
      <c r="H114" s="21">
        <v>-0.46610679999999999</v>
      </c>
    </row>
    <row r="115" spans="1:8" x14ac:dyDescent="0.15">
      <c r="A115" s="21">
        <v>2.2070309999999999E-3</v>
      </c>
      <c r="B115" s="21">
        <f t="shared" si="2"/>
        <v>-0.35249380000000002</v>
      </c>
      <c r="D115">
        <f t="shared" si="3"/>
        <v>-141.54455974842767</v>
      </c>
      <c r="G115" s="21">
        <v>0.4501117</v>
      </c>
      <c r="H115" s="21">
        <v>-0.35249380000000002</v>
      </c>
    </row>
    <row r="116" spans="1:8" x14ac:dyDescent="0.15">
      <c r="A116" s="21">
        <v>2.226563E-3</v>
      </c>
      <c r="B116" s="21">
        <f t="shared" si="2"/>
        <v>-0.226573</v>
      </c>
      <c r="D116">
        <f t="shared" si="3"/>
        <v>-91.32088050314465</v>
      </c>
      <c r="G116" s="21">
        <v>0.2904004</v>
      </c>
      <c r="H116" s="21">
        <v>-0.226573</v>
      </c>
    </row>
    <row r="117" spans="1:8" x14ac:dyDescent="0.15">
      <c r="A117" s="21">
        <v>2.2460940000000001E-3</v>
      </c>
      <c r="B117" s="21">
        <f t="shared" si="2"/>
        <v>-9.3196180000000003E-2</v>
      </c>
      <c r="D117">
        <f t="shared" si="3"/>
        <v>-37.923144654088048</v>
      </c>
      <c r="G117" s="21">
        <v>0.1205956</v>
      </c>
      <c r="H117" s="21">
        <v>-9.3196180000000003E-2</v>
      </c>
    </row>
    <row r="118" spans="1:8" x14ac:dyDescent="0.15">
      <c r="A118" s="21">
        <v>2.2656249999999998E-3</v>
      </c>
      <c r="B118" s="21">
        <f t="shared" si="2"/>
        <v>4.2863779999999997E-2</v>
      </c>
      <c r="D118">
        <f t="shared" si="3"/>
        <v>16.626946540880503</v>
      </c>
      <c r="G118" s="21">
        <v>-5.2873690000000001E-2</v>
      </c>
      <c r="H118" s="21">
        <v>4.2863779999999997E-2</v>
      </c>
    </row>
    <row r="119" spans="1:8" x14ac:dyDescent="0.15">
      <c r="A119" s="21">
        <v>2.285156E-3</v>
      </c>
      <c r="B119" s="21">
        <f t="shared" si="2"/>
        <v>0.1758759</v>
      </c>
      <c r="D119">
        <f t="shared" si="3"/>
        <v>69.902610062893075</v>
      </c>
      <c r="G119" s="21">
        <v>-0.2222903</v>
      </c>
      <c r="H119" s="21">
        <v>0.1758759</v>
      </c>
    </row>
    <row r="120" spans="1:8" x14ac:dyDescent="0.15">
      <c r="A120" s="21">
        <v>2.3046870000000001E-3</v>
      </c>
      <c r="B120" s="21">
        <f t="shared" si="2"/>
        <v>0.30290420000000001</v>
      </c>
      <c r="D120">
        <f t="shared" si="3"/>
        <v>120.96283018867923</v>
      </c>
      <c r="G120" s="21">
        <v>-0.3846618</v>
      </c>
      <c r="H120" s="21">
        <v>0.30290420000000001</v>
      </c>
    </row>
    <row r="121" spans="1:8" x14ac:dyDescent="0.15">
      <c r="A121" s="21">
        <v>2.3242190000000002E-3</v>
      </c>
      <c r="B121" s="21">
        <f t="shared" si="2"/>
        <v>0.41986980000000002</v>
      </c>
      <c r="D121">
        <f t="shared" si="3"/>
        <v>167.95613207547169</v>
      </c>
      <c r="G121" s="21">
        <v>-0.53410049999999998</v>
      </c>
      <c r="H121" s="21">
        <v>0.41986980000000002</v>
      </c>
    </row>
    <row r="122" spans="1:8" x14ac:dyDescent="0.15">
      <c r="A122" s="21">
        <v>2.3437499999999999E-3</v>
      </c>
      <c r="B122" s="21">
        <f t="shared" si="2"/>
        <v>0.52157469999999995</v>
      </c>
      <c r="D122">
        <f t="shared" si="3"/>
        <v>208.9290251572327</v>
      </c>
      <c r="G122" s="21">
        <v>-0.66439429999999999</v>
      </c>
      <c r="H122" s="21">
        <v>0.52157469999999995</v>
      </c>
    </row>
    <row r="123" spans="1:8" x14ac:dyDescent="0.15">
      <c r="A123" s="21">
        <v>2.3632810000000001E-3</v>
      </c>
      <c r="B123" s="21">
        <f t="shared" si="2"/>
        <v>0.60625320000000005</v>
      </c>
      <c r="D123">
        <f t="shared" si="3"/>
        <v>243.27455974842766</v>
      </c>
      <c r="G123" s="21">
        <v>-0.77361310000000005</v>
      </c>
      <c r="H123" s="21">
        <v>0.60625320000000005</v>
      </c>
    </row>
    <row r="124" spans="1:8" x14ac:dyDescent="0.15">
      <c r="A124" s="21">
        <v>2.3828120000000002E-3</v>
      </c>
      <c r="B124" s="21">
        <f t="shared" si="2"/>
        <v>0.67047469999999998</v>
      </c>
      <c r="D124">
        <f t="shared" si="3"/>
        <v>269.22056603773581</v>
      </c>
      <c r="G124" s="21">
        <v>-0.85612140000000003</v>
      </c>
      <c r="H124" s="21">
        <v>0.67047469999999998</v>
      </c>
    </row>
    <row r="125" spans="1:8" x14ac:dyDescent="0.15">
      <c r="A125" s="21">
        <v>2.4023439999999998E-3</v>
      </c>
      <c r="B125" s="21">
        <f t="shared" si="2"/>
        <v>0.71235899999999996</v>
      </c>
      <c r="D125">
        <f t="shared" si="3"/>
        <v>286.29135220125784</v>
      </c>
      <c r="G125" s="21">
        <v>-0.91040650000000001</v>
      </c>
      <c r="H125" s="21">
        <v>0.71235899999999996</v>
      </c>
    </row>
    <row r="126" spans="1:8" x14ac:dyDescent="0.15">
      <c r="A126" s="21">
        <v>2.421875E-3</v>
      </c>
      <c r="B126" s="21">
        <f t="shared" si="2"/>
        <v>0.73254569999999997</v>
      </c>
      <c r="D126">
        <f t="shared" si="3"/>
        <v>294.62672955974841</v>
      </c>
      <c r="G126" s="21">
        <v>-0.936913</v>
      </c>
      <c r="H126" s="21">
        <v>0.73254569999999997</v>
      </c>
    </row>
    <row r="127" spans="1:8" x14ac:dyDescent="0.15">
      <c r="A127" s="21">
        <v>2.4414060000000001E-3</v>
      </c>
      <c r="B127" s="21">
        <f t="shared" si="2"/>
        <v>0.72749629999999998</v>
      </c>
      <c r="D127">
        <f t="shared" si="3"/>
        <v>292.57927672955975</v>
      </c>
      <c r="G127" s="21">
        <v>-0.93040210000000001</v>
      </c>
      <c r="H127" s="21">
        <v>0.72749629999999998</v>
      </c>
    </row>
    <row r="128" spans="1:8" x14ac:dyDescent="0.15">
      <c r="A128" s="21">
        <v>2.4609380000000002E-3</v>
      </c>
      <c r="B128" s="21">
        <f t="shared" si="2"/>
        <v>0.69706869999999999</v>
      </c>
      <c r="D128">
        <f t="shared" si="3"/>
        <v>280.45688679245279</v>
      </c>
      <c r="G128" s="21">
        <v>-0.89185289999999995</v>
      </c>
      <c r="H128" s="21">
        <v>0.69706869999999999</v>
      </c>
    </row>
    <row r="129" spans="1:8" x14ac:dyDescent="0.15">
      <c r="A129" s="21">
        <v>2.4804689999999999E-3</v>
      </c>
      <c r="B129" s="21">
        <f t="shared" si="2"/>
        <v>0.6434301</v>
      </c>
      <c r="D129">
        <f t="shared" si="3"/>
        <v>258.92899371069177</v>
      </c>
      <c r="G129" s="21">
        <v>-0.82339419999999997</v>
      </c>
      <c r="H129" s="21">
        <v>0.6434301</v>
      </c>
    </row>
    <row r="130" spans="1:8" x14ac:dyDescent="0.15">
      <c r="A130" s="21">
        <v>2.5000000000000001E-3</v>
      </c>
      <c r="B130" s="21">
        <f t="shared" si="2"/>
        <v>0.56685430000000003</v>
      </c>
      <c r="D130">
        <f t="shared" si="3"/>
        <v>228.10075471698113</v>
      </c>
      <c r="G130" s="21">
        <v>-0.72536040000000002</v>
      </c>
      <c r="H130" s="21">
        <v>0.56685430000000003</v>
      </c>
    </row>
    <row r="131" spans="1:8" x14ac:dyDescent="0.15">
      <c r="A131" s="21">
        <v>2.5195310000000002E-3</v>
      </c>
      <c r="B131" s="21">
        <f t="shared" ref="B131:B194" si="4">H131</f>
        <v>0.4721573</v>
      </c>
      <c r="D131">
        <f t="shared" ref="D131:D194" si="5">G131*-1000/3.18</f>
        <v>190.15512578616352</v>
      </c>
      <c r="G131" s="21">
        <v>-0.60469329999999999</v>
      </c>
      <c r="H131" s="21">
        <v>0.4721573</v>
      </c>
    </row>
    <row r="132" spans="1:8" x14ac:dyDescent="0.15">
      <c r="A132" s="21">
        <v>2.5390629999999998E-3</v>
      </c>
      <c r="B132" s="21">
        <f t="shared" si="4"/>
        <v>0.36197360000000001</v>
      </c>
      <c r="D132">
        <f t="shared" si="5"/>
        <v>145.83484276729561</v>
      </c>
      <c r="G132" s="21">
        <v>-0.46375480000000002</v>
      </c>
      <c r="H132" s="21">
        <v>0.36197360000000001</v>
      </c>
    </row>
    <row r="133" spans="1:8" x14ac:dyDescent="0.15">
      <c r="A133" s="21">
        <v>2.558594E-3</v>
      </c>
      <c r="B133" s="21">
        <f t="shared" si="4"/>
        <v>0.23715320000000001</v>
      </c>
      <c r="D133">
        <f t="shared" si="5"/>
        <v>95.6219182389937</v>
      </c>
      <c r="G133" s="21">
        <v>-0.30407770000000001</v>
      </c>
      <c r="H133" s="21">
        <v>0.23715320000000001</v>
      </c>
    </row>
    <row r="134" spans="1:8" x14ac:dyDescent="0.15">
      <c r="A134" s="21">
        <v>2.5781250000000001E-3</v>
      </c>
      <c r="B134" s="21">
        <f t="shared" si="4"/>
        <v>0.103981</v>
      </c>
      <c r="D134">
        <f t="shared" si="5"/>
        <v>42.40213836477988</v>
      </c>
      <c r="G134" s="21">
        <v>-0.13483880000000001</v>
      </c>
      <c r="H134" s="21">
        <v>0.103981</v>
      </c>
    </row>
    <row r="135" spans="1:8" x14ac:dyDescent="0.15">
      <c r="A135" s="21">
        <v>2.5976559999999998E-3</v>
      </c>
      <c r="B135" s="21">
        <f t="shared" si="4"/>
        <v>-3.2548399999999998E-2</v>
      </c>
      <c r="D135">
        <f t="shared" si="5"/>
        <v>-12.160487421383646</v>
      </c>
      <c r="G135" s="21">
        <v>3.8670349999999999E-2</v>
      </c>
      <c r="H135" s="21">
        <v>-3.2548399999999998E-2</v>
      </c>
    </row>
    <row r="136" spans="1:8" x14ac:dyDescent="0.15">
      <c r="A136" s="21">
        <v>2.6171879999999999E-3</v>
      </c>
      <c r="B136" s="21">
        <f t="shared" si="4"/>
        <v>-0.16692119999999999</v>
      </c>
      <c r="D136">
        <f t="shared" si="5"/>
        <v>-65.863647798742136</v>
      </c>
      <c r="G136" s="21">
        <v>0.2094464</v>
      </c>
      <c r="H136" s="21">
        <v>-0.16692119999999999</v>
      </c>
    </row>
    <row r="137" spans="1:8" x14ac:dyDescent="0.15">
      <c r="A137" s="21">
        <v>2.636719E-3</v>
      </c>
      <c r="B137" s="21">
        <f t="shared" si="4"/>
        <v>-0.2929216</v>
      </c>
      <c r="D137">
        <f t="shared" si="5"/>
        <v>-116.2501572327044</v>
      </c>
      <c r="G137" s="21">
        <v>0.36967549999999999</v>
      </c>
      <c r="H137" s="21">
        <v>-0.2929216</v>
      </c>
    </row>
    <row r="138" spans="1:8" x14ac:dyDescent="0.15">
      <c r="A138" s="21">
        <v>2.6562500000000002E-3</v>
      </c>
      <c r="B138" s="21">
        <f t="shared" si="4"/>
        <v>-0.40940799999999999</v>
      </c>
      <c r="D138">
        <f t="shared" si="5"/>
        <v>-163.07814465408802</v>
      </c>
      <c r="G138" s="21">
        <v>0.51858850000000001</v>
      </c>
      <c r="H138" s="21">
        <v>-0.40940799999999999</v>
      </c>
    </row>
    <row r="139" spans="1:8" x14ac:dyDescent="0.15">
      <c r="A139" s="21">
        <v>2.6757809999999999E-3</v>
      </c>
      <c r="B139" s="21">
        <f t="shared" si="4"/>
        <v>-0.51335790000000003</v>
      </c>
      <c r="D139">
        <f t="shared" si="5"/>
        <v>-204.63952830188677</v>
      </c>
      <c r="G139" s="21">
        <v>0.65075369999999999</v>
      </c>
      <c r="H139" s="21">
        <v>-0.51335790000000003</v>
      </c>
    </row>
    <row r="140" spans="1:8" x14ac:dyDescent="0.15">
      <c r="A140" s="21">
        <v>2.695313E-3</v>
      </c>
      <c r="B140" s="21">
        <f t="shared" si="4"/>
        <v>-0.60029770000000005</v>
      </c>
      <c r="D140">
        <f t="shared" si="5"/>
        <v>-239.33238993710691</v>
      </c>
      <c r="G140" s="21">
        <v>0.761077</v>
      </c>
      <c r="H140" s="21">
        <v>-0.60029770000000005</v>
      </c>
    </row>
    <row r="141" spans="1:8" x14ac:dyDescent="0.15">
      <c r="A141" s="21">
        <v>2.7148440000000001E-3</v>
      </c>
      <c r="B141" s="21">
        <f t="shared" si="4"/>
        <v>-0.66758770000000001</v>
      </c>
      <c r="D141">
        <f t="shared" si="5"/>
        <v>-266.43603773584903</v>
      </c>
      <c r="G141" s="21">
        <v>0.84726659999999998</v>
      </c>
      <c r="H141" s="21">
        <v>-0.66758770000000001</v>
      </c>
    </row>
    <row r="142" spans="1:8" x14ac:dyDescent="0.15">
      <c r="A142" s="21">
        <v>2.7343749999999998E-3</v>
      </c>
      <c r="B142" s="21">
        <f t="shared" si="4"/>
        <v>-0.71169700000000002</v>
      </c>
      <c r="D142">
        <f t="shared" si="5"/>
        <v>-284.25808176100628</v>
      </c>
      <c r="G142" s="21">
        <v>0.90394070000000004</v>
      </c>
      <c r="H142" s="21">
        <v>-0.71169700000000002</v>
      </c>
    </row>
    <row r="143" spans="1:8" x14ac:dyDescent="0.15">
      <c r="A143" s="21">
        <v>2.753906E-3</v>
      </c>
      <c r="B143" s="21">
        <f t="shared" si="4"/>
        <v>-0.73227319999999996</v>
      </c>
      <c r="D143">
        <f t="shared" si="5"/>
        <v>-292.74459119496851</v>
      </c>
      <c r="G143" s="21">
        <v>0.93092779999999997</v>
      </c>
      <c r="H143" s="21">
        <v>-0.73227319999999996</v>
      </c>
    </row>
    <row r="144" spans="1:8" x14ac:dyDescent="0.15">
      <c r="A144" s="21">
        <v>2.7734370000000001E-3</v>
      </c>
      <c r="B144" s="21">
        <f t="shared" si="4"/>
        <v>-0.72878960000000004</v>
      </c>
      <c r="D144">
        <f t="shared" si="5"/>
        <v>-291.44764150943394</v>
      </c>
      <c r="G144" s="21">
        <v>0.9268035</v>
      </c>
      <c r="H144" s="21">
        <v>-0.72878960000000004</v>
      </c>
    </row>
    <row r="145" spans="1:8" x14ac:dyDescent="0.15">
      <c r="A145" s="21">
        <v>2.7929690000000002E-3</v>
      </c>
      <c r="B145" s="21">
        <f t="shared" si="4"/>
        <v>-0.69968900000000001</v>
      </c>
      <c r="D145">
        <f t="shared" si="5"/>
        <v>-279.92676100628927</v>
      </c>
      <c r="G145" s="21">
        <v>0.89016709999999999</v>
      </c>
      <c r="H145" s="21">
        <v>-0.69968900000000001</v>
      </c>
    </row>
    <row r="146" spans="1:8" x14ac:dyDescent="0.15">
      <c r="A146" s="21">
        <v>2.8124999999999999E-3</v>
      </c>
      <c r="B146" s="21">
        <f t="shared" si="4"/>
        <v>-0.64801410000000004</v>
      </c>
      <c r="D146">
        <f t="shared" si="5"/>
        <v>-259.66088050314465</v>
      </c>
      <c r="G146" s="21">
        <v>0.82572159999999994</v>
      </c>
      <c r="H146" s="21">
        <v>-0.64801410000000004</v>
      </c>
    </row>
    <row r="147" spans="1:8" x14ac:dyDescent="0.15">
      <c r="A147" s="21">
        <v>2.832031E-3</v>
      </c>
      <c r="B147" s="21">
        <f t="shared" si="4"/>
        <v>-0.57423080000000004</v>
      </c>
      <c r="D147">
        <f t="shared" si="5"/>
        <v>-230.20952830188676</v>
      </c>
      <c r="G147" s="21">
        <v>0.73206629999999995</v>
      </c>
      <c r="H147" s="21">
        <v>-0.57423080000000004</v>
      </c>
    </row>
    <row r="148" spans="1:8" x14ac:dyDescent="0.15">
      <c r="A148" s="21">
        <v>2.8515620000000002E-3</v>
      </c>
      <c r="B148" s="21">
        <f t="shared" si="4"/>
        <v>-0.4789543</v>
      </c>
      <c r="D148">
        <f t="shared" si="5"/>
        <v>-192.07015723270439</v>
      </c>
      <c r="G148" s="21">
        <v>0.61078310000000002</v>
      </c>
      <c r="H148" s="21">
        <v>-0.4789543</v>
      </c>
    </row>
    <row r="149" spans="1:8" x14ac:dyDescent="0.15">
      <c r="A149" s="21">
        <v>2.8710939999999998E-3</v>
      </c>
      <c r="B149" s="21">
        <f t="shared" si="4"/>
        <v>-0.36793150000000002</v>
      </c>
      <c r="D149">
        <f t="shared" si="5"/>
        <v>-147.84135220125785</v>
      </c>
      <c r="G149" s="21">
        <v>0.47013549999999998</v>
      </c>
      <c r="H149" s="21">
        <v>-0.36793150000000002</v>
      </c>
    </row>
    <row r="150" spans="1:8" x14ac:dyDescent="0.15">
      <c r="A150" s="21">
        <v>2.890625E-3</v>
      </c>
      <c r="B150" s="21">
        <f t="shared" si="4"/>
        <v>-0.2436731</v>
      </c>
      <c r="D150">
        <f t="shared" si="5"/>
        <v>-98.162893081761013</v>
      </c>
      <c r="G150" s="21">
        <v>0.31215799999999999</v>
      </c>
      <c r="H150" s="21">
        <v>-0.2436731</v>
      </c>
    </row>
    <row r="151" spans="1:8" x14ac:dyDescent="0.15">
      <c r="A151" s="21">
        <v>2.9101560000000001E-3</v>
      </c>
      <c r="B151" s="21">
        <f t="shared" si="4"/>
        <v>-0.1104332</v>
      </c>
      <c r="D151">
        <f t="shared" si="5"/>
        <v>-44.851383647798741</v>
      </c>
      <c r="G151" s="21">
        <v>0.14262739999999999</v>
      </c>
      <c r="H151" s="21">
        <v>-0.1104332</v>
      </c>
    </row>
    <row r="152" spans="1:8" x14ac:dyDescent="0.15">
      <c r="A152" s="21">
        <v>2.9296880000000002E-3</v>
      </c>
      <c r="B152" s="21">
        <f t="shared" si="4"/>
        <v>2.4968190000000001E-2</v>
      </c>
      <c r="D152">
        <f t="shared" si="5"/>
        <v>9.4048427672955963</v>
      </c>
      <c r="G152" s="21">
        <v>-2.9907400000000001E-2</v>
      </c>
      <c r="H152" s="21">
        <v>2.4968190000000001E-2</v>
      </c>
    </row>
    <row r="153" spans="1:8" x14ac:dyDescent="0.15">
      <c r="A153" s="21">
        <v>2.9492189999999999E-3</v>
      </c>
      <c r="B153" s="21">
        <f t="shared" si="4"/>
        <v>0.15953609999999999</v>
      </c>
      <c r="D153">
        <f t="shared" si="5"/>
        <v>63.403396226415083</v>
      </c>
      <c r="G153" s="21">
        <v>-0.20162279999999999</v>
      </c>
      <c r="H153" s="21">
        <v>0.15953609999999999</v>
      </c>
    </row>
    <row r="154" spans="1:8" x14ac:dyDescent="0.15">
      <c r="A154" s="21">
        <v>2.96875E-3</v>
      </c>
      <c r="B154" s="21">
        <f t="shared" si="4"/>
        <v>0.28749590000000003</v>
      </c>
      <c r="D154">
        <f t="shared" si="5"/>
        <v>114.65459119496856</v>
      </c>
      <c r="G154" s="21">
        <v>-0.36460160000000003</v>
      </c>
      <c r="H154" s="21">
        <v>0.28749590000000003</v>
      </c>
    </row>
    <row r="155" spans="1:8" x14ac:dyDescent="0.15">
      <c r="A155" s="21">
        <v>2.9882810000000002E-3</v>
      </c>
      <c r="B155" s="21">
        <f t="shared" si="4"/>
        <v>0.4045995</v>
      </c>
      <c r="D155">
        <f t="shared" si="5"/>
        <v>161.79940251572327</v>
      </c>
      <c r="G155" s="21">
        <v>-0.51452209999999998</v>
      </c>
      <c r="H155" s="21">
        <v>0.4045995</v>
      </c>
    </row>
    <row r="156" spans="1:8" x14ac:dyDescent="0.15">
      <c r="A156" s="21">
        <v>3.0078129999999998E-3</v>
      </c>
      <c r="B156" s="21">
        <f t="shared" si="4"/>
        <v>0.50951579999999996</v>
      </c>
      <c r="D156">
        <f t="shared" si="5"/>
        <v>204.17603773584901</v>
      </c>
      <c r="G156" s="21">
        <v>-0.64927979999999996</v>
      </c>
      <c r="H156" s="21">
        <v>0.50951579999999996</v>
      </c>
    </row>
    <row r="157" spans="1:8" x14ac:dyDescent="0.15">
      <c r="A157" s="21">
        <v>3.027344E-3</v>
      </c>
      <c r="B157" s="21">
        <f t="shared" si="4"/>
        <v>0.59646739999999998</v>
      </c>
      <c r="D157">
        <f t="shared" si="5"/>
        <v>239.15845911949685</v>
      </c>
      <c r="G157" s="21">
        <v>-0.76052390000000003</v>
      </c>
      <c r="H157" s="21">
        <v>0.59646739999999998</v>
      </c>
    </row>
    <row r="158" spans="1:8" x14ac:dyDescent="0.15">
      <c r="A158" s="21">
        <v>3.0468750000000001E-3</v>
      </c>
      <c r="B158" s="21">
        <f t="shared" si="4"/>
        <v>0.66321719999999995</v>
      </c>
      <c r="D158">
        <f t="shared" si="5"/>
        <v>266.23628930817608</v>
      </c>
      <c r="G158" s="21">
        <v>-0.84663140000000003</v>
      </c>
      <c r="H158" s="21">
        <v>0.66321719999999995</v>
      </c>
    </row>
    <row r="159" spans="1:8" x14ac:dyDescent="0.15">
      <c r="A159" s="21">
        <v>3.0664059999999998E-3</v>
      </c>
      <c r="B159" s="21">
        <f t="shared" si="4"/>
        <v>0.70917560000000002</v>
      </c>
      <c r="D159">
        <f t="shared" si="5"/>
        <v>284.99044025157229</v>
      </c>
      <c r="G159" s="21">
        <v>-0.90626960000000001</v>
      </c>
      <c r="H159" s="21">
        <v>0.70917560000000002</v>
      </c>
    </row>
    <row r="160" spans="1:8" x14ac:dyDescent="0.15">
      <c r="A160" s="21">
        <v>3.0859379999999999E-3</v>
      </c>
      <c r="B160" s="21">
        <f t="shared" si="4"/>
        <v>0.73123099999999996</v>
      </c>
      <c r="D160">
        <f t="shared" si="5"/>
        <v>293.90820754716981</v>
      </c>
      <c r="G160" s="21">
        <v>-0.93462809999999996</v>
      </c>
      <c r="H160" s="21">
        <v>0.73123099999999996</v>
      </c>
    </row>
    <row r="161" spans="1:8" x14ac:dyDescent="0.15">
      <c r="A161" s="21">
        <v>3.105469E-3</v>
      </c>
      <c r="B161" s="21">
        <f t="shared" si="4"/>
        <v>0.72959629999999998</v>
      </c>
      <c r="D161">
        <f t="shared" si="5"/>
        <v>293.36245283018866</v>
      </c>
      <c r="G161" s="21">
        <v>-0.93289259999999996</v>
      </c>
      <c r="H161" s="21">
        <v>0.72959629999999998</v>
      </c>
    </row>
    <row r="162" spans="1:8" x14ac:dyDescent="0.15">
      <c r="A162" s="21">
        <v>3.1250000000000002E-3</v>
      </c>
      <c r="B162" s="21">
        <f t="shared" si="4"/>
        <v>0.7031193</v>
      </c>
      <c r="D162">
        <f t="shared" si="5"/>
        <v>282.74415094339622</v>
      </c>
      <c r="G162" s="21">
        <v>-0.89912639999999999</v>
      </c>
      <c r="H162" s="21">
        <v>0.7031193</v>
      </c>
    </row>
    <row r="163" spans="1:8" x14ac:dyDescent="0.15">
      <c r="A163" s="21">
        <v>3.1445309999999999E-3</v>
      </c>
      <c r="B163" s="21">
        <f t="shared" si="4"/>
        <v>0.65146950000000003</v>
      </c>
      <c r="D163">
        <f t="shared" si="5"/>
        <v>262.01996855345914</v>
      </c>
      <c r="G163" s="21">
        <v>-0.83322350000000001</v>
      </c>
      <c r="H163" s="21">
        <v>0.65146950000000003</v>
      </c>
    </row>
    <row r="164" spans="1:8" x14ac:dyDescent="0.15">
      <c r="A164" s="21">
        <v>3.1640629999999999E-3</v>
      </c>
      <c r="B164" s="21">
        <f t="shared" si="4"/>
        <v>0.57845959999999996</v>
      </c>
      <c r="D164">
        <f t="shared" si="5"/>
        <v>232.7838993710692</v>
      </c>
      <c r="G164" s="21">
        <v>-0.74025280000000004</v>
      </c>
      <c r="H164" s="21">
        <v>0.57845959999999996</v>
      </c>
    </row>
    <row r="165" spans="1:8" x14ac:dyDescent="0.15">
      <c r="A165" s="21">
        <v>3.1835940000000001E-3</v>
      </c>
      <c r="B165" s="21">
        <f t="shared" si="4"/>
        <v>0.4861296</v>
      </c>
      <c r="D165">
        <f t="shared" si="5"/>
        <v>195.62754716981129</v>
      </c>
      <c r="G165" s="21">
        <v>-0.62209559999999997</v>
      </c>
      <c r="H165" s="21">
        <v>0.4861296</v>
      </c>
    </row>
    <row r="166" spans="1:8" x14ac:dyDescent="0.15">
      <c r="A166" s="21">
        <v>3.2031249999999998E-3</v>
      </c>
      <c r="B166" s="21">
        <f t="shared" si="4"/>
        <v>0.37738369999999999</v>
      </c>
      <c r="D166">
        <f t="shared" si="5"/>
        <v>151.95267295597483</v>
      </c>
      <c r="G166" s="21">
        <v>-0.48320950000000001</v>
      </c>
      <c r="H166" s="21">
        <v>0.37738369999999999</v>
      </c>
    </row>
    <row r="167" spans="1:8" x14ac:dyDescent="0.15">
      <c r="A167" s="21">
        <v>3.222656E-3</v>
      </c>
      <c r="B167" s="21">
        <f t="shared" si="4"/>
        <v>0.25512990000000002</v>
      </c>
      <c r="D167">
        <f t="shared" si="5"/>
        <v>102.82597484276729</v>
      </c>
      <c r="G167" s="21">
        <v>-0.32698660000000002</v>
      </c>
      <c r="H167" s="21">
        <v>0.25512990000000002</v>
      </c>
    </row>
    <row r="168" spans="1:8" x14ac:dyDescent="0.15">
      <c r="A168" s="21">
        <v>3.242188E-3</v>
      </c>
      <c r="B168" s="21">
        <f t="shared" si="4"/>
        <v>0.121728</v>
      </c>
      <c r="D168">
        <f t="shared" si="5"/>
        <v>49.313522012578616</v>
      </c>
      <c r="G168" s="21">
        <v>-0.15681700000000001</v>
      </c>
      <c r="H168" s="21">
        <v>0.121728</v>
      </c>
    </row>
    <row r="169" spans="1:8" x14ac:dyDescent="0.15">
      <c r="A169" s="21">
        <v>3.2617190000000002E-3</v>
      </c>
      <c r="B169" s="21">
        <f t="shared" si="4"/>
        <v>-1.485503E-2</v>
      </c>
      <c r="D169">
        <f t="shared" si="5"/>
        <v>-5.1140503144654099</v>
      </c>
      <c r="G169" s="21">
        <v>1.6262680000000002E-2</v>
      </c>
      <c r="H169" s="21">
        <v>-1.485503E-2</v>
      </c>
    </row>
    <row r="170" spans="1:8" x14ac:dyDescent="0.15">
      <c r="A170" s="21">
        <v>3.2812499999999999E-3</v>
      </c>
      <c r="B170" s="21">
        <f t="shared" si="4"/>
        <v>-0.1485303</v>
      </c>
      <c r="D170">
        <f t="shared" si="5"/>
        <v>-58.53864779874214</v>
      </c>
      <c r="G170" s="21">
        <v>0.18615290000000001</v>
      </c>
      <c r="H170" s="21">
        <v>-0.1485303</v>
      </c>
    </row>
    <row r="171" spans="1:8" x14ac:dyDescent="0.15">
      <c r="A171" s="21">
        <v>3.300781E-3</v>
      </c>
      <c r="B171" s="21">
        <f t="shared" si="4"/>
        <v>-0.27684439999999999</v>
      </c>
      <c r="D171">
        <f t="shared" si="5"/>
        <v>-110.02770440251571</v>
      </c>
      <c r="G171" s="21">
        <v>0.34988809999999998</v>
      </c>
      <c r="H171" s="21">
        <v>-0.27684439999999999</v>
      </c>
    </row>
    <row r="172" spans="1:8" x14ac:dyDescent="0.15">
      <c r="A172" s="21">
        <v>3.3203120000000002E-3</v>
      </c>
      <c r="B172" s="21">
        <f t="shared" si="4"/>
        <v>-0.39447860000000001</v>
      </c>
      <c r="D172">
        <f t="shared" si="5"/>
        <v>-157.15713836477985</v>
      </c>
      <c r="G172" s="21">
        <v>0.49975969999999997</v>
      </c>
      <c r="H172" s="21">
        <v>-0.39447860000000001</v>
      </c>
    </row>
    <row r="173" spans="1:8" x14ac:dyDescent="0.15">
      <c r="A173" s="21">
        <v>3.3398439999999998E-3</v>
      </c>
      <c r="B173" s="21">
        <f t="shared" si="4"/>
        <v>-0.49994509999999998</v>
      </c>
      <c r="D173">
        <f t="shared" si="5"/>
        <v>-199.39072327044025</v>
      </c>
      <c r="G173" s="21">
        <v>0.63406249999999997</v>
      </c>
      <c r="H173" s="21">
        <v>-0.49994509999999998</v>
      </c>
    </row>
    <row r="174" spans="1:8" x14ac:dyDescent="0.15">
      <c r="A174" s="21">
        <v>3.3593749999999999E-3</v>
      </c>
      <c r="B174" s="21">
        <f t="shared" si="4"/>
        <v>-0.59079590000000004</v>
      </c>
      <c r="D174">
        <f t="shared" si="5"/>
        <v>-235.71603773584906</v>
      </c>
      <c r="G174" s="21">
        <v>0.74957700000000005</v>
      </c>
      <c r="H174" s="21">
        <v>-0.59079590000000004</v>
      </c>
    </row>
    <row r="175" spans="1:8" x14ac:dyDescent="0.15">
      <c r="A175" s="21">
        <v>3.3789060000000001E-3</v>
      </c>
      <c r="B175" s="21">
        <f t="shared" si="4"/>
        <v>-0.66002209999999994</v>
      </c>
      <c r="D175">
        <f t="shared" si="5"/>
        <v>-263.41301886792451</v>
      </c>
      <c r="G175" s="21">
        <v>0.83765339999999999</v>
      </c>
      <c r="H175" s="21">
        <v>-0.66002209999999994</v>
      </c>
    </row>
    <row r="176" spans="1:8" x14ac:dyDescent="0.15">
      <c r="A176" s="21">
        <v>3.3984369999999998E-3</v>
      </c>
      <c r="B176" s="21">
        <f t="shared" si="4"/>
        <v>-0.70686769999999999</v>
      </c>
      <c r="D176">
        <f t="shared" si="5"/>
        <v>-282.3556289308176</v>
      </c>
      <c r="G176" s="21">
        <v>0.89789090000000005</v>
      </c>
      <c r="H176" s="21">
        <v>-0.70686769999999999</v>
      </c>
    </row>
    <row r="177" spans="1:8" x14ac:dyDescent="0.15">
      <c r="A177" s="21">
        <v>3.4179689999999999E-3</v>
      </c>
      <c r="B177" s="21">
        <f t="shared" si="4"/>
        <v>-0.73107390000000005</v>
      </c>
      <c r="D177">
        <f t="shared" si="5"/>
        <v>-292.33559748427672</v>
      </c>
      <c r="G177" s="21">
        <v>0.92962719999999999</v>
      </c>
      <c r="H177" s="21">
        <v>-0.73107390000000005</v>
      </c>
    </row>
    <row r="178" spans="1:8" x14ac:dyDescent="0.15">
      <c r="A178" s="21">
        <v>3.4375E-3</v>
      </c>
      <c r="B178" s="21">
        <f t="shared" si="4"/>
        <v>-0.73021360000000002</v>
      </c>
      <c r="D178">
        <f t="shared" si="5"/>
        <v>-292.07641509433961</v>
      </c>
      <c r="G178" s="21">
        <v>0.92880300000000005</v>
      </c>
      <c r="H178" s="21">
        <v>-0.73021360000000002</v>
      </c>
    </row>
    <row r="179" spans="1:8" x14ac:dyDescent="0.15">
      <c r="A179" s="21">
        <v>3.4570310000000002E-3</v>
      </c>
      <c r="B179" s="21">
        <f t="shared" si="4"/>
        <v>-0.70547800000000005</v>
      </c>
      <c r="D179">
        <f t="shared" si="5"/>
        <v>-282.29619496855344</v>
      </c>
      <c r="G179" s="21">
        <v>0.89770190000000005</v>
      </c>
      <c r="H179" s="21">
        <v>-0.70547800000000005</v>
      </c>
    </row>
    <row r="180" spans="1:8" x14ac:dyDescent="0.15">
      <c r="A180" s="21">
        <v>3.4765629999999998E-3</v>
      </c>
      <c r="B180" s="21">
        <f t="shared" si="4"/>
        <v>-0.65686659999999997</v>
      </c>
      <c r="D180">
        <f t="shared" si="5"/>
        <v>-263.15877358490565</v>
      </c>
      <c r="G180" s="21">
        <v>0.8368449</v>
      </c>
      <c r="H180" s="21">
        <v>-0.65686659999999997</v>
      </c>
    </row>
    <row r="181" spans="1:8" x14ac:dyDescent="0.15">
      <c r="A181" s="21">
        <v>3.4960939999999999E-3</v>
      </c>
      <c r="B181" s="21">
        <f t="shared" si="4"/>
        <v>-0.58479300000000001</v>
      </c>
      <c r="D181">
        <f t="shared" si="5"/>
        <v>-234.45861635220123</v>
      </c>
      <c r="G181" s="21">
        <v>0.74557839999999997</v>
      </c>
      <c r="H181" s="21">
        <v>-0.58479300000000001</v>
      </c>
    </row>
    <row r="182" spans="1:8" x14ac:dyDescent="0.15">
      <c r="A182" s="21">
        <v>3.5156250000000001E-3</v>
      </c>
      <c r="B182" s="21">
        <f t="shared" si="4"/>
        <v>-0.4929422</v>
      </c>
      <c r="D182">
        <f t="shared" si="5"/>
        <v>-197.82226415094343</v>
      </c>
      <c r="G182" s="21">
        <v>0.62907480000000005</v>
      </c>
      <c r="H182" s="21">
        <v>-0.4929422</v>
      </c>
    </row>
    <row r="183" spans="1:8" x14ac:dyDescent="0.15">
      <c r="A183" s="21">
        <v>3.5351559999999998E-3</v>
      </c>
      <c r="B183" s="21">
        <f t="shared" si="4"/>
        <v>-0.38364700000000002</v>
      </c>
      <c r="D183">
        <f t="shared" si="5"/>
        <v>-154.11506289308176</v>
      </c>
      <c r="G183" s="21">
        <v>0.49008590000000002</v>
      </c>
      <c r="H183" s="21">
        <v>-0.38364700000000002</v>
      </c>
    </row>
    <row r="184" spans="1:8" x14ac:dyDescent="0.15">
      <c r="A184" s="21">
        <v>3.5546879999999999E-3</v>
      </c>
      <c r="B184" s="21">
        <f t="shared" si="4"/>
        <v>-0.26033030000000001</v>
      </c>
      <c r="D184">
        <f t="shared" si="5"/>
        <v>-104.81336477987422</v>
      </c>
      <c r="G184" s="21">
        <v>0.33330650000000001</v>
      </c>
      <c r="H184" s="21">
        <v>-0.26033030000000001</v>
      </c>
    </row>
    <row r="185" spans="1:8" x14ac:dyDescent="0.15">
      <c r="A185" s="21">
        <v>3.574219E-3</v>
      </c>
      <c r="B185" s="21">
        <f t="shared" si="4"/>
        <v>-0.12876199999999999</v>
      </c>
      <c r="D185">
        <f t="shared" si="5"/>
        <v>-52.368018867924519</v>
      </c>
      <c r="G185" s="21">
        <v>0.16653029999999999</v>
      </c>
      <c r="H185" s="21">
        <v>-0.12876199999999999</v>
      </c>
    </row>
    <row r="186" spans="1:8" x14ac:dyDescent="0.15">
      <c r="A186" s="21">
        <v>3.5937500000000002E-3</v>
      </c>
      <c r="B186" s="21">
        <f t="shared" si="4"/>
        <v>7.2920700000000003E-3</v>
      </c>
      <c r="D186">
        <f t="shared" si="5"/>
        <v>2.2410106918238992</v>
      </c>
      <c r="G186" s="21">
        <v>-7.1264140000000002E-3</v>
      </c>
      <c r="H186" s="21">
        <v>7.2920700000000003E-3</v>
      </c>
    </row>
    <row r="187" spans="1:8" x14ac:dyDescent="0.15">
      <c r="A187" s="21">
        <v>3.6132809999999999E-3</v>
      </c>
      <c r="B187" s="21">
        <f t="shared" si="4"/>
        <v>0.14232149999999999</v>
      </c>
      <c r="D187">
        <f t="shared" si="5"/>
        <v>56.368679245283012</v>
      </c>
      <c r="G187" s="21">
        <v>-0.17925240000000001</v>
      </c>
      <c r="H187" s="21">
        <v>0.14232149999999999</v>
      </c>
    </row>
    <row r="188" spans="1:8" x14ac:dyDescent="0.15">
      <c r="A188" s="21">
        <v>3.6328129999999999E-3</v>
      </c>
      <c r="B188" s="21">
        <f t="shared" si="4"/>
        <v>0.270563</v>
      </c>
      <c r="D188">
        <f t="shared" si="5"/>
        <v>107.71509433962264</v>
      </c>
      <c r="G188" s="21">
        <v>-0.34253400000000001</v>
      </c>
      <c r="H188" s="21">
        <v>0.270563</v>
      </c>
    </row>
    <row r="189" spans="1:8" x14ac:dyDescent="0.15">
      <c r="A189" s="21">
        <v>3.6523440000000001E-3</v>
      </c>
      <c r="B189" s="21">
        <f t="shared" si="4"/>
        <v>0.39013809999999999</v>
      </c>
      <c r="D189">
        <f t="shared" si="5"/>
        <v>155.92779874213838</v>
      </c>
      <c r="G189" s="21">
        <v>-0.49585040000000002</v>
      </c>
      <c r="H189" s="21">
        <v>0.39013809999999999</v>
      </c>
    </row>
    <row r="190" spans="1:8" x14ac:dyDescent="0.15">
      <c r="A190" s="21">
        <v>3.6718749999999998E-3</v>
      </c>
      <c r="B190" s="21">
        <f t="shared" si="4"/>
        <v>0.49675459999999999</v>
      </c>
      <c r="D190">
        <f t="shared" si="5"/>
        <v>198.84650943396221</v>
      </c>
      <c r="G190" s="21">
        <v>-0.63233189999999995</v>
      </c>
      <c r="H190" s="21">
        <v>0.49675459999999999</v>
      </c>
    </row>
    <row r="191" spans="1:8" x14ac:dyDescent="0.15">
      <c r="A191" s="21">
        <v>3.6914059999999999E-3</v>
      </c>
      <c r="B191" s="21">
        <f t="shared" si="4"/>
        <v>0.58614719999999998</v>
      </c>
      <c r="D191">
        <f t="shared" si="5"/>
        <v>234.9552830188679</v>
      </c>
      <c r="G191" s="21">
        <v>-0.74715779999999998</v>
      </c>
      <c r="H191" s="21">
        <v>0.58614719999999998</v>
      </c>
    </row>
    <row r="192" spans="1:8" x14ac:dyDescent="0.15">
      <c r="A192" s="21">
        <v>3.710938E-3</v>
      </c>
      <c r="B192" s="21">
        <f t="shared" si="4"/>
        <v>0.65599909999999995</v>
      </c>
      <c r="D192">
        <f t="shared" si="5"/>
        <v>263.27544025157232</v>
      </c>
      <c r="G192" s="21">
        <v>-0.83721590000000001</v>
      </c>
      <c r="H192" s="21">
        <v>0.65599909999999995</v>
      </c>
    </row>
    <row r="193" spans="1:8" x14ac:dyDescent="0.15">
      <c r="A193" s="21">
        <v>3.7304690000000001E-3</v>
      </c>
      <c r="B193" s="21">
        <f t="shared" si="4"/>
        <v>0.70361940000000001</v>
      </c>
      <c r="D193">
        <f t="shared" si="5"/>
        <v>282.5795283018868</v>
      </c>
      <c r="G193" s="21">
        <v>-0.89860289999999998</v>
      </c>
      <c r="H193" s="21">
        <v>0.70361940000000001</v>
      </c>
    </row>
    <row r="194" spans="1:8" x14ac:dyDescent="0.15">
      <c r="A194" s="21">
        <v>3.7499999999999999E-3</v>
      </c>
      <c r="B194" s="21">
        <f t="shared" si="4"/>
        <v>0.7295874</v>
      </c>
      <c r="D194">
        <f t="shared" si="5"/>
        <v>293.2954402515723</v>
      </c>
      <c r="G194" s="21">
        <v>-0.93267949999999999</v>
      </c>
      <c r="H194" s="21">
        <v>0.7295874</v>
      </c>
    </row>
    <row r="195" spans="1:8" x14ac:dyDescent="0.15">
      <c r="A195" s="21">
        <v>3.769531E-3</v>
      </c>
      <c r="B195" s="21">
        <f t="shared" ref="B195:B258" si="6">H195</f>
        <v>0.73191240000000002</v>
      </c>
      <c r="D195">
        <f t="shared" ref="D195:D258" si="7">G195*-1000/3.18</f>
        <v>294.23110062893079</v>
      </c>
      <c r="G195" s="21">
        <v>-0.93565489999999996</v>
      </c>
      <c r="H195" s="21">
        <v>0.73191240000000002</v>
      </c>
    </row>
    <row r="196" spans="1:8" x14ac:dyDescent="0.15">
      <c r="A196" s="21">
        <v>3.7890620000000002E-3</v>
      </c>
      <c r="B196" s="21">
        <f t="shared" si="6"/>
        <v>0.70766479999999998</v>
      </c>
      <c r="D196">
        <f t="shared" si="7"/>
        <v>284.42493710691821</v>
      </c>
      <c r="G196" s="21">
        <v>-0.90447129999999998</v>
      </c>
      <c r="H196" s="21">
        <v>0.70766479999999998</v>
      </c>
    </row>
    <row r="197" spans="1:8" x14ac:dyDescent="0.15">
      <c r="A197" s="21">
        <v>3.8085940000000002E-3</v>
      </c>
      <c r="B197" s="21">
        <f t="shared" si="6"/>
        <v>0.66001279999999996</v>
      </c>
      <c r="D197">
        <f t="shared" si="7"/>
        <v>265.49194968553456</v>
      </c>
      <c r="G197" s="21">
        <v>-0.84426440000000003</v>
      </c>
      <c r="H197" s="21">
        <v>0.66001279999999996</v>
      </c>
    </row>
    <row r="198" spans="1:8" x14ac:dyDescent="0.15">
      <c r="A198" s="21">
        <v>3.8281249999999999E-3</v>
      </c>
      <c r="B198" s="21">
        <f t="shared" si="6"/>
        <v>0.58986720000000004</v>
      </c>
      <c r="D198">
        <f t="shared" si="7"/>
        <v>237.2633962264151</v>
      </c>
      <c r="G198" s="21">
        <v>-0.75449759999999999</v>
      </c>
      <c r="H198" s="21">
        <v>0.58986720000000004</v>
      </c>
    </row>
    <row r="199" spans="1:8" x14ac:dyDescent="0.15">
      <c r="A199" s="21">
        <v>3.8476560000000001E-3</v>
      </c>
      <c r="B199" s="21">
        <f t="shared" si="6"/>
        <v>0.498867</v>
      </c>
      <c r="D199">
        <f t="shared" si="7"/>
        <v>200.53861635220125</v>
      </c>
      <c r="G199" s="21">
        <v>-0.63771279999999997</v>
      </c>
      <c r="H199" s="21">
        <v>0.498867</v>
      </c>
    </row>
    <row r="200" spans="1:8" x14ac:dyDescent="0.15">
      <c r="A200" s="21">
        <v>3.8671869999999998E-3</v>
      </c>
      <c r="B200" s="21">
        <f t="shared" si="6"/>
        <v>0.39263379999999998</v>
      </c>
      <c r="D200">
        <f t="shared" si="7"/>
        <v>157.94924528301888</v>
      </c>
      <c r="G200" s="21">
        <v>-0.50227860000000002</v>
      </c>
      <c r="H200" s="21">
        <v>0.39263379999999998</v>
      </c>
    </row>
    <row r="201" spans="1:8" x14ac:dyDescent="0.15">
      <c r="A201" s="21">
        <v>3.8867189999999999E-3</v>
      </c>
      <c r="B201" s="21">
        <f t="shared" si="6"/>
        <v>0.27197470000000001</v>
      </c>
      <c r="D201">
        <f t="shared" si="7"/>
        <v>109.51745283018869</v>
      </c>
      <c r="G201" s="21">
        <v>-0.34826550000000001</v>
      </c>
      <c r="H201" s="21">
        <v>0.27197470000000001</v>
      </c>
    </row>
    <row r="202" spans="1:8" x14ac:dyDescent="0.15">
      <c r="A202" s="21">
        <v>3.90625E-3</v>
      </c>
      <c r="B202" s="21">
        <f t="shared" si="6"/>
        <v>0.14003090000000001</v>
      </c>
      <c r="D202">
        <f t="shared" si="7"/>
        <v>56.618679245283019</v>
      </c>
      <c r="G202" s="21">
        <v>-0.1800474</v>
      </c>
      <c r="H202" s="21">
        <v>0.14003090000000001</v>
      </c>
    </row>
    <row r="203" spans="1:8" x14ac:dyDescent="0.15">
      <c r="A203" s="21">
        <v>3.9257809999999997E-3</v>
      </c>
      <c r="B203" s="21">
        <f t="shared" si="6"/>
        <v>3.873151E-3</v>
      </c>
      <c r="D203">
        <f t="shared" si="7"/>
        <v>2.1844132075471698</v>
      </c>
      <c r="G203" s="21">
        <v>-6.9464339999999996E-3</v>
      </c>
      <c r="H203" s="21">
        <v>3.873151E-3</v>
      </c>
    </row>
    <row r="204" spans="1:8" x14ac:dyDescent="0.15">
      <c r="A204" s="21">
        <v>3.9453129999999998E-3</v>
      </c>
      <c r="B204" s="21">
        <f t="shared" si="6"/>
        <v>-0.13166</v>
      </c>
      <c r="D204">
        <f t="shared" si="7"/>
        <v>-51.962327044025159</v>
      </c>
      <c r="G204" s="21">
        <v>0.1652402</v>
      </c>
      <c r="H204" s="21">
        <v>-0.13166</v>
      </c>
    </row>
    <row r="205" spans="1:8" x14ac:dyDescent="0.15">
      <c r="A205" s="21">
        <v>3.9648440000000004E-3</v>
      </c>
      <c r="B205" s="21">
        <f t="shared" si="6"/>
        <v>-0.26009569999999999</v>
      </c>
      <c r="D205">
        <f t="shared" si="7"/>
        <v>-103.21911949685534</v>
      </c>
      <c r="G205" s="21">
        <v>0.3282368</v>
      </c>
      <c r="H205" s="21">
        <v>-0.26009569999999999</v>
      </c>
    </row>
    <row r="206" spans="1:8" x14ac:dyDescent="0.15">
      <c r="A206" s="21">
        <v>3.9843750000000001E-3</v>
      </c>
      <c r="B206" s="21">
        <f t="shared" si="6"/>
        <v>-0.37902849999999999</v>
      </c>
      <c r="D206">
        <f t="shared" si="7"/>
        <v>-150.95125786163521</v>
      </c>
      <c r="G206" s="21">
        <v>0.48002499999999998</v>
      </c>
      <c r="H206" s="21">
        <v>-0.37902849999999999</v>
      </c>
    </row>
    <row r="207" spans="1:8" x14ac:dyDescent="0.15">
      <c r="A207" s="21">
        <v>4.0039059999999998E-3</v>
      </c>
      <c r="B207" s="21">
        <f t="shared" si="6"/>
        <v>-0.48755920000000003</v>
      </c>
      <c r="D207">
        <f t="shared" si="7"/>
        <v>-194.48160377358491</v>
      </c>
      <c r="G207" s="21">
        <v>0.61845150000000004</v>
      </c>
      <c r="H207" s="21">
        <v>-0.48755920000000003</v>
      </c>
    </row>
    <row r="208" spans="1:8" x14ac:dyDescent="0.15">
      <c r="A208" s="21">
        <v>4.0234379999999998E-3</v>
      </c>
      <c r="B208" s="21">
        <f t="shared" si="6"/>
        <v>-0.57941350000000003</v>
      </c>
      <c r="D208">
        <f t="shared" si="7"/>
        <v>-230.98830188679247</v>
      </c>
      <c r="G208" s="21">
        <v>0.73454280000000005</v>
      </c>
      <c r="H208" s="21">
        <v>-0.57941350000000003</v>
      </c>
    </row>
    <row r="209" spans="1:8" x14ac:dyDescent="0.15">
      <c r="A209" s="21">
        <v>4.0429690000000004E-3</v>
      </c>
      <c r="B209" s="21">
        <f t="shared" si="6"/>
        <v>-0.65179750000000003</v>
      </c>
      <c r="D209">
        <f t="shared" si="7"/>
        <v>-260.01616352201256</v>
      </c>
      <c r="G209" s="21">
        <v>0.82685140000000001</v>
      </c>
      <c r="H209" s="21">
        <v>-0.65179750000000003</v>
      </c>
    </row>
    <row r="210" spans="1:8" x14ac:dyDescent="0.15">
      <c r="A210" s="21">
        <v>4.0625000000000001E-3</v>
      </c>
      <c r="B210" s="21">
        <f t="shared" si="6"/>
        <v>-0.70258880000000001</v>
      </c>
      <c r="D210">
        <f t="shared" si="7"/>
        <v>-280.68864779874212</v>
      </c>
      <c r="G210" s="21">
        <v>0.89258990000000005</v>
      </c>
      <c r="H210" s="21">
        <v>-0.70258880000000001</v>
      </c>
    </row>
    <row r="211" spans="1:8" x14ac:dyDescent="0.15">
      <c r="A211" s="21">
        <v>4.0820309999999999E-3</v>
      </c>
      <c r="B211" s="21">
        <f t="shared" si="6"/>
        <v>-0.72896179999999999</v>
      </c>
      <c r="D211">
        <f t="shared" si="7"/>
        <v>-291.42493710691821</v>
      </c>
      <c r="G211" s="21">
        <v>0.92673130000000004</v>
      </c>
      <c r="H211" s="21">
        <v>-0.72896179999999999</v>
      </c>
    </row>
    <row r="212" spans="1:8" x14ac:dyDescent="0.15">
      <c r="A212" s="21">
        <v>4.1015629999999999E-3</v>
      </c>
      <c r="B212" s="21">
        <f t="shared" si="6"/>
        <v>-0.73208499999999999</v>
      </c>
      <c r="D212">
        <f t="shared" si="7"/>
        <v>-292.77606918238996</v>
      </c>
      <c r="G212" s="21">
        <v>0.93102790000000002</v>
      </c>
      <c r="H212" s="21">
        <v>-0.73208499999999999</v>
      </c>
    </row>
    <row r="213" spans="1:8" x14ac:dyDescent="0.15">
      <c r="A213" s="21">
        <v>4.1210939999999996E-3</v>
      </c>
      <c r="B213" s="21">
        <f t="shared" si="6"/>
        <v>-0.71078260000000004</v>
      </c>
      <c r="D213">
        <f t="shared" si="7"/>
        <v>-284.38352201257862</v>
      </c>
      <c r="G213" s="21">
        <v>0.90433960000000002</v>
      </c>
      <c r="H213" s="21">
        <v>-0.71078260000000004</v>
      </c>
    </row>
    <row r="214" spans="1:8" x14ac:dyDescent="0.15">
      <c r="A214" s="21">
        <v>4.1406250000000002E-3</v>
      </c>
      <c r="B214" s="21">
        <f t="shared" si="6"/>
        <v>-0.66459009999999996</v>
      </c>
      <c r="D214">
        <f t="shared" si="7"/>
        <v>-266.17698113207547</v>
      </c>
      <c r="G214" s="21">
        <v>0.84644280000000005</v>
      </c>
      <c r="H214" s="21">
        <v>-0.66459009999999996</v>
      </c>
    </row>
    <row r="215" spans="1:8" x14ac:dyDescent="0.15">
      <c r="A215" s="21">
        <v>4.1601559999999999E-3</v>
      </c>
      <c r="B215" s="21">
        <f t="shared" si="6"/>
        <v>-0.59589910000000001</v>
      </c>
      <c r="D215">
        <f t="shared" si="7"/>
        <v>-238.96616352201258</v>
      </c>
      <c r="G215" s="21">
        <v>0.75991240000000004</v>
      </c>
      <c r="H215" s="21">
        <v>-0.59589910000000001</v>
      </c>
    </row>
    <row r="216" spans="1:8" x14ac:dyDescent="0.15">
      <c r="A216" s="21">
        <v>4.179688E-3</v>
      </c>
      <c r="B216" s="21">
        <f t="shared" si="6"/>
        <v>-0.50603529999999997</v>
      </c>
      <c r="D216">
        <f t="shared" si="7"/>
        <v>-203.02012578616348</v>
      </c>
      <c r="G216" s="21">
        <v>0.64560399999999996</v>
      </c>
      <c r="H216" s="21">
        <v>-0.50603529999999997</v>
      </c>
    </row>
    <row r="217" spans="1:8" x14ac:dyDescent="0.15">
      <c r="A217" s="21">
        <v>4.1992189999999997E-3</v>
      </c>
      <c r="B217" s="21">
        <f t="shared" si="6"/>
        <v>-0.39895320000000001</v>
      </c>
      <c r="D217">
        <f t="shared" si="7"/>
        <v>-160.21701257861633</v>
      </c>
      <c r="G217" s="21">
        <v>0.50949009999999995</v>
      </c>
      <c r="H217" s="21">
        <v>-0.39895320000000001</v>
      </c>
    </row>
    <row r="218" spans="1:8" x14ac:dyDescent="0.15">
      <c r="A218" s="21">
        <v>4.2187500000000003E-3</v>
      </c>
      <c r="B218" s="21">
        <f t="shared" si="6"/>
        <v>-0.27814610000000001</v>
      </c>
      <c r="D218">
        <f t="shared" si="7"/>
        <v>-112.02487421383645</v>
      </c>
      <c r="G218" s="21">
        <v>0.35623909999999998</v>
      </c>
      <c r="H218" s="21">
        <v>-0.27814610000000001</v>
      </c>
    </row>
    <row r="219" spans="1:8" x14ac:dyDescent="0.15">
      <c r="A219" s="21">
        <v>4.238281E-3</v>
      </c>
      <c r="B219" s="21">
        <f t="shared" si="6"/>
        <v>-0.14643239999999999</v>
      </c>
      <c r="D219">
        <f t="shared" si="7"/>
        <v>-59.324496855345913</v>
      </c>
      <c r="G219" s="21">
        <v>0.18865190000000001</v>
      </c>
      <c r="H219" s="21">
        <v>-0.14643239999999999</v>
      </c>
    </row>
    <row r="220" spans="1:8" x14ac:dyDescent="0.15">
      <c r="A220" s="21">
        <v>4.257813E-3</v>
      </c>
      <c r="B220" s="21">
        <f t="shared" si="6"/>
        <v>-1.0901320000000001E-2</v>
      </c>
      <c r="D220">
        <f t="shared" si="7"/>
        <v>-5.1231949685534586</v>
      </c>
      <c r="G220" s="21">
        <v>1.6291759999999999E-2</v>
      </c>
      <c r="H220" s="21">
        <v>-1.0901320000000001E-2</v>
      </c>
    </row>
    <row r="221" spans="1:8" x14ac:dyDescent="0.15">
      <c r="A221" s="21">
        <v>4.2773439999999998E-3</v>
      </c>
      <c r="B221" s="21">
        <f t="shared" si="6"/>
        <v>0.1238585</v>
      </c>
      <c r="D221">
        <f t="shared" si="7"/>
        <v>48.906226415094331</v>
      </c>
      <c r="G221" s="21">
        <v>-0.15552179999999999</v>
      </c>
      <c r="H221" s="21">
        <v>0.1238585</v>
      </c>
    </row>
    <row r="222" spans="1:8" x14ac:dyDescent="0.15">
      <c r="A222" s="21">
        <v>4.2968750000000003E-3</v>
      </c>
      <c r="B222" s="21">
        <f t="shared" si="6"/>
        <v>0.25439299999999998</v>
      </c>
      <c r="D222">
        <f t="shared" si="7"/>
        <v>101.40361635220125</v>
      </c>
      <c r="G222" s="21">
        <v>-0.32246350000000001</v>
      </c>
      <c r="H222" s="21">
        <v>0.25439299999999998</v>
      </c>
    </row>
    <row r="223" spans="1:8" x14ac:dyDescent="0.15">
      <c r="A223" s="21">
        <v>4.3164060000000001E-3</v>
      </c>
      <c r="B223" s="21">
        <f t="shared" si="6"/>
        <v>0.37443520000000002</v>
      </c>
      <c r="D223">
        <f t="shared" si="7"/>
        <v>149.59254716981133</v>
      </c>
      <c r="G223" s="21">
        <v>-0.47570430000000002</v>
      </c>
      <c r="H223" s="21">
        <v>0.37443520000000002</v>
      </c>
    </row>
    <row r="224" spans="1:8" x14ac:dyDescent="0.15">
      <c r="A224" s="21">
        <v>4.3359380000000001E-3</v>
      </c>
      <c r="B224" s="21">
        <f t="shared" si="6"/>
        <v>0.48219519999999999</v>
      </c>
      <c r="D224">
        <f t="shared" si="7"/>
        <v>193.05522012578618</v>
      </c>
      <c r="G224" s="21">
        <v>-0.61391560000000001</v>
      </c>
      <c r="H224" s="21">
        <v>0.48219519999999999</v>
      </c>
    </row>
    <row r="225" spans="1:8" x14ac:dyDescent="0.15">
      <c r="A225" s="21">
        <v>4.3554689999999998E-3</v>
      </c>
      <c r="B225" s="21">
        <f t="shared" si="6"/>
        <v>0.57500130000000005</v>
      </c>
      <c r="D225">
        <f t="shared" si="7"/>
        <v>230.54242138364779</v>
      </c>
      <c r="G225" s="21">
        <v>-0.73312489999999997</v>
      </c>
      <c r="H225" s="21">
        <v>0.57500130000000005</v>
      </c>
    </row>
    <row r="226" spans="1:8" x14ac:dyDescent="0.15">
      <c r="A226" s="21">
        <v>4.3750000000000004E-3</v>
      </c>
      <c r="B226" s="21">
        <f t="shared" si="6"/>
        <v>0.64725299999999997</v>
      </c>
      <c r="D226">
        <f t="shared" si="7"/>
        <v>259.65006289308172</v>
      </c>
      <c r="G226" s="21">
        <v>-0.82568719999999995</v>
      </c>
      <c r="H226" s="21">
        <v>0.64725299999999997</v>
      </c>
    </row>
    <row r="227" spans="1:8" x14ac:dyDescent="0.15">
      <c r="A227" s="21">
        <v>4.3945310000000001E-3</v>
      </c>
      <c r="B227" s="21">
        <f t="shared" si="6"/>
        <v>0.69825570000000003</v>
      </c>
      <c r="D227">
        <f t="shared" si="7"/>
        <v>280.43493710691826</v>
      </c>
      <c r="G227" s="21">
        <v>-0.89178310000000005</v>
      </c>
      <c r="H227" s="21">
        <v>0.69825570000000003</v>
      </c>
    </row>
    <row r="228" spans="1:8" x14ac:dyDescent="0.15">
      <c r="A228" s="21">
        <v>4.4140630000000002E-3</v>
      </c>
      <c r="B228" s="21">
        <f t="shared" si="6"/>
        <v>0.72731599999999996</v>
      </c>
      <c r="D228">
        <f t="shared" si="7"/>
        <v>292.38160377358491</v>
      </c>
      <c r="G228" s="21">
        <v>-0.92977350000000003</v>
      </c>
      <c r="H228" s="21">
        <v>0.72731599999999996</v>
      </c>
    </row>
    <row r="229" spans="1:8" x14ac:dyDescent="0.15">
      <c r="A229" s="21">
        <v>4.4335939999999999E-3</v>
      </c>
      <c r="B229" s="21">
        <f t="shared" si="6"/>
        <v>0.73222880000000001</v>
      </c>
      <c r="D229">
        <f t="shared" si="7"/>
        <v>294.41899371069178</v>
      </c>
      <c r="G229" s="21">
        <v>-0.93625239999999998</v>
      </c>
      <c r="H229" s="21">
        <v>0.73222880000000001</v>
      </c>
    </row>
    <row r="230" spans="1:8" x14ac:dyDescent="0.15">
      <c r="A230" s="21">
        <v>4.4531249999999996E-3</v>
      </c>
      <c r="B230" s="21">
        <f t="shared" si="6"/>
        <v>0.71210770000000001</v>
      </c>
      <c r="D230">
        <f t="shared" si="7"/>
        <v>286.27779874213837</v>
      </c>
      <c r="G230" s="21">
        <v>-0.91036340000000004</v>
      </c>
      <c r="H230" s="21">
        <v>0.71210770000000001</v>
      </c>
    </row>
    <row r="231" spans="1:8" x14ac:dyDescent="0.15">
      <c r="A231" s="21">
        <v>4.4726560000000002E-3</v>
      </c>
      <c r="B231" s="21">
        <f t="shared" si="6"/>
        <v>0.66681409999999997</v>
      </c>
      <c r="D231">
        <f t="shared" si="7"/>
        <v>268.10977987421381</v>
      </c>
      <c r="G231" s="21">
        <v>-0.85258909999999999</v>
      </c>
      <c r="H231" s="21">
        <v>0.66681409999999997</v>
      </c>
    </row>
    <row r="232" spans="1:8" x14ac:dyDescent="0.15">
      <c r="A232" s="21">
        <v>4.4921880000000003E-3</v>
      </c>
      <c r="B232" s="21">
        <f t="shared" si="6"/>
        <v>0.59916999999999998</v>
      </c>
      <c r="D232">
        <f t="shared" si="7"/>
        <v>241.11349056603768</v>
      </c>
      <c r="G232" s="21">
        <v>-0.76674089999999995</v>
      </c>
      <c r="H232" s="21">
        <v>0.59916999999999998</v>
      </c>
    </row>
    <row r="233" spans="1:8" x14ac:dyDescent="0.15">
      <c r="A233" s="21">
        <v>4.511719E-3</v>
      </c>
      <c r="B233" s="21">
        <f t="shared" si="6"/>
        <v>0.51211269999999998</v>
      </c>
      <c r="D233">
        <f t="shared" si="7"/>
        <v>206.08811320754714</v>
      </c>
      <c r="G233" s="21">
        <v>-0.65536019999999995</v>
      </c>
      <c r="H233" s="21">
        <v>0.51211269999999998</v>
      </c>
    </row>
    <row r="234" spans="1:8" x14ac:dyDescent="0.15">
      <c r="A234" s="21">
        <v>4.5312499999999997E-3</v>
      </c>
      <c r="B234" s="21">
        <f t="shared" si="6"/>
        <v>0.40726600000000002</v>
      </c>
      <c r="D234">
        <f t="shared" si="7"/>
        <v>163.82154088050314</v>
      </c>
      <c r="G234" s="21">
        <v>-0.52095250000000004</v>
      </c>
      <c r="H234" s="21">
        <v>0.40726600000000002</v>
      </c>
    </row>
    <row r="235" spans="1:8" x14ac:dyDescent="0.15">
      <c r="A235" s="21">
        <v>4.5507810000000003E-3</v>
      </c>
      <c r="B235" s="21">
        <f t="shared" si="6"/>
        <v>0.28808889999999998</v>
      </c>
      <c r="D235">
        <f t="shared" si="7"/>
        <v>116.00487421383646</v>
      </c>
      <c r="G235" s="21">
        <v>-0.36889549999999999</v>
      </c>
      <c r="H235" s="21">
        <v>0.28808889999999998</v>
      </c>
    </row>
    <row r="236" spans="1:8" x14ac:dyDescent="0.15">
      <c r="A236" s="21">
        <v>4.570312E-3</v>
      </c>
      <c r="B236" s="21">
        <f t="shared" si="6"/>
        <v>0.157581</v>
      </c>
      <c r="D236">
        <f t="shared" si="7"/>
        <v>63.735440251572321</v>
      </c>
      <c r="G236" s="21">
        <v>-0.20267869999999999</v>
      </c>
      <c r="H236" s="21">
        <v>0.157581</v>
      </c>
    </row>
    <row r="237" spans="1:8" x14ac:dyDescent="0.15">
      <c r="A237" s="21">
        <v>4.589844E-3</v>
      </c>
      <c r="B237" s="21">
        <f t="shared" si="6"/>
        <v>2.0550220000000001E-2</v>
      </c>
      <c r="D237">
        <f t="shared" si="7"/>
        <v>8.9558962264150956</v>
      </c>
      <c r="G237" s="21">
        <v>-2.8479750000000002E-2</v>
      </c>
      <c r="H237" s="21">
        <v>2.0550220000000001E-2</v>
      </c>
    </row>
    <row r="238" spans="1:8" x14ac:dyDescent="0.15">
      <c r="A238" s="21">
        <v>4.6093749999999998E-3</v>
      </c>
      <c r="B238" s="21">
        <f t="shared" si="6"/>
        <v>-0.1146465</v>
      </c>
      <c r="D238">
        <f t="shared" si="7"/>
        <v>-44.981352201257856</v>
      </c>
      <c r="G238" s="21">
        <v>0.14304069999999999</v>
      </c>
      <c r="H238" s="21">
        <v>-0.1146465</v>
      </c>
    </row>
    <row r="239" spans="1:8" x14ac:dyDescent="0.15">
      <c r="A239" s="21">
        <v>4.6289060000000003E-3</v>
      </c>
      <c r="B239" s="21">
        <f t="shared" si="6"/>
        <v>-0.24397089999999999</v>
      </c>
      <c r="D239">
        <f t="shared" si="7"/>
        <v>-96.726006289308174</v>
      </c>
      <c r="G239" s="21">
        <v>0.30758869999999999</v>
      </c>
      <c r="H239" s="21">
        <v>-0.24397089999999999</v>
      </c>
    </row>
    <row r="240" spans="1:8" x14ac:dyDescent="0.15">
      <c r="A240" s="21">
        <v>4.6484370000000001E-3</v>
      </c>
      <c r="B240" s="21">
        <f t="shared" si="6"/>
        <v>-0.36519089999999998</v>
      </c>
      <c r="D240">
        <f t="shared" si="7"/>
        <v>-145.34685534591193</v>
      </c>
      <c r="G240" s="21">
        <v>0.46220299999999997</v>
      </c>
      <c r="H240" s="21">
        <v>-0.36519089999999998</v>
      </c>
    </row>
    <row r="241" spans="1:8" x14ac:dyDescent="0.15">
      <c r="A241" s="21">
        <v>4.6679690000000001E-3</v>
      </c>
      <c r="B241" s="21">
        <f t="shared" si="6"/>
        <v>-0.4741976</v>
      </c>
      <c r="D241">
        <f t="shared" si="7"/>
        <v>-188.91597484276727</v>
      </c>
      <c r="G241" s="21">
        <v>0.60075279999999998</v>
      </c>
      <c r="H241" s="21">
        <v>-0.4741976</v>
      </c>
    </row>
    <row r="242" spans="1:8" x14ac:dyDescent="0.15">
      <c r="A242" s="21">
        <v>4.6874999999999998E-3</v>
      </c>
      <c r="B242" s="21">
        <f t="shared" si="6"/>
        <v>-0.56883669999999997</v>
      </c>
      <c r="D242">
        <f t="shared" si="7"/>
        <v>-226.76342767295597</v>
      </c>
      <c r="G242" s="21">
        <v>0.72110770000000002</v>
      </c>
      <c r="H242" s="21">
        <v>-0.56883669999999997</v>
      </c>
    </row>
    <row r="243" spans="1:8" x14ac:dyDescent="0.15">
      <c r="A243" s="21">
        <v>4.7070310000000004E-3</v>
      </c>
      <c r="B243" s="21">
        <f t="shared" si="6"/>
        <v>-0.64460989999999996</v>
      </c>
      <c r="D243">
        <f t="shared" si="7"/>
        <v>-257.11427672955972</v>
      </c>
      <c r="G243" s="21">
        <v>0.8176234</v>
      </c>
      <c r="H243" s="21">
        <v>-0.64460989999999996</v>
      </c>
    </row>
    <row r="244" spans="1:8" x14ac:dyDescent="0.15">
      <c r="A244" s="21">
        <v>4.7265620000000001E-3</v>
      </c>
      <c r="B244" s="21">
        <f t="shared" si="6"/>
        <v>-0.69743840000000001</v>
      </c>
      <c r="D244">
        <f t="shared" si="7"/>
        <v>-278.39503144654088</v>
      </c>
      <c r="G244" s="21">
        <v>0.88529619999999998</v>
      </c>
      <c r="H244" s="21">
        <v>-0.69743840000000001</v>
      </c>
    </row>
    <row r="245" spans="1:8" x14ac:dyDescent="0.15">
      <c r="A245" s="21">
        <v>4.7460940000000002E-3</v>
      </c>
      <c r="B245" s="21">
        <f t="shared" si="6"/>
        <v>-0.72775789999999996</v>
      </c>
      <c r="D245">
        <f t="shared" si="7"/>
        <v>-290.83827044025156</v>
      </c>
      <c r="G245" s="21">
        <v>0.92486570000000001</v>
      </c>
      <c r="H245" s="21">
        <v>-0.72775789999999996</v>
      </c>
    </row>
    <row r="246" spans="1:8" x14ac:dyDescent="0.15">
      <c r="A246" s="21">
        <v>4.7656249999999999E-3</v>
      </c>
      <c r="B246" s="21">
        <f t="shared" si="6"/>
        <v>-0.73378730000000003</v>
      </c>
      <c r="D246">
        <f t="shared" si="7"/>
        <v>-293.34465408805028</v>
      </c>
      <c r="G246" s="21">
        <v>0.932836</v>
      </c>
      <c r="H246" s="21">
        <v>-0.73378730000000003</v>
      </c>
    </row>
    <row r="247" spans="1:8" x14ac:dyDescent="0.15">
      <c r="A247" s="21">
        <v>4.7851559999999996E-3</v>
      </c>
      <c r="B247" s="21">
        <f t="shared" si="6"/>
        <v>-0.71475100000000003</v>
      </c>
      <c r="D247">
        <f t="shared" si="7"/>
        <v>-285.91364779874215</v>
      </c>
      <c r="G247" s="21">
        <v>0.90920540000000005</v>
      </c>
      <c r="H247" s="21">
        <v>-0.71475100000000003</v>
      </c>
    </row>
    <row r="248" spans="1:8" x14ac:dyDescent="0.15">
      <c r="A248" s="21">
        <v>4.8046870000000002E-3</v>
      </c>
      <c r="B248" s="21">
        <f t="shared" si="6"/>
        <v>-0.67242849999999998</v>
      </c>
      <c r="D248">
        <f t="shared" si="7"/>
        <v>-269.32783018867923</v>
      </c>
      <c r="G248" s="21">
        <v>0.85646250000000002</v>
      </c>
      <c r="H248" s="21">
        <v>-0.67242849999999998</v>
      </c>
    </row>
    <row r="249" spans="1:8" x14ac:dyDescent="0.15">
      <c r="A249" s="21">
        <v>4.8242190000000003E-3</v>
      </c>
      <c r="B249" s="21">
        <f t="shared" si="6"/>
        <v>-0.60634849999999996</v>
      </c>
      <c r="D249">
        <f t="shared" si="7"/>
        <v>-243.02345911949686</v>
      </c>
      <c r="G249" s="21">
        <v>0.77281460000000002</v>
      </c>
      <c r="H249" s="21">
        <v>-0.60634849999999996</v>
      </c>
    </row>
    <row r="250" spans="1:8" x14ac:dyDescent="0.15">
      <c r="A250" s="21">
        <v>4.84375E-3</v>
      </c>
      <c r="B250" s="21">
        <f t="shared" si="6"/>
        <v>-0.51923980000000003</v>
      </c>
      <c r="D250">
        <f t="shared" si="7"/>
        <v>-208.30698113207546</v>
      </c>
      <c r="G250" s="21">
        <v>0.66241620000000001</v>
      </c>
      <c r="H250" s="21">
        <v>-0.51923980000000003</v>
      </c>
    </row>
    <row r="251" spans="1:8" x14ac:dyDescent="0.15">
      <c r="A251" s="21">
        <v>4.8632809999999997E-3</v>
      </c>
      <c r="B251" s="21">
        <f t="shared" si="6"/>
        <v>-0.41472690000000001</v>
      </c>
      <c r="D251">
        <f t="shared" si="7"/>
        <v>-166.5213836477987</v>
      </c>
      <c r="G251" s="21">
        <v>0.52953799999999995</v>
      </c>
      <c r="H251" s="21">
        <v>-0.41472690000000001</v>
      </c>
    </row>
    <row r="252" spans="1:8" x14ac:dyDescent="0.15">
      <c r="A252" s="21">
        <v>4.8828120000000003E-3</v>
      </c>
      <c r="B252" s="21">
        <f t="shared" si="6"/>
        <v>-0.2943421</v>
      </c>
      <c r="D252">
        <f t="shared" si="7"/>
        <v>-118.38943396226414</v>
      </c>
      <c r="G252" s="21">
        <v>0.37647839999999999</v>
      </c>
      <c r="H252" s="21">
        <v>-0.2943421</v>
      </c>
    </row>
    <row r="253" spans="1:8" x14ac:dyDescent="0.15">
      <c r="A253" s="21">
        <v>4.9023440000000003E-3</v>
      </c>
      <c r="B253" s="21">
        <f t="shared" si="6"/>
        <v>-0.16432820000000001</v>
      </c>
      <c r="D253">
        <f t="shared" si="7"/>
        <v>-66.540188679245276</v>
      </c>
      <c r="G253" s="21">
        <v>0.2115978</v>
      </c>
      <c r="H253" s="21">
        <v>-0.16432820000000001</v>
      </c>
    </row>
    <row r="254" spans="1:8" x14ac:dyDescent="0.15">
      <c r="A254" s="21">
        <v>4.921875E-3</v>
      </c>
      <c r="B254" s="21">
        <f t="shared" si="6"/>
        <v>-2.9662819999999999E-2</v>
      </c>
      <c r="D254">
        <f t="shared" si="7"/>
        <v>-12.494757861635218</v>
      </c>
      <c r="G254" s="21">
        <v>3.9733329999999997E-2</v>
      </c>
      <c r="H254" s="21">
        <v>-2.9662819999999999E-2</v>
      </c>
    </row>
    <row r="255" spans="1:8" x14ac:dyDescent="0.15">
      <c r="A255" s="21">
        <v>4.9414059999999997E-3</v>
      </c>
      <c r="B255" s="21">
        <f t="shared" si="6"/>
        <v>0.1063631</v>
      </c>
      <c r="D255">
        <f t="shared" si="7"/>
        <v>42.104874213836474</v>
      </c>
      <c r="G255" s="21">
        <v>-0.1338935</v>
      </c>
      <c r="H255" s="21">
        <v>0.1063631</v>
      </c>
    </row>
    <row r="256" spans="1:8" x14ac:dyDescent="0.15">
      <c r="A256" s="21">
        <v>4.9609379999999998E-3</v>
      </c>
      <c r="B256" s="21">
        <f t="shared" si="6"/>
        <v>0.2368065</v>
      </c>
      <c r="D256">
        <f t="shared" si="7"/>
        <v>94.334622641509412</v>
      </c>
      <c r="G256" s="21">
        <v>-0.29998409999999998</v>
      </c>
      <c r="H256" s="21">
        <v>0.2368065</v>
      </c>
    </row>
    <row r="257" spans="1:8" x14ac:dyDescent="0.15">
      <c r="A257" s="21">
        <v>4.9804690000000004E-3</v>
      </c>
      <c r="B257" s="21">
        <f t="shared" si="6"/>
        <v>0.35870999999999997</v>
      </c>
      <c r="D257">
        <f t="shared" si="7"/>
        <v>143.41616352201257</v>
      </c>
      <c r="G257" s="21">
        <v>-0.45606340000000001</v>
      </c>
      <c r="H257" s="21">
        <v>0.35870999999999997</v>
      </c>
    </row>
    <row r="258" spans="1:8" x14ac:dyDescent="0.15">
      <c r="A258" s="21">
        <v>5.0000000000000001E-3</v>
      </c>
      <c r="B258" s="21">
        <f t="shared" si="6"/>
        <v>0.46943750000000001</v>
      </c>
      <c r="D258">
        <f t="shared" si="7"/>
        <v>187.99965408805031</v>
      </c>
      <c r="G258" s="21">
        <v>-0.59783889999999995</v>
      </c>
      <c r="H258" s="21">
        <v>0.46943750000000001</v>
      </c>
    </row>
    <row r="259" spans="1:8" x14ac:dyDescent="0.15">
      <c r="A259" s="21">
        <v>5.0195309999999998E-3</v>
      </c>
      <c r="B259" s="21">
        <f t="shared" ref="B259:B322" si="8">H259</f>
        <v>0.56373629999999997</v>
      </c>
      <c r="D259">
        <f t="shared" ref="D259:D322" si="9">G259*-1000/3.18</f>
        <v>225.99836477987418</v>
      </c>
      <c r="G259" s="21">
        <v>-0.71867479999999995</v>
      </c>
      <c r="H259" s="21">
        <v>0.56373629999999997</v>
      </c>
    </row>
    <row r="260" spans="1:8" x14ac:dyDescent="0.15">
      <c r="A260" s="21">
        <v>5.0390629999999999E-3</v>
      </c>
      <c r="B260" s="21">
        <f t="shared" si="8"/>
        <v>0.63932800000000001</v>
      </c>
      <c r="D260">
        <f t="shared" si="9"/>
        <v>256.63408805031446</v>
      </c>
      <c r="G260" s="21">
        <v>-0.81609640000000006</v>
      </c>
      <c r="H260" s="21">
        <v>0.63932800000000001</v>
      </c>
    </row>
    <row r="261" spans="1:8" x14ac:dyDescent="0.15">
      <c r="A261" s="21">
        <v>5.0585939999999996E-3</v>
      </c>
      <c r="B261" s="21">
        <f t="shared" si="8"/>
        <v>0.69302200000000003</v>
      </c>
      <c r="D261">
        <f t="shared" si="9"/>
        <v>278.36069182389934</v>
      </c>
      <c r="G261" s="21">
        <v>-0.88518699999999995</v>
      </c>
      <c r="H261" s="21">
        <v>0.69302200000000003</v>
      </c>
    </row>
    <row r="262" spans="1:8" x14ac:dyDescent="0.15">
      <c r="A262" s="21">
        <v>5.0781250000000002E-3</v>
      </c>
      <c r="B262" s="21">
        <f t="shared" si="8"/>
        <v>0.72426729999999995</v>
      </c>
      <c r="D262">
        <f t="shared" si="9"/>
        <v>291.15902515723269</v>
      </c>
      <c r="G262" s="21">
        <v>-0.92588570000000003</v>
      </c>
      <c r="H262" s="21">
        <v>0.72426729999999995</v>
      </c>
    </row>
    <row r="263" spans="1:8" x14ac:dyDescent="0.15">
      <c r="A263" s="21">
        <v>5.0976559999999999E-3</v>
      </c>
      <c r="B263" s="21">
        <f t="shared" si="8"/>
        <v>0.73353120000000005</v>
      </c>
      <c r="D263">
        <f t="shared" si="9"/>
        <v>295.06367924528303</v>
      </c>
      <c r="G263" s="21">
        <v>-0.93830250000000004</v>
      </c>
      <c r="H263" s="21">
        <v>0.73353120000000005</v>
      </c>
    </row>
    <row r="264" spans="1:8" x14ac:dyDescent="0.15">
      <c r="A264" s="21">
        <v>5.1171879999999999E-3</v>
      </c>
      <c r="B264" s="21">
        <f t="shared" si="8"/>
        <v>0.71631880000000003</v>
      </c>
      <c r="D264">
        <f t="shared" si="9"/>
        <v>288.02295597484277</v>
      </c>
      <c r="G264" s="21">
        <v>-0.91591299999999998</v>
      </c>
      <c r="H264" s="21">
        <v>0.71631880000000003</v>
      </c>
    </row>
    <row r="265" spans="1:8" x14ac:dyDescent="0.15">
      <c r="A265" s="21">
        <v>5.1367189999999997E-3</v>
      </c>
      <c r="B265" s="21">
        <f t="shared" si="8"/>
        <v>0.67424390000000001</v>
      </c>
      <c r="D265">
        <f t="shared" si="9"/>
        <v>271.21738993710693</v>
      </c>
      <c r="G265" s="21">
        <v>-0.86247130000000005</v>
      </c>
      <c r="H265" s="21">
        <v>0.67424390000000001</v>
      </c>
    </row>
    <row r="266" spans="1:8" x14ac:dyDescent="0.15">
      <c r="A266" s="21">
        <v>5.1562500000000002E-3</v>
      </c>
      <c r="B266" s="21">
        <f t="shared" si="8"/>
        <v>0.6105332</v>
      </c>
      <c r="D266">
        <f t="shared" si="9"/>
        <v>245.7641509433962</v>
      </c>
      <c r="G266" s="21">
        <v>-0.78152999999999995</v>
      </c>
      <c r="H266" s="21">
        <v>0.6105332</v>
      </c>
    </row>
    <row r="267" spans="1:8" x14ac:dyDescent="0.15">
      <c r="A267" s="21">
        <v>5.175781E-3</v>
      </c>
      <c r="B267" s="21">
        <f t="shared" si="8"/>
        <v>0.52451369999999997</v>
      </c>
      <c r="D267">
        <f t="shared" si="9"/>
        <v>211.04569182389938</v>
      </c>
      <c r="G267" s="21">
        <v>-0.67112530000000004</v>
      </c>
      <c r="H267" s="21">
        <v>0.52451369999999997</v>
      </c>
    </row>
    <row r="268" spans="1:8" x14ac:dyDescent="0.15">
      <c r="A268" s="21">
        <v>5.195313E-3</v>
      </c>
      <c r="B268" s="21">
        <f t="shared" si="8"/>
        <v>0.42178260000000001</v>
      </c>
      <c r="D268">
        <f t="shared" si="9"/>
        <v>169.80298742138362</v>
      </c>
      <c r="G268" s="21">
        <v>-0.5399735</v>
      </c>
      <c r="H268" s="21">
        <v>0.42178260000000001</v>
      </c>
    </row>
    <row r="269" spans="1:8" x14ac:dyDescent="0.15">
      <c r="A269" s="21">
        <v>5.2148439999999997E-3</v>
      </c>
      <c r="B269" s="21">
        <f t="shared" si="8"/>
        <v>0.30513069999999998</v>
      </c>
      <c r="D269">
        <f t="shared" si="9"/>
        <v>123.01698113207546</v>
      </c>
      <c r="G269" s="21">
        <v>-0.39119399999999999</v>
      </c>
      <c r="H269" s="21">
        <v>0.30513069999999998</v>
      </c>
    </row>
    <row r="270" spans="1:8" x14ac:dyDescent="0.15">
      <c r="A270" s="21">
        <v>5.2343750000000003E-3</v>
      </c>
      <c r="B270" s="21">
        <f t="shared" si="8"/>
        <v>0.1747543</v>
      </c>
      <c r="D270">
        <f t="shared" si="9"/>
        <v>70.682672955974837</v>
      </c>
      <c r="G270" s="21">
        <v>-0.2247709</v>
      </c>
      <c r="H270" s="21">
        <v>0.1747543</v>
      </c>
    </row>
    <row r="271" spans="1:8" x14ac:dyDescent="0.15">
      <c r="A271" s="21">
        <v>5.253906E-3</v>
      </c>
      <c r="B271" s="21">
        <f t="shared" si="8"/>
        <v>3.8931380000000002E-2</v>
      </c>
      <c r="D271">
        <f t="shared" si="9"/>
        <v>16.471748427672956</v>
      </c>
      <c r="G271" s="21">
        <v>-5.2380160000000002E-2</v>
      </c>
      <c r="H271" s="21">
        <v>3.8931380000000002E-2</v>
      </c>
    </row>
    <row r="272" spans="1:8" x14ac:dyDescent="0.15">
      <c r="A272" s="21">
        <v>5.2734380000000001E-3</v>
      </c>
      <c r="B272" s="21">
        <f t="shared" si="8"/>
        <v>-9.6372639999999996E-2</v>
      </c>
      <c r="D272">
        <f t="shared" si="9"/>
        <v>-37.613899371069181</v>
      </c>
      <c r="G272" s="21">
        <v>0.1196122</v>
      </c>
      <c r="H272" s="21">
        <v>-9.6372639999999996E-2</v>
      </c>
    </row>
    <row r="273" spans="1:8" x14ac:dyDescent="0.15">
      <c r="A273" s="21">
        <v>5.2929689999999998E-3</v>
      </c>
      <c r="B273" s="21">
        <f t="shared" si="8"/>
        <v>-0.22746630000000001</v>
      </c>
      <c r="D273">
        <f t="shared" si="9"/>
        <v>-90.090849056603773</v>
      </c>
      <c r="G273" s="21">
        <v>0.28648889999999999</v>
      </c>
      <c r="H273" s="21">
        <v>-0.22746630000000001</v>
      </c>
    </row>
    <row r="274" spans="1:8" x14ac:dyDescent="0.15">
      <c r="A274" s="21">
        <v>5.3125000000000004E-3</v>
      </c>
      <c r="B274" s="21">
        <f t="shared" si="8"/>
        <v>-0.34931390000000001</v>
      </c>
      <c r="D274">
        <f t="shared" si="9"/>
        <v>-138.7835534591195</v>
      </c>
      <c r="G274" s="21">
        <v>0.44133169999999999</v>
      </c>
      <c r="H274" s="21">
        <v>-0.34931390000000001</v>
      </c>
    </row>
    <row r="275" spans="1:8" x14ac:dyDescent="0.15">
      <c r="A275" s="21">
        <v>5.3320310000000001E-3</v>
      </c>
      <c r="B275" s="21">
        <f t="shared" si="8"/>
        <v>-0.46071119999999999</v>
      </c>
      <c r="D275">
        <f t="shared" si="9"/>
        <v>-183.47289308176099</v>
      </c>
      <c r="G275" s="21">
        <v>0.58344379999999996</v>
      </c>
      <c r="H275" s="21">
        <v>-0.46071119999999999</v>
      </c>
    </row>
    <row r="276" spans="1:8" x14ac:dyDescent="0.15">
      <c r="A276" s="21">
        <v>5.3515630000000002E-3</v>
      </c>
      <c r="B276" s="21">
        <f t="shared" si="8"/>
        <v>-0.55785549999999995</v>
      </c>
      <c r="D276">
        <f t="shared" si="9"/>
        <v>-222.29135220125784</v>
      </c>
      <c r="G276" s="21">
        <v>0.70688649999999997</v>
      </c>
      <c r="H276" s="21">
        <v>-0.55785549999999995</v>
      </c>
    </row>
    <row r="277" spans="1:8" x14ac:dyDescent="0.15">
      <c r="A277" s="21">
        <v>5.3710939999999999E-3</v>
      </c>
      <c r="B277" s="21">
        <f t="shared" si="8"/>
        <v>-0.63552330000000001</v>
      </c>
      <c r="D277">
        <f t="shared" si="9"/>
        <v>-253.37327044025156</v>
      </c>
      <c r="G277" s="21">
        <v>0.80572699999999997</v>
      </c>
      <c r="H277" s="21">
        <v>-0.63552330000000001</v>
      </c>
    </row>
    <row r="278" spans="1:8" x14ac:dyDescent="0.15">
      <c r="A278" s="21">
        <v>5.3906249999999996E-3</v>
      </c>
      <c r="B278" s="21">
        <f t="shared" si="8"/>
        <v>-0.69206849999999998</v>
      </c>
      <c r="D278">
        <f t="shared" si="9"/>
        <v>-276.34025157232702</v>
      </c>
      <c r="G278" s="21">
        <v>0.87876200000000004</v>
      </c>
      <c r="H278" s="21">
        <v>-0.69206849999999998</v>
      </c>
    </row>
    <row r="279" spans="1:8" x14ac:dyDescent="0.15">
      <c r="A279" s="21">
        <v>5.4101560000000002E-3</v>
      </c>
      <c r="B279" s="21">
        <f t="shared" si="8"/>
        <v>-0.72491950000000005</v>
      </c>
      <c r="D279">
        <f t="shared" si="9"/>
        <v>-289.6464150943396</v>
      </c>
      <c r="G279" s="21">
        <v>0.92107559999999999</v>
      </c>
      <c r="H279" s="21">
        <v>-0.72491950000000005</v>
      </c>
    </row>
    <row r="280" spans="1:8" x14ac:dyDescent="0.15">
      <c r="A280" s="21">
        <v>5.4296880000000002E-3</v>
      </c>
      <c r="B280" s="21">
        <f t="shared" si="8"/>
        <v>-0.73384300000000002</v>
      </c>
      <c r="D280">
        <f t="shared" si="9"/>
        <v>-293.37396226415092</v>
      </c>
      <c r="G280" s="21">
        <v>0.93292920000000001</v>
      </c>
      <c r="H280" s="21">
        <v>-0.73384300000000002</v>
      </c>
    </row>
    <row r="281" spans="1:8" x14ac:dyDescent="0.15">
      <c r="A281" s="21">
        <v>5.4492189999999999E-3</v>
      </c>
      <c r="B281" s="21">
        <f t="shared" si="8"/>
        <v>-0.71949700000000005</v>
      </c>
      <c r="D281">
        <f t="shared" si="9"/>
        <v>-287.79292452830185</v>
      </c>
      <c r="G281" s="21">
        <v>0.91518149999999998</v>
      </c>
      <c r="H281" s="21">
        <v>-0.71949700000000005</v>
      </c>
    </row>
    <row r="282" spans="1:8" x14ac:dyDescent="0.15">
      <c r="A282" s="21">
        <v>5.4687499999999997E-3</v>
      </c>
      <c r="B282" s="21">
        <f t="shared" si="8"/>
        <v>-0.67980289999999999</v>
      </c>
      <c r="D282">
        <f t="shared" si="9"/>
        <v>-272.05694968553462</v>
      </c>
      <c r="G282" s="21">
        <v>0.8651411</v>
      </c>
      <c r="H282" s="21">
        <v>-0.67980289999999999</v>
      </c>
    </row>
    <row r="283" spans="1:8" x14ac:dyDescent="0.15">
      <c r="A283" s="21">
        <v>5.4882810000000002E-3</v>
      </c>
      <c r="B283" s="21">
        <f t="shared" si="8"/>
        <v>-0.61685820000000002</v>
      </c>
      <c r="D283">
        <f t="shared" si="9"/>
        <v>-247.23930817610062</v>
      </c>
      <c r="G283" s="21">
        <v>0.78622099999999995</v>
      </c>
      <c r="H283" s="21">
        <v>-0.61685820000000002</v>
      </c>
    </row>
    <row r="284" spans="1:8" x14ac:dyDescent="0.15">
      <c r="A284" s="21">
        <v>5.507812E-3</v>
      </c>
      <c r="B284" s="21">
        <f t="shared" si="8"/>
        <v>-0.53297890000000003</v>
      </c>
      <c r="D284">
        <f t="shared" si="9"/>
        <v>-213.74896226415092</v>
      </c>
      <c r="G284" s="21">
        <v>0.67972169999999998</v>
      </c>
      <c r="H284" s="21">
        <v>-0.53297890000000003</v>
      </c>
    </row>
    <row r="285" spans="1:8" x14ac:dyDescent="0.15">
      <c r="A285" s="21">
        <v>5.527344E-3</v>
      </c>
      <c r="B285" s="21">
        <f t="shared" si="8"/>
        <v>-0.42932789999999998</v>
      </c>
      <c r="D285">
        <f t="shared" si="9"/>
        <v>-172.21908805031447</v>
      </c>
      <c r="G285" s="21">
        <v>0.5476567</v>
      </c>
      <c r="H285" s="21">
        <v>-0.42932789999999998</v>
      </c>
    </row>
    <row r="286" spans="1:8" x14ac:dyDescent="0.15">
      <c r="A286" s="21">
        <v>5.5468749999999997E-3</v>
      </c>
      <c r="B286" s="21">
        <f t="shared" si="8"/>
        <v>-0.31145820000000002</v>
      </c>
      <c r="D286">
        <f t="shared" si="9"/>
        <v>-125.24393081761006</v>
      </c>
      <c r="G286" s="21">
        <v>0.39827570000000001</v>
      </c>
      <c r="H286" s="21">
        <v>-0.31145820000000002</v>
      </c>
    </row>
    <row r="287" spans="1:8" x14ac:dyDescent="0.15">
      <c r="A287" s="21">
        <v>5.5664060000000003E-3</v>
      </c>
      <c r="B287" s="21">
        <f t="shared" si="8"/>
        <v>-0.1829412</v>
      </c>
      <c r="D287">
        <f t="shared" si="9"/>
        <v>-73.825157232704399</v>
      </c>
      <c r="G287" s="21">
        <v>0.234764</v>
      </c>
      <c r="H287" s="21">
        <v>-0.1829412</v>
      </c>
    </row>
    <row r="288" spans="1:8" x14ac:dyDescent="0.15">
      <c r="A288" s="21">
        <v>5.585937E-3</v>
      </c>
      <c r="B288" s="21">
        <f t="shared" si="8"/>
        <v>-4.7935579999999998E-2</v>
      </c>
      <c r="D288">
        <f t="shared" si="9"/>
        <v>-19.741034591194968</v>
      </c>
      <c r="G288" s="21">
        <v>6.2776490000000004E-2</v>
      </c>
      <c r="H288" s="21">
        <v>-4.7935579999999998E-2</v>
      </c>
    </row>
    <row r="289" spans="1:8" x14ac:dyDescent="0.15">
      <c r="A289" s="21">
        <v>5.6054690000000001E-3</v>
      </c>
      <c r="B289" s="21">
        <f t="shared" si="8"/>
        <v>8.7041450000000006E-2</v>
      </c>
      <c r="D289">
        <f t="shared" si="9"/>
        <v>34.318867924528298</v>
      </c>
      <c r="G289" s="21">
        <v>-0.10913399999999999</v>
      </c>
      <c r="H289" s="21">
        <v>8.7041450000000006E-2</v>
      </c>
    </row>
    <row r="290" spans="1:8" x14ac:dyDescent="0.15">
      <c r="A290" s="21">
        <v>5.6249999999999998E-3</v>
      </c>
      <c r="B290" s="21">
        <f t="shared" si="8"/>
        <v>0.2192742</v>
      </c>
      <c r="D290">
        <f t="shared" si="9"/>
        <v>87.432389937106905</v>
      </c>
      <c r="G290" s="21">
        <v>-0.27803499999999998</v>
      </c>
      <c r="H290" s="21">
        <v>0.2192742</v>
      </c>
    </row>
    <row r="291" spans="1:8" x14ac:dyDescent="0.15">
      <c r="A291" s="21">
        <v>5.6445310000000004E-3</v>
      </c>
      <c r="B291" s="21">
        <f t="shared" si="8"/>
        <v>0.34365620000000002</v>
      </c>
      <c r="D291">
        <f t="shared" si="9"/>
        <v>137.31537735849057</v>
      </c>
      <c r="G291" s="21">
        <v>-0.43666290000000002</v>
      </c>
      <c r="H291" s="21">
        <v>0.34365620000000002</v>
      </c>
    </row>
    <row r="292" spans="1:8" x14ac:dyDescent="0.15">
      <c r="A292" s="21">
        <v>5.6640620000000001E-3</v>
      </c>
      <c r="B292" s="21">
        <f t="shared" si="8"/>
        <v>0.45507540000000002</v>
      </c>
      <c r="D292">
        <f t="shared" si="9"/>
        <v>182.15726415094338</v>
      </c>
      <c r="G292" s="21">
        <v>-0.57926009999999994</v>
      </c>
      <c r="H292" s="21">
        <v>0.45507540000000002</v>
      </c>
    </row>
    <row r="293" spans="1:8" x14ac:dyDescent="0.15">
      <c r="A293" s="21">
        <v>5.6835940000000001E-3</v>
      </c>
      <c r="B293" s="21">
        <f t="shared" si="8"/>
        <v>0.551979</v>
      </c>
      <c r="D293">
        <f t="shared" si="9"/>
        <v>221.35418238993708</v>
      </c>
      <c r="G293" s="21">
        <v>-0.70390629999999998</v>
      </c>
      <c r="H293" s="21">
        <v>0.551979</v>
      </c>
    </row>
    <row r="294" spans="1:8" x14ac:dyDescent="0.15">
      <c r="A294" s="21">
        <v>5.7031249999999999E-3</v>
      </c>
      <c r="B294" s="21">
        <f t="shared" si="8"/>
        <v>0.62936349999999996</v>
      </c>
      <c r="D294">
        <f t="shared" si="9"/>
        <v>252.56449685534591</v>
      </c>
      <c r="G294" s="21">
        <v>-0.80315510000000001</v>
      </c>
      <c r="H294" s="21">
        <v>0.62936349999999996</v>
      </c>
    </row>
    <row r="295" spans="1:8" x14ac:dyDescent="0.15">
      <c r="A295" s="21">
        <v>5.7226559999999996E-3</v>
      </c>
      <c r="B295" s="21">
        <f t="shared" si="8"/>
        <v>0.68523659999999997</v>
      </c>
      <c r="D295">
        <f t="shared" si="9"/>
        <v>275.27977987421383</v>
      </c>
      <c r="G295" s="21">
        <v>-0.87538970000000005</v>
      </c>
      <c r="H295" s="21">
        <v>0.68523659999999997</v>
      </c>
    </row>
    <row r="296" spans="1:8" x14ac:dyDescent="0.15">
      <c r="A296" s="21">
        <v>5.7421870000000002E-3</v>
      </c>
      <c r="B296" s="21">
        <f t="shared" si="8"/>
        <v>0.72115180000000001</v>
      </c>
      <c r="D296">
        <f t="shared" si="9"/>
        <v>289.97657232704398</v>
      </c>
      <c r="G296" s="21">
        <v>-0.92212550000000004</v>
      </c>
      <c r="H296" s="21">
        <v>0.72115180000000001</v>
      </c>
    </row>
    <row r="297" spans="1:8" x14ac:dyDescent="0.15">
      <c r="A297" s="21">
        <v>5.7617190000000002E-3</v>
      </c>
      <c r="B297" s="21">
        <f t="shared" si="8"/>
        <v>0.73316150000000002</v>
      </c>
      <c r="D297">
        <f t="shared" si="9"/>
        <v>294.82075471698113</v>
      </c>
      <c r="G297" s="21">
        <v>-0.93752999999999997</v>
      </c>
      <c r="H297" s="21">
        <v>0.73316150000000002</v>
      </c>
    </row>
    <row r="298" spans="1:8" x14ac:dyDescent="0.15">
      <c r="A298" s="21">
        <v>5.7812499999999999E-3</v>
      </c>
      <c r="B298" s="21">
        <f t="shared" si="8"/>
        <v>0.71910969999999996</v>
      </c>
      <c r="D298">
        <f t="shared" si="9"/>
        <v>289.19084905660372</v>
      </c>
      <c r="G298" s="21">
        <v>-0.91962690000000002</v>
      </c>
      <c r="H298" s="21">
        <v>0.71910969999999996</v>
      </c>
    </row>
    <row r="299" spans="1:8" x14ac:dyDescent="0.15">
      <c r="A299" s="21">
        <v>5.8007809999999996E-3</v>
      </c>
      <c r="B299" s="21">
        <f t="shared" si="8"/>
        <v>0.68080059999999998</v>
      </c>
      <c r="D299">
        <f t="shared" si="9"/>
        <v>273.85490566037737</v>
      </c>
      <c r="G299" s="21">
        <v>-0.87085860000000004</v>
      </c>
      <c r="H299" s="21">
        <v>0.68080059999999998</v>
      </c>
    </row>
    <row r="300" spans="1:8" x14ac:dyDescent="0.15">
      <c r="A300" s="21">
        <v>5.8203120000000002E-3</v>
      </c>
      <c r="B300" s="21">
        <f t="shared" si="8"/>
        <v>0.61856279999999997</v>
      </c>
      <c r="D300">
        <f t="shared" si="9"/>
        <v>248.93264150943398</v>
      </c>
      <c r="G300" s="21">
        <v>-0.79160580000000003</v>
      </c>
      <c r="H300" s="21">
        <v>0.61856279999999997</v>
      </c>
    </row>
    <row r="301" spans="1:8" x14ac:dyDescent="0.15">
      <c r="A301" s="21">
        <v>5.8398440000000003E-3</v>
      </c>
      <c r="B301" s="21">
        <f t="shared" si="8"/>
        <v>0.53568640000000001</v>
      </c>
      <c r="D301">
        <f t="shared" si="9"/>
        <v>215.62657232704402</v>
      </c>
      <c r="G301" s="21">
        <v>-0.68569250000000004</v>
      </c>
      <c r="H301" s="21">
        <v>0.53568640000000001</v>
      </c>
    </row>
    <row r="302" spans="1:8" x14ac:dyDescent="0.15">
      <c r="A302" s="21">
        <v>5.859375E-3</v>
      </c>
      <c r="B302" s="21">
        <f t="shared" si="8"/>
        <v>0.43586639999999999</v>
      </c>
      <c r="D302">
        <f t="shared" si="9"/>
        <v>175.4374213836478</v>
      </c>
      <c r="G302" s="21">
        <v>-0.55789100000000003</v>
      </c>
      <c r="H302" s="21">
        <v>0.43586639999999999</v>
      </c>
    </row>
    <row r="303" spans="1:8" x14ac:dyDescent="0.15">
      <c r="A303" s="21">
        <v>5.8789059999999997E-3</v>
      </c>
      <c r="B303" s="21">
        <f t="shared" si="8"/>
        <v>0.32026169999999998</v>
      </c>
      <c r="D303">
        <f t="shared" si="9"/>
        <v>129.0106289308176</v>
      </c>
      <c r="G303" s="21">
        <v>-0.4102538</v>
      </c>
      <c r="H303" s="21">
        <v>0.32026169999999998</v>
      </c>
    </row>
    <row r="304" spans="1:8" x14ac:dyDescent="0.15">
      <c r="A304" s="21">
        <v>5.8984379999999998E-3</v>
      </c>
      <c r="B304" s="21">
        <f t="shared" si="8"/>
        <v>0.19236539999999999</v>
      </c>
      <c r="D304">
        <f t="shared" si="9"/>
        <v>77.739874213836472</v>
      </c>
      <c r="G304" s="21">
        <v>-0.24721280000000001</v>
      </c>
      <c r="H304" s="21">
        <v>0.19236539999999999</v>
      </c>
    </row>
    <row r="305" spans="1:8" x14ac:dyDescent="0.15">
      <c r="A305" s="21">
        <v>5.9179690000000004E-3</v>
      </c>
      <c r="B305" s="21">
        <f t="shared" si="8"/>
        <v>5.6867500000000001E-2</v>
      </c>
      <c r="D305">
        <f t="shared" si="9"/>
        <v>23.54217924528302</v>
      </c>
      <c r="G305" s="21">
        <v>-7.4864130000000001E-2</v>
      </c>
      <c r="H305" s="21">
        <v>5.6867500000000001E-2</v>
      </c>
    </row>
    <row r="306" spans="1:8" x14ac:dyDescent="0.15">
      <c r="A306" s="21">
        <v>5.9375000000000001E-3</v>
      </c>
      <c r="B306" s="21">
        <f t="shared" si="8"/>
        <v>-7.9780489999999996E-2</v>
      </c>
      <c r="D306">
        <f t="shared" si="9"/>
        <v>-31.030569182389936</v>
      </c>
      <c r="G306" s="21">
        <v>9.8677210000000001E-2</v>
      </c>
      <c r="H306" s="21">
        <v>-7.9780489999999996E-2</v>
      </c>
    </row>
    <row r="307" spans="1:8" x14ac:dyDescent="0.15">
      <c r="A307" s="21">
        <v>5.9570309999999998E-3</v>
      </c>
      <c r="B307" s="21">
        <f t="shared" si="8"/>
        <v>-0.21102299999999999</v>
      </c>
      <c r="D307">
        <f t="shared" si="9"/>
        <v>-83.492578616352191</v>
      </c>
      <c r="G307" s="21">
        <v>0.26550639999999998</v>
      </c>
      <c r="H307" s="21">
        <v>-0.21102299999999999</v>
      </c>
    </row>
    <row r="308" spans="1:8" x14ac:dyDescent="0.15">
      <c r="A308" s="21">
        <v>5.9765629999999998E-3</v>
      </c>
      <c r="B308" s="21">
        <f t="shared" si="8"/>
        <v>-0.33439980000000002</v>
      </c>
      <c r="D308">
        <f t="shared" si="9"/>
        <v>-132.97323899371068</v>
      </c>
      <c r="G308" s="21">
        <v>0.42285489999999998</v>
      </c>
      <c r="H308" s="21">
        <v>-0.33439980000000002</v>
      </c>
    </row>
    <row r="309" spans="1:8" x14ac:dyDescent="0.15">
      <c r="A309" s="21">
        <v>5.9960940000000004E-3</v>
      </c>
      <c r="B309" s="21">
        <f t="shared" si="8"/>
        <v>-0.44702720000000001</v>
      </c>
      <c r="D309">
        <f t="shared" si="9"/>
        <v>-178.13377358490567</v>
      </c>
      <c r="G309" s="21">
        <v>0.56646540000000001</v>
      </c>
      <c r="H309" s="21">
        <v>-0.44702720000000001</v>
      </c>
    </row>
    <row r="310" spans="1:8" x14ac:dyDescent="0.15">
      <c r="A310" s="21">
        <v>6.0156250000000001E-3</v>
      </c>
      <c r="B310" s="21">
        <f t="shared" si="8"/>
        <v>-0.54565900000000001</v>
      </c>
      <c r="D310">
        <f t="shared" si="9"/>
        <v>-217.52779874213834</v>
      </c>
      <c r="G310" s="21">
        <v>0.69173839999999998</v>
      </c>
      <c r="H310" s="21">
        <v>-0.54565900000000001</v>
      </c>
    </row>
    <row r="311" spans="1:8" x14ac:dyDescent="0.15">
      <c r="A311" s="21">
        <v>6.0351559999999999E-3</v>
      </c>
      <c r="B311" s="21">
        <f t="shared" si="8"/>
        <v>-0.62694439999999996</v>
      </c>
      <c r="D311">
        <f t="shared" si="9"/>
        <v>-250.06764150943394</v>
      </c>
      <c r="G311" s="21">
        <v>0.79521509999999995</v>
      </c>
      <c r="H311" s="21">
        <v>-0.62694439999999996</v>
      </c>
    </row>
    <row r="312" spans="1:8" x14ac:dyDescent="0.15">
      <c r="A312" s="21">
        <v>6.0546879999999999E-3</v>
      </c>
      <c r="B312" s="21">
        <f t="shared" si="8"/>
        <v>-0.68608690000000006</v>
      </c>
      <c r="D312">
        <f t="shared" si="9"/>
        <v>-273.86830188679244</v>
      </c>
      <c r="G312" s="21">
        <v>0.87090120000000004</v>
      </c>
      <c r="H312" s="21">
        <v>-0.68608690000000006</v>
      </c>
    </row>
    <row r="313" spans="1:8" x14ac:dyDescent="0.15">
      <c r="A313" s="21">
        <v>6.0742189999999996E-3</v>
      </c>
      <c r="B313" s="21">
        <f t="shared" si="8"/>
        <v>-0.72228079999999995</v>
      </c>
      <c r="D313">
        <f t="shared" si="9"/>
        <v>-288.61849056603774</v>
      </c>
      <c r="G313" s="21">
        <v>0.91780680000000003</v>
      </c>
      <c r="H313" s="21">
        <v>-0.72228079999999995</v>
      </c>
    </row>
    <row r="314" spans="1:8" x14ac:dyDescent="0.15">
      <c r="A314" s="21">
        <v>6.0937500000000002E-3</v>
      </c>
      <c r="B314" s="21">
        <f t="shared" si="8"/>
        <v>-0.7350546</v>
      </c>
      <c r="D314">
        <f t="shared" si="9"/>
        <v>-293.89154088050316</v>
      </c>
      <c r="G314" s="21">
        <v>0.93457509999999999</v>
      </c>
      <c r="H314" s="21">
        <v>-0.7350546</v>
      </c>
    </row>
    <row r="315" spans="1:8" x14ac:dyDescent="0.15">
      <c r="A315" s="21">
        <v>6.1132809999999999E-3</v>
      </c>
      <c r="B315" s="21">
        <f t="shared" si="8"/>
        <v>-0.72236350000000005</v>
      </c>
      <c r="D315">
        <f t="shared" si="9"/>
        <v>-288.8580817610063</v>
      </c>
      <c r="G315" s="21">
        <v>0.91856870000000002</v>
      </c>
      <c r="H315" s="21">
        <v>-0.72236350000000005</v>
      </c>
    </row>
    <row r="316" spans="1:8" x14ac:dyDescent="0.15">
      <c r="A316" s="21">
        <v>6.132813E-3</v>
      </c>
      <c r="B316" s="21">
        <f t="shared" si="8"/>
        <v>-0.68602719999999995</v>
      </c>
      <c r="D316">
        <f t="shared" si="9"/>
        <v>-274.67191823899367</v>
      </c>
      <c r="G316" s="21">
        <v>0.87345669999999997</v>
      </c>
      <c r="H316" s="21">
        <v>-0.68602719999999995</v>
      </c>
    </row>
    <row r="317" spans="1:8" x14ac:dyDescent="0.15">
      <c r="A317" s="21">
        <v>6.1523439999999997E-3</v>
      </c>
      <c r="B317" s="21">
        <f t="shared" si="8"/>
        <v>-0.62659050000000005</v>
      </c>
      <c r="D317">
        <f t="shared" si="9"/>
        <v>-251.10515723270436</v>
      </c>
      <c r="G317" s="21">
        <v>0.79851439999999996</v>
      </c>
      <c r="H317" s="21">
        <v>-0.62659050000000005</v>
      </c>
    </row>
    <row r="318" spans="1:8" x14ac:dyDescent="0.15">
      <c r="A318" s="21">
        <v>6.1718750000000003E-3</v>
      </c>
      <c r="B318" s="21">
        <f t="shared" si="8"/>
        <v>-0.54455730000000002</v>
      </c>
      <c r="D318">
        <f t="shared" si="9"/>
        <v>-218.35201257861632</v>
      </c>
      <c r="G318" s="21">
        <v>0.69435939999999996</v>
      </c>
      <c r="H318" s="21">
        <v>-0.54455730000000002</v>
      </c>
    </row>
    <row r="319" spans="1:8" x14ac:dyDescent="0.15">
      <c r="A319" s="21">
        <v>6.191406E-3</v>
      </c>
      <c r="B319" s="21">
        <f t="shared" si="8"/>
        <v>-0.44445849999999998</v>
      </c>
      <c r="D319">
        <f t="shared" si="9"/>
        <v>-178.45320754716982</v>
      </c>
      <c r="G319" s="21">
        <v>0.56748120000000002</v>
      </c>
      <c r="H319" s="21">
        <v>-0.44445849999999998</v>
      </c>
    </row>
    <row r="320" spans="1:8" x14ac:dyDescent="0.15">
      <c r="A320" s="21">
        <v>6.210938E-3</v>
      </c>
      <c r="B320" s="21">
        <f t="shared" si="8"/>
        <v>-0.32820339999999998</v>
      </c>
      <c r="D320">
        <f t="shared" si="9"/>
        <v>-131.91845911949684</v>
      </c>
      <c r="G320" s="21">
        <v>0.4195007</v>
      </c>
      <c r="H320" s="21">
        <v>-0.32820339999999998</v>
      </c>
    </row>
    <row r="321" spans="1:8" x14ac:dyDescent="0.15">
      <c r="A321" s="21">
        <v>6.2304689999999998E-3</v>
      </c>
      <c r="B321" s="21">
        <f t="shared" si="8"/>
        <v>-0.19956670000000001</v>
      </c>
      <c r="D321">
        <f t="shared" si="9"/>
        <v>-80.575849056603772</v>
      </c>
      <c r="G321" s="21">
        <v>0.25623119999999999</v>
      </c>
      <c r="H321" s="21">
        <v>-0.19956670000000001</v>
      </c>
    </row>
    <row r="322" spans="1:8" x14ac:dyDescent="0.15">
      <c r="A322" s="21">
        <v>6.2500000000000003E-3</v>
      </c>
      <c r="B322" s="21">
        <f t="shared" si="8"/>
        <v>-6.5665699999999994E-2</v>
      </c>
      <c r="D322">
        <f t="shared" si="9"/>
        <v>-27.020317610062893</v>
      </c>
      <c r="G322" s="21">
        <v>8.5924609999999998E-2</v>
      </c>
      <c r="H322" s="21">
        <v>-6.5665699999999994E-2</v>
      </c>
    </row>
    <row r="323" spans="1:8" x14ac:dyDescent="0.15">
      <c r="A323" s="21">
        <v>6.2695310000000001E-3</v>
      </c>
      <c r="B323" s="21">
        <f t="shared" ref="B323:B386" si="10">H323</f>
        <v>7.0307690000000006E-2</v>
      </c>
      <c r="D323">
        <f t="shared" ref="D323:D386" si="11">G323*-1000/3.18</f>
        <v>27.620088050314465</v>
      </c>
      <c r="G323" s="21">
        <v>-8.7831880000000001E-2</v>
      </c>
      <c r="H323" s="21">
        <v>7.0307690000000006E-2</v>
      </c>
    </row>
    <row r="324" spans="1:8" x14ac:dyDescent="0.15">
      <c r="A324" s="21">
        <v>6.2890630000000001E-3</v>
      </c>
      <c r="B324" s="21">
        <f t="shared" si="10"/>
        <v>0.2030488</v>
      </c>
      <c r="D324">
        <f t="shared" si="11"/>
        <v>80.760911949685536</v>
      </c>
      <c r="G324" s="21">
        <v>-0.25681969999999998</v>
      </c>
      <c r="H324" s="21">
        <v>0.2030488</v>
      </c>
    </row>
    <row r="325" spans="1:8" x14ac:dyDescent="0.15">
      <c r="A325" s="21">
        <v>6.3085939999999998E-3</v>
      </c>
      <c r="B325" s="21">
        <f t="shared" si="10"/>
        <v>0.32731739999999998</v>
      </c>
      <c r="D325">
        <f t="shared" si="11"/>
        <v>130.63569182389935</v>
      </c>
      <c r="G325" s="21">
        <v>-0.4154215</v>
      </c>
      <c r="H325" s="21">
        <v>0.32731739999999998</v>
      </c>
    </row>
    <row r="326" spans="1:8" x14ac:dyDescent="0.15">
      <c r="A326" s="21">
        <v>6.3281250000000004E-3</v>
      </c>
      <c r="B326" s="21">
        <f t="shared" si="10"/>
        <v>0.44160700000000003</v>
      </c>
      <c r="D326">
        <f t="shared" si="11"/>
        <v>176.76364779874211</v>
      </c>
      <c r="G326" s="21">
        <v>-0.56210839999999995</v>
      </c>
      <c r="H326" s="21">
        <v>0.44160700000000003</v>
      </c>
    </row>
    <row r="327" spans="1:8" x14ac:dyDescent="0.15">
      <c r="A327" s="21">
        <v>6.3476560000000001E-3</v>
      </c>
      <c r="B327" s="21">
        <f t="shared" si="10"/>
        <v>0.54054899999999995</v>
      </c>
      <c r="D327">
        <f t="shared" si="11"/>
        <v>216.60735849056601</v>
      </c>
      <c r="G327" s="21">
        <v>-0.68881139999999996</v>
      </c>
      <c r="H327" s="21">
        <v>0.54054899999999995</v>
      </c>
    </row>
    <row r="328" spans="1:8" x14ac:dyDescent="0.15">
      <c r="A328" s="21">
        <v>6.3671880000000002E-3</v>
      </c>
      <c r="B328" s="21">
        <f t="shared" si="10"/>
        <v>0.62062450000000002</v>
      </c>
      <c r="D328">
        <f t="shared" si="11"/>
        <v>248.94993710691827</v>
      </c>
      <c r="G328" s="21">
        <v>-0.79166080000000005</v>
      </c>
      <c r="H328" s="21">
        <v>0.62062450000000002</v>
      </c>
    </row>
    <row r="329" spans="1:8" x14ac:dyDescent="0.15">
      <c r="A329" s="21">
        <v>6.3867189999999999E-3</v>
      </c>
      <c r="B329" s="21">
        <f t="shared" si="10"/>
        <v>0.68075399999999997</v>
      </c>
      <c r="D329">
        <f t="shared" si="11"/>
        <v>273.40764150943397</v>
      </c>
      <c r="G329" s="21">
        <v>-0.86943630000000005</v>
      </c>
      <c r="H329" s="21">
        <v>0.68075399999999997</v>
      </c>
    </row>
    <row r="330" spans="1:8" x14ac:dyDescent="0.15">
      <c r="A330" s="21">
        <v>6.4062499999999996E-3</v>
      </c>
      <c r="B330" s="21">
        <f t="shared" si="10"/>
        <v>0.71807500000000002</v>
      </c>
      <c r="D330">
        <f t="shared" si="11"/>
        <v>288.54040880503146</v>
      </c>
      <c r="G330" s="21">
        <v>-0.91755850000000005</v>
      </c>
      <c r="H330" s="21">
        <v>0.71807500000000002</v>
      </c>
    </row>
    <row r="331" spans="1:8" x14ac:dyDescent="0.15">
      <c r="A331" s="21">
        <v>6.4257810000000002E-3</v>
      </c>
      <c r="B331" s="21">
        <f t="shared" si="10"/>
        <v>0.73328930000000003</v>
      </c>
      <c r="D331">
        <f t="shared" si="11"/>
        <v>294.83707547169809</v>
      </c>
      <c r="G331" s="21">
        <v>-0.93758189999999997</v>
      </c>
      <c r="H331" s="21">
        <v>0.73328930000000003</v>
      </c>
    </row>
    <row r="332" spans="1:8" x14ac:dyDescent="0.15">
      <c r="A332" s="21">
        <v>6.4453130000000003E-3</v>
      </c>
      <c r="B332" s="21">
        <f t="shared" si="10"/>
        <v>0.72396439999999995</v>
      </c>
      <c r="D332">
        <f t="shared" si="11"/>
        <v>291.15012578616353</v>
      </c>
      <c r="G332" s="21">
        <v>-0.92585740000000005</v>
      </c>
      <c r="H332" s="21">
        <v>0.72396439999999995</v>
      </c>
    </row>
    <row r="333" spans="1:8" x14ac:dyDescent="0.15">
      <c r="A333" s="21">
        <v>6.464844E-3</v>
      </c>
      <c r="B333" s="21">
        <f t="shared" si="10"/>
        <v>0.68741379999999996</v>
      </c>
      <c r="D333">
        <f t="shared" si="11"/>
        <v>276.3485220125786</v>
      </c>
      <c r="G333" s="21">
        <v>-0.87878829999999997</v>
      </c>
      <c r="H333" s="21">
        <v>0.68741379999999996</v>
      </c>
    </row>
    <row r="334" spans="1:8" x14ac:dyDescent="0.15">
      <c r="A334" s="21">
        <v>6.4843749999999997E-3</v>
      </c>
      <c r="B334" s="21">
        <f t="shared" si="10"/>
        <v>0.62847909999999996</v>
      </c>
      <c r="D334">
        <f t="shared" si="11"/>
        <v>252.88424528301888</v>
      </c>
      <c r="G334" s="21">
        <v>-0.80417190000000005</v>
      </c>
      <c r="H334" s="21">
        <v>0.62847909999999996</v>
      </c>
    </row>
    <row r="335" spans="1:8" x14ac:dyDescent="0.15">
      <c r="A335" s="21">
        <v>6.5039060000000003E-3</v>
      </c>
      <c r="B335" s="21">
        <f t="shared" si="10"/>
        <v>0.54881670000000005</v>
      </c>
      <c r="D335">
        <f t="shared" si="11"/>
        <v>220.88773584905658</v>
      </c>
      <c r="G335" s="21">
        <v>-0.70242300000000002</v>
      </c>
      <c r="H335" s="21">
        <v>0.54881670000000005</v>
      </c>
    </row>
    <row r="336" spans="1:8" x14ac:dyDescent="0.15">
      <c r="A336" s="21">
        <v>6.523437E-3</v>
      </c>
      <c r="B336" s="21">
        <f t="shared" si="10"/>
        <v>0.45047120000000002</v>
      </c>
      <c r="D336">
        <f t="shared" si="11"/>
        <v>181.18081761006289</v>
      </c>
      <c r="G336" s="21">
        <v>-0.57615499999999997</v>
      </c>
      <c r="H336" s="21">
        <v>0.45047120000000002</v>
      </c>
    </row>
    <row r="337" spans="1:8" x14ac:dyDescent="0.15">
      <c r="A337" s="21">
        <v>6.542969E-3</v>
      </c>
      <c r="B337" s="21">
        <f t="shared" si="10"/>
        <v>0.33774650000000001</v>
      </c>
      <c r="D337">
        <f t="shared" si="11"/>
        <v>136.00421383647796</v>
      </c>
      <c r="G337" s="21">
        <v>-0.43249339999999997</v>
      </c>
      <c r="H337" s="21">
        <v>0.33774650000000001</v>
      </c>
    </row>
    <row r="338" spans="1:8" x14ac:dyDescent="0.15">
      <c r="A338" s="21">
        <v>6.5624999999999998E-3</v>
      </c>
      <c r="B338" s="21">
        <f t="shared" si="10"/>
        <v>0.21068400000000001</v>
      </c>
      <c r="D338">
        <f t="shared" si="11"/>
        <v>84.921257861635212</v>
      </c>
      <c r="G338" s="21">
        <v>-0.2700496</v>
      </c>
      <c r="H338" s="21">
        <v>0.21068400000000001</v>
      </c>
    </row>
    <row r="339" spans="1:8" x14ac:dyDescent="0.15">
      <c r="A339" s="21">
        <v>6.5820310000000003E-3</v>
      </c>
      <c r="B339" s="21">
        <f t="shared" si="10"/>
        <v>7.5168009999999993E-2</v>
      </c>
      <c r="D339">
        <f t="shared" si="11"/>
        <v>30.68548113207547</v>
      </c>
      <c r="G339" s="21">
        <v>-9.7579830000000006E-2</v>
      </c>
      <c r="H339" s="21">
        <v>7.5168009999999993E-2</v>
      </c>
    </row>
    <row r="340" spans="1:8" x14ac:dyDescent="0.15">
      <c r="A340" s="21">
        <v>6.6015620000000001E-3</v>
      </c>
      <c r="B340" s="21">
        <f t="shared" si="10"/>
        <v>-6.0766340000000002E-2</v>
      </c>
      <c r="D340">
        <f t="shared" si="11"/>
        <v>-23.474572327044026</v>
      </c>
      <c r="G340" s="21">
        <v>7.4649140000000003E-2</v>
      </c>
      <c r="H340" s="21">
        <v>-6.0766340000000002E-2</v>
      </c>
    </row>
    <row r="341" spans="1:8" x14ac:dyDescent="0.15">
      <c r="A341" s="21">
        <v>6.6210940000000001E-3</v>
      </c>
      <c r="B341" s="21">
        <f t="shared" si="10"/>
        <v>-0.1935308</v>
      </c>
      <c r="D341">
        <f t="shared" si="11"/>
        <v>-76.665597484276731</v>
      </c>
      <c r="G341" s="21">
        <v>0.2437966</v>
      </c>
      <c r="H341" s="21">
        <v>-0.1935308</v>
      </c>
    </row>
    <row r="342" spans="1:8" x14ac:dyDescent="0.15">
      <c r="A342" s="21">
        <v>6.6406249999999998E-3</v>
      </c>
      <c r="B342" s="21">
        <f t="shared" si="10"/>
        <v>-0.31777040000000001</v>
      </c>
      <c r="D342">
        <f t="shared" si="11"/>
        <v>-126.34437106918239</v>
      </c>
      <c r="G342" s="21">
        <v>0.4017751</v>
      </c>
      <c r="H342" s="21">
        <v>-0.31777040000000001</v>
      </c>
    </row>
    <row r="343" spans="1:8" x14ac:dyDescent="0.15">
      <c r="A343" s="21">
        <v>6.6601560000000004E-3</v>
      </c>
      <c r="B343" s="21">
        <f t="shared" si="10"/>
        <v>-0.431753</v>
      </c>
      <c r="D343">
        <f t="shared" si="11"/>
        <v>-172.01462264150942</v>
      </c>
      <c r="G343" s="21">
        <v>0.54700649999999995</v>
      </c>
      <c r="H343" s="21">
        <v>-0.431753</v>
      </c>
    </row>
    <row r="344" spans="1:8" x14ac:dyDescent="0.15">
      <c r="A344" s="21">
        <v>6.6796870000000001E-3</v>
      </c>
      <c r="B344" s="21">
        <f t="shared" si="10"/>
        <v>-0.53378110000000001</v>
      </c>
      <c r="D344">
        <f t="shared" si="11"/>
        <v>-212.87713836477985</v>
      </c>
      <c r="G344" s="21">
        <v>0.67694929999999998</v>
      </c>
      <c r="H344" s="21">
        <v>-0.53378110000000001</v>
      </c>
    </row>
    <row r="345" spans="1:8" x14ac:dyDescent="0.15">
      <c r="A345" s="21">
        <v>6.6992190000000002E-3</v>
      </c>
      <c r="B345" s="21">
        <f t="shared" si="10"/>
        <v>-0.61678730000000004</v>
      </c>
      <c r="D345">
        <f t="shared" si="11"/>
        <v>-245.94933962264147</v>
      </c>
      <c r="G345" s="21">
        <v>0.78211889999999995</v>
      </c>
      <c r="H345" s="21">
        <v>-0.61678730000000004</v>
      </c>
    </row>
    <row r="346" spans="1:8" x14ac:dyDescent="0.15">
      <c r="A346" s="21">
        <v>6.7187499999999999E-3</v>
      </c>
      <c r="B346" s="21">
        <f t="shared" si="10"/>
        <v>-0.67865070000000005</v>
      </c>
      <c r="D346">
        <f t="shared" si="11"/>
        <v>-270.9277358490566</v>
      </c>
      <c r="G346" s="21">
        <v>0.86155020000000004</v>
      </c>
      <c r="H346" s="21">
        <v>-0.67865070000000005</v>
      </c>
    </row>
    <row r="347" spans="1:8" x14ac:dyDescent="0.15">
      <c r="A347" s="21">
        <v>6.7382809999999996E-3</v>
      </c>
      <c r="B347" s="21">
        <f t="shared" si="10"/>
        <v>-0.71854370000000001</v>
      </c>
      <c r="D347">
        <f t="shared" si="11"/>
        <v>-287.13940251572325</v>
      </c>
      <c r="G347" s="21">
        <v>0.91310329999999995</v>
      </c>
      <c r="H347" s="21">
        <v>-0.71854370000000001</v>
      </c>
    </row>
    <row r="348" spans="1:8" x14ac:dyDescent="0.15">
      <c r="A348" s="21">
        <v>6.7578120000000002E-3</v>
      </c>
      <c r="B348" s="21">
        <f t="shared" si="10"/>
        <v>-0.73368460000000002</v>
      </c>
      <c r="D348">
        <f t="shared" si="11"/>
        <v>-293.28786163522011</v>
      </c>
      <c r="G348" s="21">
        <v>0.93265540000000002</v>
      </c>
      <c r="H348" s="21">
        <v>-0.73368460000000002</v>
      </c>
    </row>
    <row r="349" spans="1:8" x14ac:dyDescent="0.15">
      <c r="A349" s="21">
        <v>6.7773440000000003E-3</v>
      </c>
      <c r="B349" s="21">
        <f t="shared" si="10"/>
        <v>-0.72504679999999999</v>
      </c>
      <c r="D349">
        <f t="shared" si="11"/>
        <v>-290.05182389937102</v>
      </c>
      <c r="G349" s="21">
        <v>0.92236479999999998</v>
      </c>
      <c r="H349" s="21">
        <v>-0.72504679999999999</v>
      </c>
    </row>
    <row r="350" spans="1:8" x14ac:dyDescent="0.15">
      <c r="A350" s="21">
        <v>6.796875E-3</v>
      </c>
      <c r="B350" s="21">
        <f t="shared" si="10"/>
        <v>-0.69218939999999995</v>
      </c>
      <c r="D350">
        <f t="shared" si="11"/>
        <v>-277.15185534591194</v>
      </c>
      <c r="G350" s="21">
        <v>0.88134290000000004</v>
      </c>
      <c r="H350" s="21">
        <v>-0.69218939999999995</v>
      </c>
    </row>
    <row r="351" spans="1:8" x14ac:dyDescent="0.15">
      <c r="A351" s="21">
        <v>6.8164059999999997E-3</v>
      </c>
      <c r="B351" s="21">
        <f t="shared" si="10"/>
        <v>-0.63488900000000004</v>
      </c>
      <c r="D351">
        <f t="shared" si="11"/>
        <v>-254.41503144654087</v>
      </c>
      <c r="G351" s="21">
        <v>0.80903979999999998</v>
      </c>
      <c r="H351" s="21">
        <v>-0.63488900000000004</v>
      </c>
    </row>
    <row r="352" spans="1:8" x14ac:dyDescent="0.15">
      <c r="A352" s="21">
        <v>6.8359379999999997E-3</v>
      </c>
      <c r="B352" s="21">
        <f t="shared" si="10"/>
        <v>-0.55635829999999997</v>
      </c>
      <c r="D352">
        <f t="shared" si="11"/>
        <v>-223.18364779874213</v>
      </c>
      <c r="G352" s="21">
        <v>0.70972400000000002</v>
      </c>
      <c r="H352" s="21">
        <v>-0.55635829999999997</v>
      </c>
    </row>
    <row r="353" spans="1:8" x14ac:dyDescent="0.15">
      <c r="A353" s="21">
        <v>6.8554690000000003E-3</v>
      </c>
      <c r="B353" s="21">
        <f t="shared" si="10"/>
        <v>-0.45821070000000003</v>
      </c>
      <c r="D353">
        <f t="shared" si="11"/>
        <v>-183.93314465408801</v>
      </c>
      <c r="G353" s="21">
        <v>0.58490739999999997</v>
      </c>
      <c r="H353" s="21">
        <v>-0.45821070000000003</v>
      </c>
    </row>
    <row r="354" spans="1:8" x14ac:dyDescent="0.15">
      <c r="A354" s="21">
        <v>6.875E-3</v>
      </c>
      <c r="B354" s="21">
        <f t="shared" si="10"/>
        <v>-0.343588</v>
      </c>
      <c r="D354">
        <f t="shared" si="11"/>
        <v>-138.08710691823899</v>
      </c>
      <c r="G354" s="21">
        <v>0.43911699999999998</v>
      </c>
      <c r="H354" s="21">
        <v>-0.343588</v>
      </c>
    </row>
    <row r="355" spans="1:8" x14ac:dyDescent="0.15">
      <c r="A355" s="21">
        <v>6.8945309999999997E-3</v>
      </c>
      <c r="B355" s="21">
        <f t="shared" si="10"/>
        <v>-0.21740590000000001</v>
      </c>
      <c r="D355">
        <f t="shared" si="11"/>
        <v>-87.80987421383648</v>
      </c>
      <c r="G355" s="21">
        <v>0.27923540000000002</v>
      </c>
      <c r="H355" s="21">
        <v>-0.21740590000000001</v>
      </c>
    </row>
    <row r="356" spans="1:8" x14ac:dyDescent="0.15">
      <c r="A356" s="21">
        <v>6.9140629999999998E-3</v>
      </c>
      <c r="B356" s="21">
        <f t="shared" si="10"/>
        <v>-8.3241049999999997E-2</v>
      </c>
      <c r="D356">
        <f t="shared" si="11"/>
        <v>-34.031540880503144</v>
      </c>
      <c r="G356" s="21">
        <v>0.10822030000000001</v>
      </c>
      <c r="H356" s="21">
        <v>-8.3241049999999997E-2</v>
      </c>
    </row>
    <row r="357" spans="1:8" x14ac:dyDescent="0.15">
      <c r="A357" s="21">
        <v>6.9335940000000004E-3</v>
      </c>
      <c r="B357" s="21">
        <f t="shared" si="10"/>
        <v>5.2862939999999997E-2</v>
      </c>
      <c r="D357">
        <f t="shared" si="11"/>
        <v>20.548842767295596</v>
      </c>
      <c r="G357" s="21">
        <v>-6.5345319999999998E-2</v>
      </c>
      <c r="H357" s="21">
        <v>5.2862939999999997E-2</v>
      </c>
    </row>
    <row r="358" spans="1:8" x14ac:dyDescent="0.15">
      <c r="A358" s="21">
        <v>6.9531250000000001E-3</v>
      </c>
      <c r="B358" s="21">
        <f t="shared" si="10"/>
        <v>0.1855513</v>
      </c>
      <c r="D358">
        <f t="shared" si="11"/>
        <v>73.677515723270432</v>
      </c>
      <c r="G358" s="21">
        <v>-0.23429449999999999</v>
      </c>
      <c r="H358" s="21">
        <v>0.1855513</v>
      </c>
    </row>
    <row r="359" spans="1:8" x14ac:dyDescent="0.15">
      <c r="A359" s="21">
        <v>6.9726559999999998E-3</v>
      </c>
      <c r="B359" s="21">
        <f t="shared" si="10"/>
        <v>0.31215140000000002</v>
      </c>
      <c r="D359">
        <f t="shared" si="11"/>
        <v>124.61128930817608</v>
      </c>
      <c r="G359" s="21">
        <v>-0.3962639</v>
      </c>
      <c r="H359" s="21">
        <v>0.31215140000000002</v>
      </c>
    </row>
    <row r="360" spans="1:8" x14ac:dyDescent="0.15">
      <c r="A360" s="21">
        <v>6.9921879999999999E-3</v>
      </c>
      <c r="B360" s="21">
        <f t="shared" si="10"/>
        <v>0.42739139999999998</v>
      </c>
      <c r="D360">
        <f t="shared" si="11"/>
        <v>170.88487421383647</v>
      </c>
      <c r="G360" s="21">
        <v>-0.54341390000000001</v>
      </c>
      <c r="H360" s="21">
        <v>0.42739139999999998</v>
      </c>
    </row>
    <row r="361" spans="1:8" x14ac:dyDescent="0.15">
      <c r="A361" s="21">
        <v>7.0117189999999996E-3</v>
      </c>
      <c r="B361" s="21">
        <f t="shared" si="10"/>
        <v>0.52780839999999996</v>
      </c>
      <c r="D361">
        <f t="shared" si="11"/>
        <v>211.44408805031446</v>
      </c>
      <c r="G361" s="21">
        <v>-0.6723922</v>
      </c>
      <c r="H361" s="21">
        <v>0.52780839999999996</v>
      </c>
    </row>
    <row r="362" spans="1:8" x14ac:dyDescent="0.15">
      <c r="A362" s="21">
        <v>7.0312500000000002E-3</v>
      </c>
      <c r="B362" s="21">
        <f t="shared" si="10"/>
        <v>0.61166149999999997</v>
      </c>
      <c r="D362">
        <f t="shared" si="11"/>
        <v>245.44418238993711</v>
      </c>
      <c r="G362" s="21">
        <v>-0.78051250000000005</v>
      </c>
      <c r="H362" s="21">
        <v>0.61166149999999997</v>
      </c>
    </row>
    <row r="363" spans="1:8" x14ac:dyDescent="0.15">
      <c r="A363" s="21">
        <v>7.0507809999999999E-3</v>
      </c>
      <c r="B363" s="21">
        <f t="shared" si="10"/>
        <v>0.6739501</v>
      </c>
      <c r="D363">
        <f t="shared" si="11"/>
        <v>270.52676100628929</v>
      </c>
      <c r="G363" s="21">
        <v>-0.86027509999999996</v>
      </c>
      <c r="H363" s="21">
        <v>0.6739501</v>
      </c>
    </row>
    <row r="364" spans="1:8" x14ac:dyDescent="0.15">
      <c r="A364" s="21">
        <v>7.0703129999999999E-3</v>
      </c>
      <c r="B364" s="21">
        <f t="shared" si="10"/>
        <v>0.71422459999999999</v>
      </c>
      <c r="D364">
        <f t="shared" si="11"/>
        <v>286.99710691823896</v>
      </c>
      <c r="G364" s="21">
        <v>-0.91265079999999998</v>
      </c>
      <c r="H364" s="21">
        <v>0.71422459999999999</v>
      </c>
    </row>
    <row r="365" spans="1:8" x14ac:dyDescent="0.15">
      <c r="A365" s="21">
        <v>7.0898439999999997E-3</v>
      </c>
      <c r="B365" s="21">
        <f t="shared" si="10"/>
        <v>0.73322810000000005</v>
      </c>
      <c r="D365">
        <f t="shared" si="11"/>
        <v>294.77795597484277</v>
      </c>
      <c r="G365" s="21">
        <v>-0.9373939</v>
      </c>
      <c r="H365" s="21">
        <v>0.73322810000000005</v>
      </c>
    </row>
    <row r="366" spans="1:8" x14ac:dyDescent="0.15">
      <c r="A366" s="21">
        <v>7.1093750000000002E-3</v>
      </c>
      <c r="B366" s="21">
        <f t="shared" si="10"/>
        <v>0.72640879999999997</v>
      </c>
      <c r="D366">
        <f t="shared" si="11"/>
        <v>291.95047169811318</v>
      </c>
      <c r="G366" s="21">
        <v>-0.92840250000000002</v>
      </c>
      <c r="H366" s="21">
        <v>0.72640879999999997</v>
      </c>
    </row>
    <row r="367" spans="1:8" x14ac:dyDescent="0.15">
      <c r="A367" s="21">
        <v>7.128906E-3</v>
      </c>
      <c r="B367" s="21">
        <f t="shared" si="10"/>
        <v>0.69378779999999995</v>
      </c>
      <c r="D367">
        <f t="shared" si="11"/>
        <v>278.95361635220127</v>
      </c>
      <c r="G367" s="21">
        <v>-0.88707250000000004</v>
      </c>
      <c r="H367" s="21">
        <v>0.69378779999999995</v>
      </c>
    </row>
    <row r="368" spans="1:8" x14ac:dyDescent="0.15">
      <c r="A368" s="21">
        <v>7.148438E-3</v>
      </c>
      <c r="B368" s="21">
        <f t="shared" si="10"/>
        <v>0.63788590000000001</v>
      </c>
      <c r="D368">
        <f t="shared" si="11"/>
        <v>256.57283018867923</v>
      </c>
      <c r="G368" s="21">
        <v>-0.8159016</v>
      </c>
      <c r="H368" s="21">
        <v>0.63788590000000001</v>
      </c>
    </row>
    <row r="369" spans="1:8" x14ac:dyDescent="0.15">
      <c r="A369" s="21">
        <v>7.1679689999999997E-3</v>
      </c>
      <c r="B369" s="21">
        <f t="shared" si="10"/>
        <v>0.56016180000000004</v>
      </c>
      <c r="D369">
        <f t="shared" si="11"/>
        <v>225.3473899371069</v>
      </c>
      <c r="G369" s="21">
        <v>-0.71660469999999998</v>
      </c>
      <c r="H369" s="21">
        <v>0.56016180000000004</v>
      </c>
    </row>
    <row r="370" spans="1:8" x14ac:dyDescent="0.15">
      <c r="A370" s="21">
        <v>7.1875000000000003E-3</v>
      </c>
      <c r="B370" s="21">
        <f t="shared" si="10"/>
        <v>0.46486959999999999</v>
      </c>
      <c r="D370">
        <f t="shared" si="11"/>
        <v>187.02279874213835</v>
      </c>
      <c r="G370" s="21">
        <v>-0.5947325</v>
      </c>
      <c r="H370" s="21">
        <v>0.46486959999999999</v>
      </c>
    </row>
    <row r="371" spans="1:8" x14ac:dyDescent="0.15">
      <c r="A371" s="21">
        <v>7.207031E-3</v>
      </c>
      <c r="B371" s="21">
        <f t="shared" si="10"/>
        <v>0.35360330000000001</v>
      </c>
      <c r="D371">
        <f t="shared" si="11"/>
        <v>142.25194968553458</v>
      </c>
      <c r="G371" s="21">
        <v>-0.45236120000000002</v>
      </c>
      <c r="H371" s="21">
        <v>0.35360330000000001</v>
      </c>
    </row>
    <row r="372" spans="1:8" x14ac:dyDescent="0.15">
      <c r="A372" s="21">
        <v>7.2265630000000001E-3</v>
      </c>
      <c r="B372" s="21">
        <f t="shared" si="10"/>
        <v>0.2280616</v>
      </c>
      <c r="D372">
        <f t="shared" si="11"/>
        <v>91.894999999999982</v>
      </c>
      <c r="G372" s="21">
        <v>-0.29222609999999999</v>
      </c>
      <c r="H372" s="21">
        <v>0.2280616</v>
      </c>
    </row>
    <row r="373" spans="1:8" x14ac:dyDescent="0.15">
      <c r="A373" s="21">
        <v>7.2460939999999998E-3</v>
      </c>
      <c r="B373" s="21">
        <f t="shared" si="10"/>
        <v>9.3866110000000003E-2</v>
      </c>
      <c r="D373">
        <f t="shared" si="11"/>
        <v>38.210188679245285</v>
      </c>
      <c r="G373" s="21">
        <v>-0.1215084</v>
      </c>
      <c r="H373" s="21">
        <v>9.3866110000000003E-2</v>
      </c>
    </row>
    <row r="374" spans="1:8" x14ac:dyDescent="0.15">
      <c r="A374" s="21">
        <v>7.2656250000000004E-3</v>
      </c>
      <c r="B374" s="21">
        <f t="shared" si="10"/>
        <v>-4.3349770000000003E-2</v>
      </c>
      <c r="D374">
        <f t="shared" si="11"/>
        <v>-16.584257861635219</v>
      </c>
      <c r="G374" s="21">
        <v>5.2737939999999997E-2</v>
      </c>
      <c r="H374" s="21">
        <v>-4.3349770000000003E-2</v>
      </c>
    </row>
    <row r="375" spans="1:8" x14ac:dyDescent="0.15">
      <c r="A375" s="21">
        <v>7.2851560000000001E-3</v>
      </c>
      <c r="B375" s="21">
        <f t="shared" si="10"/>
        <v>-0.1766296</v>
      </c>
      <c r="D375">
        <f t="shared" si="11"/>
        <v>-69.79003144654088</v>
      </c>
      <c r="G375" s="21">
        <v>0.2219323</v>
      </c>
      <c r="H375" s="21">
        <v>-0.1766296</v>
      </c>
    </row>
    <row r="376" spans="1:8" x14ac:dyDescent="0.15">
      <c r="A376" s="21">
        <v>7.3046880000000002E-3</v>
      </c>
      <c r="B376" s="21">
        <f t="shared" si="10"/>
        <v>-0.3017628</v>
      </c>
      <c r="D376">
        <f t="shared" si="11"/>
        <v>-119.89764150943395</v>
      </c>
      <c r="G376" s="21">
        <v>0.38127450000000002</v>
      </c>
      <c r="H376" s="21">
        <v>-0.3017628</v>
      </c>
    </row>
    <row r="377" spans="1:8" x14ac:dyDescent="0.15">
      <c r="A377" s="21">
        <v>7.3242189999999999E-3</v>
      </c>
      <c r="B377" s="21">
        <f t="shared" si="10"/>
        <v>-0.41785600000000001</v>
      </c>
      <c r="D377">
        <f t="shared" si="11"/>
        <v>-166.48569182389934</v>
      </c>
      <c r="G377" s="21">
        <v>0.52942449999999996</v>
      </c>
      <c r="H377" s="21">
        <v>-0.41785600000000001</v>
      </c>
    </row>
    <row r="378" spans="1:8" x14ac:dyDescent="0.15">
      <c r="A378" s="21">
        <v>7.3437499999999996E-3</v>
      </c>
      <c r="B378" s="21">
        <f t="shared" si="10"/>
        <v>-0.52074620000000005</v>
      </c>
      <c r="D378">
        <f t="shared" si="11"/>
        <v>-207.59698113207548</v>
      </c>
      <c r="G378" s="21">
        <v>0.66015840000000003</v>
      </c>
      <c r="H378" s="21">
        <v>-0.52074620000000005</v>
      </c>
    </row>
    <row r="379" spans="1:8" x14ac:dyDescent="0.15">
      <c r="A379" s="21">
        <v>7.3632810000000002E-3</v>
      </c>
      <c r="B379" s="21">
        <f t="shared" si="10"/>
        <v>-0.60664750000000001</v>
      </c>
      <c r="D379">
        <f t="shared" si="11"/>
        <v>-241.90578616352201</v>
      </c>
      <c r="G379" s="21">
        <v>0.76926039999999996</v>
      </c>
      <c r="H379" s="21">
        <v>-0.60664750000000001</v>
      </c>
    </row>
    <row r="380" spans="1:8" x14ac:dyDescent="0.15">
      <c r="A380" s="21">
        <v>7.3828130000000002E-3</v>
      </c>
      <c r="B380" s="21">
        <f t="shared" si="10"/>
        <v>-0.67242009999999997</v>
      </c>
      <c r="D380">
        <f t="shared" si="11"/>
        <v>-268.36308176100624</v>
      </c>
      <c r="G380" s="21">
        <v>0.8533946</v>
      </c>
      <c r="H380" s="21">
        <v>-0.67242009999999997</v>
      </c>
    </row>
    <row r="381" spans="1:8" x14ac:dyDescent="0.15">
      <c r="A381" s="21">
        <v>7.4023439999999999E-3</v>
      </c>
      <c r="B381" s="21">
        <f t="shared" si="10"/>
        <v>-0.71458639999999995</v>
      </c>
      <c r="D381">
        <f t="shared" si="11"/>
        <v>-285.44676100628931</v>
      </c>
      <c r="G381" s="21">
        <v>0.90772070000000005</v>
      </c>
      <c r="H381" s="21">
        <v>-0.71458639999999995</v>
      </c>
    </row>
    <row r="382" spans="1:8" x14ac:dyDescent="0.15">
      <c r="A382" s="21">
        <v>7.4218749999999997E-3</v>
      </c>
      <c r="B382" s="21">
        <f t="shared" si="10"/>
        <v>-0.73368670000000002</v>
      </c>
      <c r="D382">
        <f t="shared" si="11"/>
        <v>-293.36411949685532</v>
      </c>
      <c r="G382" s="21">
        <v>0.93289789999999995</v>
      </c>
      <c r="H382" s="21">
        <v>-0.73368670000000002</v>
      </c>
    </row>
    <row r="383" spans="1:8" x14ac:dyDescent="0.15">
      <c r="A383" s="21">
        <v>7.4414060000000002E-3</v>
      </c>
      <c r="B383" s="21">
        <f t="shared" si="10"/>
        <v>-0.72822770000000003</v>
      </c>
      <c r="D383">
        <f t="shared" si="11"/>
        <v>-291.21477987421383</v>
      </c>
      <c r="G383" s="21">
        <v>0.92606299999999997</v>
      </c>
      <c r="H383" s="21">
        <v>-0.72822770000000003</v>
      </c>
    </row>
    <row r="384" spans="1:8" x14ac:dyDescent="0.15">
      <c r="A384" s="21">
        <v>7.4609380000000003E-3</v>
      </c>
      <c r="B384" s="21">
        <f t="shared" si="10"/>
        <v>-0.69701100000000005</v>
      </c>
      <c r="D384">
        <f t="shared" si="11"/>
        <v>-278.89512578616353</v>
      </c>
      <c r="G384" s="21">
        <v>0.88688650000000002</v>
      </c>
      <c r="H384" s="21">
        <v>-0.69701100000000005</v>
      </c>
    </row>
    <row r="385" spans="1:8" x14ac:dyDescent="0.15">
      <c r="A385" s="21">
        <v>7.480469E-3</v>
      </c>
      <c r="B385" s="21">
        <f t="shared" si="10"/>
        <v>-0.64380959999999998</v>
      </c>
      <c r="D385">
        <f t="shared" si="11"/>
        <v>-258.0698113207547</v>
      </c>
      <c r="G385" s="21">
        <v>0.820662</v>
      </c>
      <c r="H385" s="21">
        <v>-0.64380959999999998</v>
      </c>
    </row>
    <row r="386" spans="1:8" x14ac:dyDescent="0.15">
      <c r="A386" s="21">
        <v>7.4999999999999997E-3</v>
      </c>
      <c r="B386" s="21">
        <f t="shared" si="10"/>
        <v>-0.56840659999999998</v>
      </c>
      <c r="D386">
        <f t="shared" si="11"/>
        <v>-227.92198113207547</v>
      </c>
      <c r="G386" s="21">
        <v>0.72479190000000004</v>
      </c>
      <c r="H386" s="21">
        <v>-0.56840659999999998</v>
      </c>
    </row>
    <row r="387" spans="1:8" x14ac:dyDescent="0.15">
      <c r="A387" s="21">
        <v>7.5195310000000003E-3</v>
      </c>
      <c r="B387" s="21">
        <f t="shared" ref="B387:B450" si="12">H387</f>
        <v>-0.47226580000000001</v>
      </c>
      <c r="D387">
        <f t="shared" ref="D387:D450" si="13">G387*-1000/3.18</f>
        <v>-189.48424528301888</v>
      </c>
      <c r="G387" s="21">
        <v>0.60255990000000004</v>
      </c>
      <c r="H387" s="21">
        <v>-0.47226580000000001</v>
      </c>
    </row>
    <row r="388" spans="1:8" x14ac:dyDescent="0.15">
      <c r="A388" s="21">
        <v>7.539062E-3</v>
      </c>
      <c r="B388" s="21">
        <f t="shared" si="12"/>
        <v>-0.36020990000000003</v>
      </c>
      <c r="D388">
        <f t="shared" si="13"/>
        <v>-144.78147798742137</v>
      </c>
      <c r="G388" s="21">
        <v>0.46040510000000001</v>
      </c>
      <c r="H388" s="21">
        <v>-0.36020990000000003</v>
      </c>
    </row>
    <row r="389" spans="1:8" x14ac:dyDescent="0.15">
      <c r="A389" s="21">
        <v>7.5585940000000001E-3</v>
      </c>
      <c r="B389" s="21">
        <f t="shared" si="12"/>
        <v>-0.23421729999999999</v>
      </c>
      <c r="D389">
        <f t="shared" si="13"/>
        <v>-94.390974842767307</v>
      </c>
      <c r="G389" s="21">
        <v>0.30016330000000002</v>
      </c>
      <c r="H389" s="21">
        <v>-0.23421729999999999</v>
      </c>
    </row>
    <row r="390" spans="1:8" x14ac:dyDescent="0.15">
      <c r="A390" s="21">
        <v>7.5781249999999998E-3</v>
      </c>
      <c r="B390" s="21">
        <f t="shared" si="12"/>
        <v>-0.10077800000000001</v>
      </c>
      <c r="D390">
        <f t="shared" si="13"/>
        <v>-41.144402515723264</v>
      </c>
      <c r="G390" s="21">
        <v>0.13083919999999999</v>
      </c>
      <c r="H390" s="21">
        <v>-0.10077800000000001</v>
      </c>
    </row>
    <row r="391" spans="1:8" x14ac:dyDescent="0.15">
      <c r="A391" s="21">
        <v>7.5976560000000004E-3</v>
      </c>
      <c r="B391" s="21">
        <f t="shared" si="12"/>
        <v>3.4377949999999997E-2</v>
      </c>
      <c r="D391">
        <f t="shared" si="13"/>
        <v>13.159223270440252</v>
      </c>
      <c r="G391" s="21">
        <v>-4.1846330000000001E-2</v>
      </c>
      <c r="H391" s="21">
        <v>3.4377949999999997E-2</v>
      </c>
    </row>
    <row r="392" spans="1:8" x14ac:dyDescent="0.15">
      <c r="A392" s="21">
        <v>7.6171870000000001E-3</v>
      </c>
      <c r="B392" s="21">
        <f t="shared" si="12"/>
        <v>0.16846259999999999</v>
      </c>
      <c r="D392">
        <f t="shared" si="13"/>
        <v>67.025691823899365</v>
      </c>
      <c r="G392" s="21">
        <v>-0.21314169999999999</v>
      </c>
      <c r="H392" s="21">
        <v>0.16846259999999999</v>
      </c>
    </row>
    <row r="393" spans="1:8" x14ac:dyDescent="0.15">
      <c r="A393" s="21">
        <v>7.6367190000000001E-3</v>
      </c>
      <c r="B393" s="21">
        <f t="shared" si="12"/>
        <v>0.29537279999999999</v>
      </c>
      <c r="D393">
        <f t="shared" si="13"/>
        <v>117.79908805031447</v>
      </c>
      <c r="G393" s="21">
        <v>-0.37460110000000002</v>
      </c>
      <c r="H393" s="21">
        <v>0.29537279999999999</v>
      </c>
    </row>
    <row r="394" spans="1:8" x14ac:dyDescent="0.15">
      <c r="A394" s="21">
        <v>7.6562499999999999E-3</v>
      </c>
      <c r="B394" s="21">
        <f t="shared" si="12"/>
        <v>0.41238979999999997</v>
      </c>
      <c r="D394">
        <f t="shared" si="13"/>
        <v>165.00786163522014</v>
      </c>
      <c r="G394" s="21">
        <v>-0.524725</v>
      </c>
      <c r="H394" s="21">
        <v>0.41238979999999997</v>
      </c>
    </row>
    <row r="395" spans="1:8" x14ac:dyDescent="0.15">
      <c r="A395" s="21">
        <v>7.6757809999999996E-3</v>
      </c>
      <c r="B395" s="21">
        <f t="shared" si="12"/>
        <v>0.51628260000000004</v>
      </c>
      <c r="D395">
        <f t="shared" si="13"/>
        <v>206.91327044025155</v>
      </c>
      <c r="G395" s="21">
        <v>-0.65798420000000002</v>
      </c>
      <c r="H395" s="21">
        <v>0.51628260000000004</v>
      </c>
    </row>
    <row r="396" spans="1:8" x14ac:dyDescent="0.15">
      <c r="A396" s="21">
        <v>7.6953120000000002E-3</v>
      </c>
      <c r="B396" s="21">
        <f t="shared" si="12"/>
        <v>0.60147470000000003</v>
      </c>
      <c r="D396">
        <f t="shared" si="13"/>
        <v>241.23933962264152</v>
      </c>
      <c r="G396" s="21">
        <v>-0.76714110000000002</v>
      </c>
      <c r="H396" s="21">
        <v>0.60147470000000003</v>
      </c>
    </row>
    <row r="397" spans="1:8" x14ac:dyDescent="0.15">
      <c r="A397" s="21">
        <v>7.7148440000000002E-3</v>
      </c>
      <c r="B397" s="21">
        <f t="shared" si="12"/>
        <v>0.66702709999999998</v>
      </c>
      <c r="D397">
        <f t="shared" si="13"/>
        <v>267.88757861635219</v>
      </c>
      <c r="G397" s="21">
        <v>-0.85188249999999999</v>
      </c>
      <c r="H397" s="21">
        <v>0.66702709999999998</v>
      </c>
    </row>
    <row r="398" spans="1:8" x14ac:dyDescent="0.15">
      <c r="A398" s="21">
        <v>7.7343749999999999E-3</v>
      </c>
      <c r="B398" s="21">
        <f t="shared" si="12"/>
        <v>0.71084499999999995</v>
      </c>
      <c r="D398">
        <f t="shared" si="13"/>
        <v>285.64333333333332</v>
      </c>
      <c r="G398" s="21">
        <v>-0.90834579999999998</v>
      </c>
      <c r="H398" s="21">
        <v>0.71084499999999995</v>
      </c>
    </row>
    <row r="399" spans="1:8" x14ac:dyDescent="0.15">
      <c r="A399" s="21">
        <v>7.7539059999999996E-3</v>
      </c>
      <c r="B399" s="21">
        <f t="shared" si="12"/>
        <v>0.73143400000000003</v>
      </c>
      <c r="D399">
        <f t="shared" si="13"/>
        <v>294.06141509433957</v>
      </c>
      <c r="G399" s="21">
        <v>-0.93511529999999998</v>
      </c>
      <c r="H399" s="21">
        <v>0.73143400000000003</v>
      </c>
    </row>
    <row r="400" spans="1:8" x14ac:dyDescent="0.15">
      <c r="A400" s="21">
        <v>7.7734370000000002E-3</v>
      </c>
      <c r="B400" s="21">
        <f t="shared" si="12"/>
        <v>0.72890900000000003</v>
      </c>
      <c r="D400">
        <f t="shared" si="13"/>
        <v>293.12455974842766</v>
      </c>
      <c r="G400" s="21">
        <v>-0.93213610000000002</v>
      </c>
      <c r="H400" s="21">
        <v>0.72890900000000003</v>
      </c>
    </row>
    <row r="401" spans="1:8" x14ac:dyDescent="0.15">
      <c r="A401" s="21">
        <v>7.7929690000000003E-3</v>
      </c>
      <c r="B401" s="21">
        <f t="shared" si="12"/>
        <v>0.69984210000000002</v>
      </c>
      <c r="D401">
        <f t="shared" si="13"/>
        <v>281.33814465408801</v>
      </c>
      <c r="G401" s="21">
        <v>-0.89465530000000004</v>
      </c>
      <c r="H401" s="21">
        <v>0.69984210000000002</v>
      </c>
    </row>
    <row r="402" spans="1:8" x14ac:dyDescent="0.15">
      <c r="A402" s="21">
        <v>7.8125E-3</v>
      </c>
      <c r="B402" s="21">
        <f t="shared" si="12"/>
        <v>0.64645799999999998</v>
      </c>
      <c r="D402">
        <f t="shared" si="13"/>
        <v>260.07776729559748</v>
      </c>
      <c r="G402" s="21">
        <v>-0.82704730000000004</v>
      </c>
      <c r="H402" s="21">
        <v>0.64645799999999998</v>
      </c>
    </row>
    <row r="403" spans="1:8" x14ac:dyDescent="0.15">
      <c r="A403" s="21">
        <v>7.8320309999999997E-3</v>
      </c>
      <c r="B403" s="21">
        <f t="shared" si="12"/>
        <v>0.57276689999999997</v>
      </c>
      <c r="D403">
        <f t="shared" si="13"/>
        <v>230.55525157232702</v>
      </c>
      <c r="G403" s="21">
        <v>-0.73316570000000003</v>
      </c>
      <c r="H403" s="21">
        <v>0.57276689999999997</v>
      </c>
    </row>
    <row r="404" spans="1:8" x14ac:dyDescent="0.15">
      <c r="A404" s="21">
        <v>7.8515630000000006E-3</v>
      </c>
      <c r="B404" s="21">
        <f t="shared" si="12"/>
        <v>0.47864099999999998</v>
      </c>
      <c r="D404">
        <f t="shared" si="13"/>
        <v>192.53116352201258</v>
      </c>
      <c r="G404" s="21">
        <v>-0.61224909999999999</v>
      </c>
      <c r="H404" s="21">
        <v>0.47864099999999998</v>
      </c>
    </row>
    <row r="405" spans="1:8" x14ac:dyDescent="0.15">
      <c r="A405" s="21">
        <v>7.8710940000000004E-3</v>
      </c>
      <c r="B405" s="21">
        <f t="shared" si="12"/>
        <v>0.3688362</v>
      </c>
      <c r="D405">
        <f t="shared" si="13"/>
        <v>148.50393081761007</v>
      </c>
      <c r="G405" s="21">
        <v>-0.47224250000000001</v>
      </c>
      <c r="H405" s="21">
        <v>0.3688362</v>
      </c>
    </row>
    <row r="406" spans="1:8" x14ac:dyDescent="0.15">
      <c r="A406" s="21">
        <v>7.8906250000000001E-3</v>
      </c>
      <c r="B406" s="21">
        <f t="shared" si="12"/>
        <v>0.24568219999999999</v>
      </c>
      <c r="D406">
        <f t="shared" si="13"/>
        <v>99.095094339622648</v>
      </c>
      <c r="G406" s="21">
        <v>-0.31512240000000002</v>
      </c>
      <c r="H406" s="21">
        <v>0.24568219999999999</v>
      </c>
    </row>
    <row r="407" spans="1:8" x14ac:dyDescent="0.15">
      <c r="A407" s="21">
        <v>7.9101559999999998E-3</v>
      </c>
      <c r="B407" s="21">
        <f t="shared" si="12"/>
        <v>0.1112114</v>
      </c>
      <c r="D407">
        <f t="shared" si="13"/>
        <v>45.154150943396225</v>
      </c>
      <c r="G407" s="21">
        <v>-0.1435902</v>
      </c>
      <c r="H407" s="21">
        <v>0.1112114</v>
      </c>
    </row>
    <row r="408" spans="1:8" x14ac:dyDescent="0.15">
      <c r="A408" s="21">
        <v>7.9296880000000007E-3</v>
      </c>
      <c r="B408" s="21">
        <f t="shared" si="12"/>
        <v>-2.4868950000000001E-2</v>
      </c>
      <c r="D408">
        <f t="shared" si="13"/>
        <v>-9.0547484276729548</v>
      </c>
      <c r="G408" s="21">
        <v>2.87941E-2</v>
      </c>
      <c r="H408" s="21">
        <v>-2.4868950000000001E-2</v>
      </c>
    </row>
    <row r="409" spans="1:8" x14ac:dyDescent="0.15">
      <c r="A409" s="21">
        <v>7.9492190000000004E-3</v>
      </c>
      <c r="B409" s="21">
        <f t="shared" si="12"/>
        <v>-0.1581823</v>
      </c>
      <c r="D409">
        <f t="shared" si="13"/>
        <v>-62.359528301886783</v>
      </c>
      <c r="G409" s="21">
        <v>0.19830329999999999</v>
      </c>
      <c r="H409" s="21">
        <v>-0.1581823</v>
      </c>
    </row>
    <row r="410" spans="1:8" x14ac:dyDescent="0.15">
      <c r="A410" s="21">
        <v>7.9687500000000001E-3</v>
      </c>
      <c r="B410" s="21">
        <f t="shared" si="12"/>
        <v>-0.28583599999999998</v>
      </c>
      <c r="D410">
        <f t="shared" si="13"/>
        <v>-113.5256289308176</v>
      </c>
      <c r="G410" s="21">
        <v>0.36101149999999999</v>
      </c>
      <c r="H410" s="21">
        <v>-0.28583599999999998</v>
      </c>
    </row>
    <row r="411" spans="1:8" x14ac:dyDescent="0.15">
      <c r="A411" s="21">
        <v>7.9882809999999999E-3</v>
      </c>
      <c r="B411" s="21">
        <f t="shared" si="12"/>
        <v>-0.40246539999999997</v>
      </c>
      <c r="D411">
        <f t="shared" si="13"/>
        <v>-160.12418238993712</v>
      </c>
      <c r="G411" s="21">
        <v>0.50919490000000001</v>
      </c>
      <c r="H411" s="21">
        <v>-0.40246539999999997</v>
      </c>
    </row>
    <row r="412" spans="1:8" x14ac:dyDescent="0.15">
      <c r="A412" s="21">
        <v>8.0078119999999996E-3</v>
      </c>
      <c r="B412" s="21">
        <f t="shared" si="12"/>
        <v>-0.50764880000000001</v>
      </c>
      <c r="D412">
        <f t="shared" si="13"/>
        <v>-202.30647798742137</v>
      </c>
      <c r="G412" s="21">
        <v>0.64333459999999998</v>
      </c>
      <c r="H412" s="21">
        <v>-0.50764880000000001</v>
      </c>
    </row>
    <row r="413" spans="1:8" x14ac:dyDescent="0.15">
      <c r="A413" s="21">
        <v>8.0273440000000005E-3</v>
      </c>
      <c r="B413" s="21">
        <f t="shared" si="12"/>
        <v>-0.59686329999999999</v>
      </c>
      <c r="D413">
        <f t="shared" si="13"/>
        <v>-237.96462264150941</v>
      </c>
      <c r="G413" s="21">
        <v>0.7567275</v>
      </c>
      <c r="H413" s="21">
        <v>-0.59686329999999999</v>
      </c>
    </row>
    <row r="414" spans="1:8" x14ac:dyDescent="0.15">
      <c r="A414" s="21">
        <v>8.0468750000000002E-3</v>
      </c>
      <c r="B414" s="21">
        <f t="shared" si="12"/>
        <v>-0.66430049999999996</v>
      </c>
      <c r="D414">
        <f t="shared" si="13"/>
        <v>-264.93522012578615</v>
      </c>
      <c r="G414" s="21">
        <v>0.84249399999999997</v>
      </c>
      <c r="H414" s="21">
        <v>-0.66430049999999996</v>
      </c>
    </row>
    <row r="415" spans="1:8" x14ac:dyDescent="0.15">
      <c r="A415" s="21">
        <v>8.0664059999999999E-3</v>
      </c>
      <c r="B415" s="21">
        <f t="shared" si="12"/>
        <v>-0.70988989999999996</v>
      </c>
      <c r="D415">
        <f t="shared" si="13"/>
        <v>-283.55676100628932</v>
      </c>
      <c r="G415" s="21">
        <v>0.90171049999999997</v>
      </c>
      <c r="H415" s="21">
        <v>-0.70988989999999996</v>
      </c>
    </row>
    <row r="416" spans="1:8" x14ac:dyDescent="0.15">
      <c r="A416" s="21">
        <v>8.0859369999999996E-3</v>
      </c>
      <c r="B416" s="21">
        <f t="shared" si="12"/>
        <v>-0.73184640000000001</v>
      </c>
      <c r="D416">
        <f t="shared" si="13"/>
        <v>-292.52503144654088</v>
      </c>
      <c r="G416" s="21">
        <v>0.93022959999999999</v>
      </c>
      <c r="H416" s="21">
        <v>-0.73184640000000001</v>
      </c>
    </row>
    <row r="417" spans="1:8" x14ac:dyDescent="0.15">
      <c r="A417" s="21">
        <v>8.1054690000000006E-3</v>
      </c>
      <c r="B417" s="21">
        <f t="shared" si="12"/>
        <v>-0.72923059999999995</v>
      </c>
      <c r="D417">
        <f t="shared" si="13"/>
        <v>-291.52342767295596</v>
      </c>
      <c r="G417" s="21">
        <v>0.92704450000000005</v>
      </c>
      <c r="H417" s="21">
        <v>-0.72923059999999995</v>
      </c>
    </row>
    <row r="418" spans="1:8" x14ac:dyDescent="0.15">
      <c r="A418" s="21">
        <v>8.1250000000000003E-3</v>
      </c>
      <c r="B418" s="21">
        <f t="shared" si="12"/>
        <v>-0.70304129999999998</v>
      </c>
      <c r="D418">
        <f t="shared" si="13"/>
        <v>-281.30386792452828</v>
      </c>
      <c r="G418" s="21">
        <v>0.89454630000000002</v>
      </c>
      <c r="H418" s="21">
        <v>-0.70304129999999998</v>
      </c>
    </row>
    <row r="419" spans="1:8" x14ac:dyDescent="0.15">
      <c r="A419" s="21">
        <v>8.144531E-3</v>
      </c>
      <c r="B419" s="21">
        <f t="shared" si="12"/>
        <v>-0.65224530000000003</v>
      </c>
      <c r="D419">
        <f t="shared" si="13"/>
        <v>-261.17827044025154</v>
      </c>
      <c r="G419" s="21">
        <v>0.83054689999999998</v>
      </c>
      <c r="H419" s="21">
        <v>-0.65224530000000003</v>
      </c>
    </row>
    <row r="420" spans="1:8" x14ac:dyDescent="0.15">
      <c r="A420" s="21">
        <v>8.1640619999999997E-3</v>
      </c>
      <c r="B420" s="21">
        <f t="shared" si="12"/>
        <v>-0.57869579999999998</v>
      </c>
      <c r="D420">
        <f t="shared" si="13"/>
        <v>-231.98352201257862</v>
      </c>
      <c r="G420" s="21">
        <v>0.73770760000000002</v>
      </c>
      <c r="H420" s="21">
        <v>-0.57869579999999998</v>
      </c>
    </row>
    <row r="421" spans="1:8" x14ac:dyDescent="0.15">
      <c r="A421" s="21">
        <v>8.1835940000000006E-3</v>
      </c>
      <c r="B421" s="21">
        <f t="shared" si="12"/>
        <v>-0.48572759999999998</v>
      </c>
      <c r="D421">
        <f t="shared" si="13"/>
        <v>-194.89738993710691</v>
      </c>
      <c r="G421" s="21">
        <v>0.61977369999999998</v>
      </c>
      <c r="H421" s="21">
        <v>-0.48572759999999998</v>
      </c>
    </row>
    <row r="422" spans="1:8" x14ac:dyDescent="0.15">
      <c r="A422" s="21">
        <v>8.2031250000000003E-3</v>
      </c>
      <c r="B422" s="21">
        <f t="shared" si="12"/>
        <v>-0.37498690000000001</v>
      </c>
      <c r="D422">
        <f t="shared" si="13"/>
        <v>-150.49962264150943</v>
      </c>
      <c r="G422" s="21">
        <v>0.47858879999999998</v>
      </c>
      <c r="H422" s="21">
        <v>-0.37498690000000001</v>
      </c>
    </row>
    <row r="423" spans="1:8" x14ac:dyDescent="0.15">
      <c r="A423" s="21">
        <v>8.2226560000000001E-3</v>
      </c>
      <c r="B423" s="21">
        <f t="shared" si="12"/>
        <v>-0.25097629999999999</v>
      </c>
      <c r="D423">
        <f t="shared" si="13"/>
        <v>-101.04345911949684</v>
      </c>
      <c r="G423" s="21">
        <v>0.3213182</v>
      </c>
      <c r="H423" s="21">
        <v>-0.25097629999999999</v>
      </c>
    </row>
    <row r="424" spans="1:8" x14ac:dyDescent="0.15">
      <c r="A424" s="21">
        <v>8.2421869999999998E-3</v>
      </c>
      <c r="B424" s="21">
        <f t="shared" si="12"/>
        <v>-0.1186768</v>
      </c>
      <c r="D424">
        <f t="shared" si="13"/>
        <v>-48.165157232704402</v>
      </c>
      <c r="G424" s="21">
        <v>0.1531652</v>
      </c>
      <c r="H424" s="21">
        <v>-0.1186768</v>
      </c>
    </row>
    <row r="425" spans="1:8" x14ac:dyDescent="0.15">
      <c r="A425" s="21">
        <v>8.2617190000000007E-3</v>
      </c>
      <c r="B425" s="21">
        <f t="shared" si="12"/>
        <v>1.748015E-2</v>
      </c>
      <c r="D425">
        <f t="shared" si="13"/>
        <v>6.4469559748427665</v>
      </c>
      <c r="G425" s="21">
        <v>-2.050132E-2</v>
      </c>
      <c r="H425" s="21">
        <v>1.748015E-2</v>
      </c>
    </row>
    <row r="426" spans="1:8" x14ac:dyDescent="0.15">
      <c r="A426" s="21">
        <v>8.2812500000000004E-3</v>
      </c>
      <c r="B426" s="21">
        <f t="shared" si="12"/>
        <v>0.15136079999999999</v>
      </c>
      <c r="D426">
        <f t="shared" si="13"/>
        <v>60.076132075471698</v>
      </c>
      <c r="G426" s="21">
        <v>-0.19104209999999999</v>
      </c>
      <c r="H426" s="21">
        <v>0.15136079999999999</v>
      </c>
    </row>
    <row r="427" spans="1:8" x14ac:dyDescent="0.15">
      <c r="A427" s="21">
        <v>8.3007810000000001E-3</v>
      </c>
      <c r="B427" s="21">
        <f t="shared" si="12"/>
        <v>0.27955020000000003</v>
      </c>
      <c r="D427">
        <f t="shared" si="13"/>
        <v>111.62283018867925</v>
      </c>
      <c r="G427" s="21">
        <v>-0.35496060000000001</v>
      </c>
      <c r="H427" s="21">
        <v>0.27955020000000003</v>
      </c>
    </row>
    <row r="428" spans="1:8" x14ac:dyDescent="0.15">
      <c r="A428" s="21">
        <v>8.3203119999999998E-3</v>
      </c>
      <c r="B428" s="21">
        <f t="shared" si="12"/>
        <v>0.39851110000000001</v>
      </c>
      <c r="D428">
        <f t="shared" si="13"/>
        <v>159.46330188679244</v>
      </c>
      <c r="G428" s="21">
        <v>-0.50709329999999997</v>
      </c>
      <c r="H428" s="21">
        <v>0.39851110000000001</v>
      </c>
    </row>
    <row r="429" spans="1:8" x14ac:dyDescent="0.15">
      <c r="A429" s="21">
        <v>8.3398440000000008E-3</v>
      </c>
      <c r="B429" s="21">
        <f t="shared" si="12"/>
        <v>0.50338519999999998</v>
      </c>
      <c r="D429">
        <f t="shared" si="13"/>
        <v>201.65210691823899</v>
      </c>
      <c r="G429" s="21">
        <v>-0.64125370000000004</v>
      </c>
      <c r="H429" s="21">
        <v>0.50338519999999998</v>
      </c>
    </row>
    <row r="430" spans="1:8" x14ac:dyDescent="0.15">
      <c r="A430" s="21">
        <v>8.3593750000000005E-3</v>
      </c>
      <c r="B430" s="21">
        <f t="shared" si="12"/>
        <v>0.59198680000000004</v>
      </c>
      <c r="D430">
        <f t="shared" si="13"/>
        <v>237.48663522012578</v>
      </c>
      <c r="G430" s="21">
        <v>-0.75520750000000003</v>
      </c>
      <c r="H430" s="21">
        <v>0.59198680000000004</v>
      </c>
    </row>
    <row r="431" spans="1:8" x14ac:dyDescent="0.15">
      <c r="A431" s="21">
        <v>8.3789060000000002E-3</v>
      </c>
      <c r="B431" s="21">
        <f t="shared" si="12"/>
        <v>0.66039170000000003</v>
      </c>
      <c r="D431">
        <f t="shared" si="13"/>
        <v>265.1080503144654</v>
      </c>
      <c r="G431" s="21">
        <v>-0.8430436</v>
      </c>
      <c r="H431" s="21">
        <v>0.66039170000000003</v>
      </c>
    </row>
    <row r="432" spans="1:8" x14ac:dyDescent="0.15">
      <c r="A432" s="21">
        <v>8.3984369999999999E-3</v>
      </c>
      <c r="B432" s="21">
        <f t="shared" si="12"/>
        <v>0.70622300000000005</v>
      </c>
      <c r="D432">
        <f t="shared" si="13"/>
        <v>283.73710691823896</v>
      </c>
      <c r="G432" s="21">
        <v>-0.90228399999999997</v>
      </c>
      <c r="H432" s="21">
        <v>0.70622300000000005</v>
      </c>
    </row>
    <row r="433" spans="1:8" x14ac:dyDescent="0.15">
      <c r="A433" s="21">
        <v>8.4179690000000008E-3</v>
      </c>
      <c r="B433" s="21">
        <f t="shared" si="12"/>
        <v>0.73077570000000003</v>
      </c>
      <c r="D433">
        <f t="shared" si="13"/>
        <v>293.88182389937106</v>
      </c>
      <c r="G433" s="21">
        <v>-0.93454420000000005</v>
      </c>
      <c r="H433" s="21">
        <v>0.73077570000000003</v>
      </c>
    </row>
    <row r="434" spans="1:8" x14ac:dyDescent="0.15">
      <c r="A434" s="21">
        <v>8.4375000000000006E-3</v>
      </c>
      <c r="B434" s="21">
        <f t="shared" si="12"/>
        <v>0.73098830000000004</v>
      </c>
      <c r="D434">
        <f t="shared" si="13"/>
        <v>293.94820754716977</v>
      </c>
      <c r="G434" s="21">
        <v>-0.93475529999999996</v>
      </c>
      <c r="H434" s="21">
        <v>0.73098830000000004</v>
      </c>
    </row>
    <row r="435" spans="1:8" x14ac:dyDescent="0.15">
      <c r="A435" s="21">
        <v>8.4570310000000003E-3</v>
      </c>
      <c r="B435" s="21">
        <f t="shared" si="12"/>
        <v>0.70507710000000001</v>
      </c>
      <c r="D435">
        <f t="shared" si="13"/>
        <v>283.52817610062891</v>
      </c>
      <c r="G435" s="21">
        <v>-0.90161959999999997</v>
      </c>
      <c r="H435" s="21">
        <v>0.70507710000000001</v>
      </c>
    </row>
    <row r="436" spans="1:8" x14ac:dyDescent="0.15">
      <c r="A436" s="21">
        <v>8.476562E-3</v>
      </c>
      <c r="B436" s="21">
        <f t="shared" si="12"/>
        <v>0.65566489999999999</v>
      </c>
      <c r="D436">
        <f t="shared" si="13"/>
        <v>263.80619496855348</v>
      </c>
      <c r="G436" s="21">
        <v>-0.83890370000000003</v>
      </c>
      <c r="H436" s="21">
        <v>0.65566489999999999</v>
      </c>
    </row>
    <row r="437" spans="1:8" x14ac:dyDescent="0.15">
      <c r="A437" s="21">
        <v>8.4960939999999992E-3</v>
      </c>
      <c r="B437" s="21">
        <f t="shared" si="12"/>
        <v>0.58360020000000001</v>
      </c>
      <c r="D437">
        <f t="shared" si="13"/>
        <v>234.83213836477987</v>
      </c>
      <c r="G437" s="21">
        <v>-0.74676620000000005</v>
      </c>
      <c r="H437" s="21">
        <v>0.58360020000000001</v>
      </c>
    </row>
    <row r="438" spans="1:8" x14ac:dyDescent="0.15">
      <c r="A438" s="21">
        <v>8.5156250000000006E-3</v>
      </c>
      <c r="B438" s="21">
        <f t="shared" si="12"/>
        <v>0.4921044</v>
      </c>
      <c r="D438">
        <f t="shared" si="13"/>
        <v>198.07352201257862</v>
      </c>
      <c r="G438" s="21">
        <v>-0.62987380000000004</v>
      </c>
      <c r="H438" s="21">
        <v>0.4921044</v>
      </c>
    </row>
    <row r="439" spans="1:8" x14ac:dyDescent="0.15">
      <c r="A439" s="21">
        <v>8.5351560000000003E-3</v>
      </c>
      <c r="B439" s="21">
        <f t="shared" si="12"/>
        <v>0.38446970000000003</v>
      </c>
      <c r="D439">
        <f t="shared" si="13"/>
        <v>154.81748427672957</v>
      </c>
      <c r="G439" s="21">
        <v>-0.49231960000000002</v>
      </c>
      <c r="H439" s="21">
        <v>0.38446970000000003</v>
      </c>
    </row>
    <row r="440" spans="1:8" x14ac:dyDescent="0.15">
      <c r="A440" s="21">
        <v>8.5546870000000001E-3</v>
      </c>
      <c r="B440" s="21">
        <f t="shared" si="12"/>
        <v>0.26203330000000002</v>
      </c>
      <c r="D440">
        <f t="shared" si="13"/>
        <v>105.60984276729559</v>
      </c>
      <c r="G440" s="21">
        <v>-0.33583930000000001</v>
      </c>
      <c r="H440" s="21">
        <v>0.26203330000000002</v>
      </c>
    </row>
    <row r="441" spans="1:8" x14ac:dyDescent="0.15">
      <c r="A441" s="21">
        <v>8.5742189999999992E-3</v>
      </c>
      <c r="B441" s="21">
        <f t="shared" si="12"/>
        <v>0.13010869999999999</v>
      </c>
      <c r="D441">
        <f t="shared" si="13"/>
        <v>52.875157232704403</v>
      </c>
      <c r="G441" s="21">
        <v>-0.16814299999999999</v>
      </c>
      <c r="H441" s="21">
        <v>0.13010869999999999</v>
      </c>
    </row>
    <row r="442" spans="1:8" x14ac:dyDescent="0.15">
      <c r="A442" s="21">
        <v>8.5937500000000007E-3</v>
      </c>
      <c r="B442" s="21">
        <f t="shared" si="12"/>
        <v>-6.4083100000000004E-3</v>
      </c>
      <c r="D442">
        <f t="shared" si="13"/>
        <v>-1.7091726415094339</v>
      </c>
      <c r="G442" s="21">
        <v>5.4351690000000001E-3</v>
      </c>
      <c r="H442" s="21">
        <v>-6.4083100000000004E-3</v>
      </c>
    </row>
    <row r="443" spans="1:8" x14ac:dyDescent="0.15">
      <c r="A443" s="21">
        <v>8.6132810000000004E-3</v>
      </c>
      <c r="B443" s="21">
        <f t="shared" si="12"/>
        <v>-0.14155290000000001</v>
      </c>
      <c r="D443">
        <f t="shared" si="13"/>
        <v>-55.700566037735847</v>
      </c>
      <c r="G443" s="21">
        <v>0.1771278</v>
      </c>
      <c r="H443" s="21">
        <v>-0.14155290000000001</v>
      </c>
    </row>
    <row r="444" spans="1:8" x14ac:dyDescent="0.15">
      <c r="A444" s="21">
        <v>8.6328120000000001E-3</v>
      </c>
      <c r="B444" s="21">
        <f t="shared" si="12"/>
        <v>-0.26893220000000001</v>
      </c>
      <c r="D444">
        <f t="shared" si="13"/>
        <v>-106.60138364779874</v>
      </c>
      <c r="G444" s="21">
        <v>0.33899240000000003</v>
      </c>
      <c r="H444" s="21">
        <v>-0.26893220000000001</v>
      </c>
    </row>
    <row r="445" spans="1:8" x14ac:dyDescent="0.15">
      <c r="A445" s="21">
        <v>8.6523439999999993E-3</v>
      </c>
      <c r="B445" s="21">
        <f t="shared" si="12"/>
        <v>-0.38805390000000001</v>
      </c>
      <c r="D445">
        <f t="shared" si="13"/>
        <v>-154.45933962264149</v>
      </c>
      <c r="G445" s="21">
        <v>0.49118070000000003</v>
      </c>
      <c r="H445" s="21">
        <v>-0.38805390000000001</v>
      </c>
    </row>
    <row r="446" spans="1:8" x14ac:dyDescent="0.15">
      <c r="A446" s="21">
        <v>8.6718750000000008E-3</v>
      </c>
      <c r="B446" s="21">
        <f t="shared" si="12"/>
        <v>-0.49523479999999998</v>
      </c>
      <c r="D446">
        <f t="shared" si="13"/>
        <v>-197.29305031446538</v>
      </c>
      <c r="G446" s="21">
        <v>0.6273919</v>
      </c>
      <c r="H446" s="21">
        <v>-0.49523479999999998</v>
      </c>
    </row>
    <row r="447" spans="1:8" x14ac:dyDescent="0.15">
      <c r="A447" s="21">
        <v>8.6914060000000005E-3</v>
      </c>
      <c r="B447" s="21">
        <f t="shared" si="12"/>
        <v>-0.58515819999999996</v>
      </c>
      <c r="D447">
        <f t="shared" si="13"/>
        <v>-233.19367924528302</v>
      </c>
      <c r="G447" s="21">
        <v>0.74155590000000005</v>
      </c>
      <c r="H447" s="21">
        <v>-0.58515819999999996</v>
      </c>
    </row>
    <row r="448" spans="1:8" x14ac:dyDescent="0.15">
      <c r="A448" s="21">
        <v>8.7109370000000002E-3</v>
      </c>
      <c r="B448" s="21">
        <f t="shared" si="12"/>
        <v>-0.65655339999999995</v>
      </c>
      <c r="D448">
        <f t="shared" si="13"/>
        <v>-261.95742138364778</v>
      </c>
      <c r="G448" s="21">
        <v>0.8330246</v>
      </c>
      <c r="H448" s="21">
        <v>-0.65655339999999995</v>
      </c>
    </row>
    <row r="449" spans="1:8" x14ac:dyDescent="0.15">
      <c r="A449" s="21">
        <v>8.7304689999999994E-3</v>
      </c>
      <c r="B449" s="21">
        <f t="shared" si="12"/>
        <v>-0.70552729999999997</v>
      </c>
      <c r="D449">
        <f t="shared" si="13"/>
        <v>-281.72792452830186</v>
      </c>
      <c r="G449" s="21">
        <v>0.89589479999999999</v>
      </c>
      <c r="H449" s="21">
        <v>-0.70552729999999997</v>
      </c>
    </row>
    <row r="450" spans="1:8" x14ac:dyDescent="0.15">
      <c r="A450" s="21">
        <v>8.7500000000000008E-3</v>
      </c>
      <c r="B450" s="21">
        <f t="shared" si="12"/>
        <v>-0.73044989999999999</v>
      </c>
      <c r="D450">
        <f t="shared" si="13"/>
        <v>-291.93628930817607</v>
      </c>
      <c r="G450" s="21">
        <v>0.9283574</v>
      </c>
      <c r="H450" s="21">
        <v>-0.73044989999999999</v>
      </c>
    </row>
    <row r="451" spans="1:8" x14ac:dyDescent="0.15">
      <c r="A451" s="21">
        <v>8.7695310000000005E-3</v>
      </c>
      <c r="B451" s="21">
        <f t="shared" ref="B451:B513" si="14">H451</f>
        <v>-0.73183359999999997</v>
      </c>
      <c r="D451">
        <f t="shared" ref="D451:D513" si="15">G451*-1000/3.18</f>
        <v>-292.61311320754714</v>
      </c>
      <c r="G451" s="21">
        <v>0.9305097</v>
      </c>
      <c r="H451" s="21">
        <v>-0.73183359999999997</v>
      </c>
    </row>
    <row r="452" spans="1:8" x14ac:dyDescent="0.15">
      <c r="A452" s="21">
        <v>8.7890620000000003E-3</v>
      </c>
      <c r="B452" s="21">
        <f t="shared" si="14"/>
        <v>-0.70750369999999996</v>
      </c>
      <c r="D452">
        <f t="shared" si="15"/>
        <v>-283.03789308176101</v>
      </c>
      <c r="G452" s="21">
        <v>0.90006050000000004</v>
      </c>
      <c r="H452" s="21">
        <v>-0.70750369999999996</v>
      </c>
    </row>
    <row r="453" spans="1:8" x14ac:dyDescent="0.15">
      <c r="A453" s="21">
        <v>8.8085939999999995E-3</v>
      </c>
      <c r="B453" s="21">
        <f t="shared" si="14"/>
        <v>-0.65974250000000001</v>
      </c>
      <c r="D453">
        <f t="shared" si="15"/>
        <v>-264.33798742138362</v>
      </c>
      <c r="G453" s="21">
        <v>0.84059479999999998</v>
      </c>
      <c r="H453" s="21">
        <v>-0.65974250000000001</v>
      </c>
    </row>
    <row r="454" spans="1:8" x14ac:dyDescent="0.15">
      <c r="A454" s="21">
        <v>8.8281249999999992E-3</v>
      </c>
      <c r="B454" s="21">
        <f t="shared" si="14"/>
        <v>-0.59026239999999996</v>
      </c>
      <c r="D454">
        <f t="shared" si="15"/>
        <v>-236.6668867924528</v>
      </c>
      <c r="G454" s="21">
        <v>0.75260070000000001</v>
      </c>
      <c r="H454" s="21">
        <v>-0.59026239999999996</v>
      </c>
    </row>
    <row r="455" spans="1:8" x14ac:dyDescent="0.15">
      <c r="A455" s="21">
        <v>8.8476560000000006E-3</v>
      </c>
      <c r="B455" s="21">
        <f t="shared" si="14"/>
        <v>-0.49906600000000001</v>
      </c>
      <c r="D455">
        <f t="shared" si="15"/>
        <v>-200.14311320754717</v>
      </c>
      <c r="G455" s="21">
        <v>0.63645510000000005</v>
      </c>
      <c r="H455" s="21">
        <v>-0.49906600000000001</v>
      </c>
    </row>
    <row r="456" spans="1:8" x14ac:dyDescent="0.15">
      <c r="A456" s="21">
        <v>8.8671879999999998E-3</v>
      </c>
      <c r="B456" s="21">
        <f t="shared" si="14"/>
        <v>-0.39103270000000001</v>
      </c>
      <c r="D456">
        <f t="shared" si="15"/>
        <v>-157.04037735849056</v>
      </c>
      <c r="G456" s="21">
        <v>0.49938840000000001</v>
      </c>
      <c r="H456" s="21">
        <v>-0.39103270000000001</v>
      </c>
    </row>
    <row r="457" spans="1:8" x14ac:dyDescent="0.15">
      <c r="A457" s="21">
        <v>8.8867189999999995E-3</v>
      </c>
      <c r="B457" s="21">
        <f t="shared" si="14"/>
        <v>-0.2685189</v>
      </c>
      <c r="D457">
        <f t="shared" si="15"/>
        <v>-108.14377358490566</v>
      </c>
      <c r="G457" s="21">
        <v>0.34389720000000001</v>
      </c>
      <c r="H457" s="21">
        <v>-0.2685189</v>
      </c>
    </row>
    <row r="458" spans="1:8" x14ac:dyDescent="0.15">
      <c r="A458" s="21">
        <v>8.9062499999999992E-3</v>
      </c>
      <c r="B458" s="21">
        <f t="shared" si="14"/>
        <v>-0.135992</v>
      </c>
      <c r="D458">
        <f t="shared" si="15"/>
        <v>-55.175786163522012</v>
      </c>
      <c r="G458" s="21">
        <v>0.175459</v>
      </c>
      <c r="H458" s="21">
        <v>-0.135992</v>
      </c>
    </row>
    <row r="459" spans="1:8" x14ac:dyDescent="0.15">
      <c r="A459" s="21">
        <v>8.9257810000000007E-3</v>
      </c>
      <c r="B459" s="21">
        <f t="shared" si="14"/>
        <v>-1.283403E-3</v>
      </c>
      <c r="D459">
        <f t="shared" si="15"/>
        <v>-1.1528487421383649</v>
      </c>
      <c r="G459" s="21">
        <v>3.6660590000000002E-3</v>
      </c>
      <c r="H459" s="21">
        <v>-1.283403E-3</v>
      </c>
    </row>
    <row r="460" spans="1:8" x14ac:dyDescent="0.15">
      <c r="A460" s="21">
        <v>8.9453129999999999E-3</v>
      </c>
      <c r="B460" s="21">
        <f t="shared" si="14"/>
        <v>0.13340279999999999</v>
      </c>
      <c r="D460">
        <f t="shared" si="15"/>
        <v>52.927767295597477</v>
      </c>
      <c r="G460" s="21">
        <v>-0.1683103</v>
      </c>
      <c r="H460" s="21">
        <v>0.13340279999999999</v>
      </c>
    </row>
    <row r="461" spans="1:8" x14ac:dyDescent="0.15">
      <c r="A461" s="21">
        <v>8.9648439999999996E-3</v>
      </c>
      <c r="B461" s="21">
        <f t="shared" si="14"/>
        <v>0.2630555</v>
      </c>
      <c r="D461">
        <f t="shared" si="15"/>
        <v>104.84893081761005</v>
      </c>
      <c r="G461" s="21">
        <v>-0.33341959999999998</v>
      </c>
      <c r="H461" s="21">
        <v>0.2630555</v>
      </c>
    </row>
    <row r="462" spans="1:8" x14ac:dyDescent="0.15">
      <c r="A462" s="21">
        <v>8.9843749999999993E-3</v>
      </c>
      <c r="B462" s="21">
        <f t="shared" si="14"/>
        <v>0.38264890000000001</v>
      </c>
      <c r="D462">
        <f t="shared" si="15"/>
        <v>152.9194968553459</v>
      </c>
      <c r="G462" s="21">
        <v>-0.48628399999999999</v>
      </c>
      <c r="H462" s="21">
        <v>0.38264890000000001</v>
      </c>
    </row>
    <row r="463" spans="1:8" x14ac:dyDescent="0.15">
      <c r="A463" s="21">
        <v>9.0039060000000008E-3</v>
      </c>
      <c r="B463" s="21">
        <f t="shared" si="14"/>
        <v>0.4906684</v>
      </c>
      <c r="D463">
        <f t="shared" si="15"/>
        <v>196.54028301886791</v>
      </c>
      <c r="G463" s="21">
        <v>-0.6249981</v>
      </c>
      <c r="H463" s="21">
        <v>0.4906684</v>
      </c>
    </row>
    <row r="464" spans="1:8" x14ac:dyDescent="0.15">
      <c r="A464" s="21">
        <v>9.0234379999999999E-3</v>
      </c>
      <c r="B464" s="21">
        <f t="shared" si="14"/>
        <v>0.58119699999999996</v>
      </c>
      <c r="D464">
        <f t="shared" si="15"/>
        <v>233.04295597484276</v>
      </c>
      <c r="G464" s="21">
        <v>-0.74107659999999997</v>
      </c>
      <c r="H464" s="21">
        <v>0.58119699999999996</v>
      </c>
    </row>
    <row r="465" spans="1:8" x14ac:dyDescent="0.15">
      <c r="A465" s="21">
        <v>9.0429689999999997E-3</v>
      </c>
      <c r="B465" s="21">
        <f t="shared" si="14"/>
        <v>0.65173009999999998</v>
      </c>
      <c r="D465">
        <f t="shared" si="15"/>
        <v>261.62462264150946</v>
      </c>
      <c r="G465" s="21">
        <v>-0.83196630000000005</v>
      </c>
      <c r="H465" s="21">
        <v>0.65173009999999998</v>
      </c>
    </row>
    <row r="466" spans="1:8" x14ac:dyDescent="0.15">
      <c r="A466" s="21">
        <v>9.0624999999999994E-3</v>
      </c>
      <c r="B466" s="21">
        <f t="shared" si="14"/>
        <v>0.70173039999999998</v>
      </c>
      <c r="D466">
        <f t="shared" si="15"/>
        <v>281.97176100628928</v>
      </c>
      <c r="G466" s="21">
        <v>-0.89667019999999997</v>
      </c>
      <c r="H466" s="21">
        <v>0.70173039999999998</v>
      </c>
    </row>
    <row r="467" spans="1:8" x14ac:dyDescent="0.15">
      <c r="A467" s="21">
        <v>9.0820310000000008E-3</v>
      </c>
      <c r="B467" s="21">
        <f t="shared" si="14"/>
        <v>0.72835930000000004</v>
      </c>
      <c r="D467">
        <f t="shared" si="15"/>
        <v>292.74704402515721</v>
      </c>
      <c r="G467" s="21">
        <v>-0.93093559999999997</v>
      </c>
      <c r="H467" s="21">
        <v>0.72835930000000004</v>
      </c>
    </row>
    <row r="468" spans="1:8" x14ac:dyDescent="0.15">
      <c r="A468" s="21">
        <v>9.101563E-3</v>
      </c>
      <c r="B468" s="21">
        <f t="shared" si="14"/>
        <v>0.73209239999999998</v>
      </c>
      <c r="D468">
        <f t="shared" si="15"/>
        <v>294.35993710691821</v>
      </c>
      <c r="G468" s="21">
        <v>-0.93606460000000002</v>
      </c>
      <c r="H468" s="21">
        <v>0.73209239999999998</v>
      </c>
    </row>
    <row r="469" spans="1:8" x14ac:dyDescent="0.15">
      <c r="A469" s="21">
        <v>9.1210939999999997E-3</v>
      </c>
      <c r="B469" s="21">
        <f t="shared" si="14"/>
        <v>0.71058180000000004</v>
      </c>
      <c r="D469">
        <f t="shared" si="15"/>
        <v>285.73138364779874</v>
      </c>
      <c r="G469" s="21">
        <v>-0.90862580000000004</v>
      </c>
      <c r="H469" s="21">
        <v>0.71058180000000004</v>
      </c>
    </row>
    <row r="470" spans="1:8" x14ac:dyDescent="0.15">
      <c r="A470" s="21">
        <v>9.1406249999999994E-3</v>
      </c>
      <c r="B470" s="21">
        <f t="shared" si="14"/>
        <v>0.66290170000000004</v>
      </c>
      <c r="D470">
        <f t="shared" si="15"/>
        <v>266.5385220125786</v>
      </c>
      <c r="G470" s="21">
        <v>-0.84759249999999997</v>
      </c>
      <c r="H470" s="21">
        <v>0.66290170000000004</v>
      </c>
    </row>
    <row r="471" spans="1:8" x14ac:dyDescent="0.15">
      <c r="A471" s="21">
        <v>9.1601559999999992E-3</v>
      </c>
      <c r="B471" s="21">
        <f t="shared" si="14"/>
        <v>0.5941073</v>
      </c>
      <c r="D471">
        <f t="shared" si="15"/>
        <v>239.02213836477986</v>
      </c>
      <c r="G471" s="21">
        <v>-0.76009040000000005</v>
      </c>
      <c r="H471" s="21">
        <v>0.5941073</v>
      </c>
    </row>
    <row r="472" spans="1:8" x14ac:dyDescent="0.15">
      <c r="A472" s="21">
        <v>9.1796880000000001E-3</v>
      </c>
      <c r="B472" s="21">
        <f t="shared" si="14"/>
        <v>0.50547509999999996</v>
      </c>
      <c r="D472">
        <f t="shared" si="15"/>
        <v>203.36311320754717</v>
      </c>
      <c r="G472" s="21">
        <v>-0.64669469999999996</v>
      </c>
      <c r="H472" s="21">
        <v>0.50547509999999996</v>
      </c>
    </row>
    <row r="473" spans="1:8" x14ac:dyDescent="0.15">
      <c r="A473" s="21">
        <v>9.1992189999999998E-3</v>
      </c>
      <c r="B473" s="21">
        <f t="shared" si="14"/>
        <v>0.39914630000000001</v>
      </c>
      <c r="D473">
        <f t="shared" si="15"/>
        <v>160.56349056603773</v>
      </c>
      <c r="G473" s="21">
        <v>-0.51059189999999999</v>
      </c>
      <c r="H473" s="21">
        <v>0.39914630000000001</v>
      </c>
    </row>
    <row r="474" spans="1:8" x14ac:dyDescent="0.15">
      <c r="A474" s="21">
        <v>9.2187499999999995E-3</v>
      </c>
      <c r="B474" s="21">
        <f t="shared" si="14"/>
        <v>0.27942119999999998</v>
      </c>
      <c r="D474">
        <f t="shared" si="15"/>
        <v>112.58805031446541</v>
      </c>
      <c r="G474" s="21">
        <v>-0.35803000000000001</v>
      </c>
      <c r="H474" s="21">
        <v>0.27942119999999998</v>
      </c>
    </row>
    <row r="475" spans="1:8" x14ac:dyDescent="0.15">
      <c r="A475" s="21">
        <v>9.2382809999999992E-3</v>
      </c>
      <c r="B475" s="21">
        <f t="shared" si="14"/>
        <v>0.14796770000000001</v>
      </c>
      <c r="D475">
        <f t="shared" si="15"/>
        <v>59.901163522012581</v>
      </c>
      <c r="G475" s="21">
        <v>-0.19048570000000001</v>
      </c>
      <c r="H475" s="21">
        <v>0.14796770000000001</v>
      </c>
    </row>
    <row r="476" spans="1:8" x14ac:dyDescent="0.15">
      <c r="A476" s="21">
        <v>9.2578130000000002E-3</v>
      </c>
      <c r="B476" s="21">
        <f t="shared" si="14"/>
        <v>1.124411E-2</v>
      </c>
      <c r="D476">
        <f t="shared" si="15"/>
        <v>5.241987421383647</v>
      </c>
      <c r="G476" s="21">
        <v>-1.666952E-2</v>
      </c>
      <c r="H476" s="21">
        <v>1.124411E-2</v>
      </c>
    </row>
    <row r="477" spans="1:8" x14ac:dyDescent="0.15">
      <c r="A477" s="21">
        <v>9.2773439999999999E-3</v>
      </c>
      <c r="B477" s="21">
        <f t="shared" si="14"/>
        <v>-0.1233571</v>
      </c>
      <c r="D477">
        <f t="shared" si="15"/>
        <v>-48.487578616352202</v>
      </c>
      <c r="G477" s="21">
        <v>0.15419050000000001</v>
      </c>
      <c r="H477" s="21">
        <v>-0.1233571</v>
      </c>
    </row>
    <row r="478" spans="1:8" x14ac:dyDescent="0.15">
      <c r="A478" s="21">
        <v>9.2968749999999996E-3</v>
      </c>
      <c r="B478" s="21">
        <f t="shared" si="14"/>
        <v>-0.25282389999999999</v>
      </c>
      <c r="D478">
        <f t="shared" si="15"/>
        <v>-100.29452830188679</v>
      </c>
      <c r="G478" s="21">
        <v>0.31893660000000001</v>
      </c>
      <c r="H478" s="21">
        <v>-0.25282389999999999</v>
      </c>
    </row>
    <row r="479" spans="1:8" x14ac:dyDescent="0.15">
      <c r="A479" s="21">
        <v>9.3164059999999993E-3</v>
      </c>
      <c r="B479" s="21">
        <f t="shared" si="14"/>
        <v>-0.37282480000000001</v>
      </c>
      <c r="D479">
        <f t="shared" si="15"/>
        <v>-148.33896226415095</v>
      </c>
      <c r="G479" s="21">
        <v>0.47171790000000002</v>
      </c>
      <c r="H479" s="21">
        <v>-0.37282480000000001</v>
      </c>
    </row>
    <row r="480" spans="1:8" x14ac:dyDescent="0.15">
      <c r="A480" s="21">
        <v>9.3359380000000002E-3</v>
      </c>
      <c r="B480" s="21">
        <f t="shared" si="14"/>
        <v>-0.48099609999999998</v>
      </c>
      <c r="D480">
        <f t="shared" si="15"/>
        <v>-191.68820754716978</v>
      </c>
      <c r="G480" s="21">
        <v>0.60956849999999996</v>
      </c>
      <c r="H480" s="21">
        <v>-0.48099609999999998</v>
      </c>
    </row>
    <row r="481" spans="1:8" x14ac:dyDescent="0.15">
      <c r="A481" s="21">
        <v>9.3554689999999999E-3</v>
      </c>
      <c r="B481" s="21">
        <f t="shared" si="14"/>
        <v>-0.57481179999999998</v>
      </c>
      <c r="D481">
        <f t="shared" si="15"/>
        <v>-229.24820754716978</v>
      </c>
      <c r="G481" s="21">
        <v>0.72900929999999997</v>
      </c>
      <c r="H481" s="21">
        <v>-0.57481179999999998</v>
      </c>
    </row>
    <row r="482" spans="1:8" x14ac:dyDescent="0.15">
      <c r="A482" s="21">
        <v>9.3749999999999997E-3</v>
      </c>
      <c r="B482" s="21">
        <f t="shared" si="14"/>
        <v>-0.64810400000000001</v>
      </c>
      <c r="D482">
        <f t="shared" si="15"/>
        <v>-258.60738993710692</v>
      </c>
      <c r="G482" s="21">
        <v>0.82237150000000003</v>
      </c>
      <c r="H482" s="21">
        <v>-0.64810400000000001</v>
      </c>
    </row>
    <row r="483" spans="1:8" x14ac:dyDescent="0.15">
      <c r="A483" s="21">
        <v>9.3945309999999994E-3</v>
      </c>
      <c r="B483" s="21">
        <f t="shared" si="14"/>
        <v>-0.69947619999999999</v>
      </c>
      <c r="D483">
        <f t="shared" si="15"/>
        <v>-279.41779874213836</v>
      </c>
      <c r="G483" s="21">
        <v>0.88854860000000002</v>
      </c>
      <c r="H483" s="21">
        <v>-0.69947619999999999</v>
      </c>
    </row>
    <row r="484" spans="1:8" x14ac:dyDescent="0.15">
      <c r="A484" s="21">
        <v>9.4140630000000003E-3</v>
      </c>
      <c r="B484" s="21">
        <f t="shared" si="14"/>
        <v>-0.72846699999999998</v>
      </c>
      <c r="D484">
        <f t="shared" si="15"/>
        <v>-291.25537735849053</v>
      </c>
      <c r="G484" s="21">
        <v>0.92619209999999996</v>
      </c>
      <c r="H484" s="21">
        <v>-0.72846699999999998</v>
      </c>
    </row>
    <row r="485" spans="1:8" x14ac:dyDescent="0.15">
      <c r="A485" s="21">
        <v>9.433594E-3</v>
      </c>
      <c r="B485" s="21">
        <f t="shared" si="14"/>
        <v>-0.73232470000000005</v>
      </c>
      <c r="D485">
        <f t="shared" si="15"/>
        <v>-292.87506289308175</v>
      </c>
      <c r="G485" s="21">
        <v>0.93134269999999997</v>
      </c>
      <c r="H485" s="21">
        <v>-0.73232470000000005</v>
      </c>
    </row>
    <row r="486" spans="1:8" x14ac:dyDescent="0.15">
      <c r="A486" s="21">
        <v>9.4531249999999997E-3</v>
      </c>
      <c r="B486" s="21">
        <f t="shared" si="14"/>
        <v>-0.71193770000000001</v>
      </c>
      <c r="D486">
        <f t="shared" si="15"/>
        <v>-284.92022012578616</v>
      </c>
      <c r="G486" s="21">
        <v>0.90604629999999997</v>
      </c>
      <c r="H486" s="21">
        <v>-0.71193770000000001</v>
      </c>
    </row>
    <row r="487" spans="1:8" x14ac:dyDescent="0.15">
      <c r="A487" s="21">
        <v>9.4726559999999994E-3</v>
      </c>
      <c r="B487" s="21">
        <f t="shared" si="14"/>
        <v>-0.66776999999999997</v>
      </c>
      <c r="D487">
        <f t="shared" si="15"/>
        <v>-267.54380503144654</v>
      </c>
      <c r="G487" s="21">
        <v>0.85078929999999997</v>
      </c>
      <c r="H487" s="21">
        <v>-0.66776999999999997</v>
      </c>
    </row>
    <row r="488" spans="1:8" x14ac:dyDescent="0.15">
      <c r="A488" s="21">
        <v>9.4921880000000004E-3</v>
      </c>
      <c r="B488" s="21">
        <f t="shared" si="14"/>
        <v>-0.60005609999999998</v>
      </c>
      <c r="D488">
        <f t="shared" si="15"/>
        <v>-240.57738993710691</v>
      </c>
      <c r="G488" s="21">
        <v>0.7650361</v>
      </c>
      <c r="H488" s="21">
        <v>-0.60005609999999998</v>
      </c>
    </row>
    <row r="489" spans="1:8" x14ac:dyDescent="0.15">
      <c r="A489" s="21">
        <v>9.5117190000000001E-3</v>
      </c>
      <c r="B489" s="21">
        <f t="shared" si="14"/>
        <v>-0.51192380000000004</v>
      </c>
      <c r="D489">
        <f t="shared" si="15"/>
        <v>-205.39443396226412</v>
      </c>
      <c r="G489" s="21">
        <v>0.65315429999999997</v>
      </c>
      <c r="H489" s="21">
        <v>-0.51192380000000004</v>
      </c>
    </row>
    <row r="490" spans="1:8" x14ac:dyDescent="0.15">
      <c r="A490" s="21">
        <v>9.5312499999999998E-3</v>
      </c>
      <c r="B490" s="21">
        <f t="shared" si="14"/>
        <v>-0.40564270000000002</v>
      </c>
      <c r="D490">
        <f t="shared" si="15"/>
        <v>-162.92531446540883</v>
      </c>
      <c r="G490" s="21">
        <v>0.51810250000000002</v>
      </c>
      <c r="H490" s="21">
        <v>-0.40564270000000002</v>
      </c>
    </row>
    <row r="491" spans="1:8" x14ac:dyDescent="0.15">
      <c r="A491" s="21">
        <v>9.5507809999999995E-3</v>
      </c>
      <c r="B491" s="21">
        <f t="shared" si="14"/>
        <v>-0.2845879</v>
      </c>
      <c r="D491">
        <f t="shared" si="15"/>
        <v>-114.56399371069183</v>
      </c>
      <c r="G491" s="21">
        <v>0.36431350000000001</v>
      </c>
      <c r="H491" s="21">
        <v>-0.2845879</v>
      </c>
    </row>
    <row r="492" spans="1:8" x14ac:dyDescent="0.15">
      <c r="A492" s="21">
        <v>9.5703130000000004E-3</v>
      </c>
      <c r="B492" s="21">
        <f t="shared" si="14"/>
        <v>-0.1541998</v>
      </c>
      <c r="D492">
        <f t="shared" si="15"/>
        <v>-62.521666666666661</v>
      </c>
      <c r="G492" s="21">
        <v>0.19881889999999999</v>
      </c>
      <c r="H492" s="21">
        <v>-0.1541998</v>
      </c>
    </row>
    <row r="493" spans="1:8" x14ac:dyDescent="0.15">
      <c r="A493" s="21">
        <v>9.5898440000000001E-3</v>
      </c>
      <c r="B493" s="21">
        <f t="shared" si="14"/>
        <v>-1.894032E-2</v>
      </c>
      <c r="D493">
        <f t="shared" si="15"/>
        <v>-8.2512830188679249</v>
      </c>
      <c r="G493" s="21">
        <v>2.6239080000000001E-2</v>
      </c>
      <c r="H493" s="21">
        <v>-1.894032E-2</v>
      </c>
    </row>
    <row r="494" spans="1:8" x14ac:dyDescent="0.15">
      <c r="A494" s="21">
        <v>9.6093749999999999E-3</v>
      </c>
      <c r="B494" s="21">
        <f t="shared" si="14"/>
        <v>0.1160154</v>
      </c>
      <c r="D494">
        <f t="shared" si="15"/>
        <v>45.875188679245277</v>
      </c>
      <c r="G494" s="21">
        <v>-0.14588309999999999</v>
      </c>
      <c r="H494" s="21">
        <v>0.1160154</v>
      </c>
    </row>
    <row r="495" spans="1:8" x14ac:dyDescent="0.15">
      <c r="A495" s="21">
        <v>9.6289059999999996E-3</v>
      </c>
      <c r="B495" s="21">
        <f t="shared" si="14"/>
        <v>0.24614320000000001</v>
      </c>
      <c r="D495">
        <f t="shared" si="15"/>
        <v>97.993113207547168</v>
      </c>
      <c r="G495" s="21">
        <v>-0.31161810000000001</v>
      </c>
      <c r="H495" s="21">
        <v>0.24614320000000001</v>
      </c>
    </row>
    <row r="496" spans="1:8" x14ac:dyDescent="0.15">
      <c r="A496" s="21">
        <v>9.6484380000000005E-3</v>
      </c>
      <c r="B496" s="21">
        <f t="shared" si="14"/>
        <v>0.36847669999999999</v>
      </c>
      <c r="D496">
        <f t="shared" si="15"/>
        <v>147.27103773584906</v>
      </c>
      <c r="G496" s="21">
        <v>-0.46832190000000001</v>
      </c>
      <c r="H496" s="21">
        <v>0.36847669999999999</v>
      </c>
    </row>
    <row r="497" spans="1:8" x14ac:dyDescent="0.15">
      <c r="A497" s="21">
        <v>9.6679690000000002E-3</v>
      </c>
      <c r="B497" s="21">
        <f t="shared" si="14"/>
        <v>0.47762769999999999</v>
      </c>
      <c r="D497">
        <f t="shared" si="15"/>
        <v>191.19937106918238</v>
      </c>
      <c r="G497" s="21">
        <v>-0.60801400000000005</v>
      </c>
      <c r="H497" s="21">
        <v>0.47762769999999999</v>
      </c>
    </row>
    <row r="498" spans="1:8" x14ac:dyDescent="0.15">
      <c r="A498" s="21">
        <v>9.6874999999999999E-3</v>
      </c>
      <c r="B498" s="21">
        <f t="shared" si="14"/>
        <v>0.56987259999999995</v>
      </c>
      <c r="D498">
        <f t="shared" si="15"/>
        <v>228.3943396226415</v>
      </c>
      <c r="G498" s="21">
        <v>-0.726294</v>
      </c>
      <c r="H498" s="21">
        <v>0.56987259999999995</v>
      </c>
    </row>
    <row r="499" spans="1:8" x14ac:dyDescent="0.15">
      <c r="A499" s="21">
        <v>9.7070309999999996E-3</v>
      </c>
      <c r="B499" s="21">
        <f t="shared" si="14"/>
        <v>0.64372240000000003</v>
      </c>
      <c r="D499">
        <f t="shared" si="15"/>
        <v>258.3462893081761</v>
      </c>
      <c r="G499" s="21">
        <v>-0.82154119999999997</v>
      </c>
      <c r="H499" s="21">
        <v>0.64372240000000003</v>
      </c>
    </row>
    <row r="500" spans="1:8" x14ac:dyDescent="0.15">
      <c r="A500" s="21">
        <v>9.7265630000000006E-3</v>
      </c>
      <c r="B500" s="21">
        <f t="shared" si="14"/>
        <v>0.69580710000000001</v>
      </c>
      <c r="D500">
        <f t="shared" si="15"/>
        <v>279.4519496855346</v>
      </c>
      <c r="G500" s="21">
        <v>-0.88865720000000004</v>
      </c>
      <c r="H500" s="21">
        <v>0.69580710000000001</v>
      </c>
    </row>
    <row r="501" spans="1:8" x14ac:dyDescent="0.15">
      <c r="A501" s="21">
        <v>9.7460940000000003E-3</v>
      </c>
      <c r="B501" s="21">
        <f t="shared" si="14"/>
        <v>0.72619610000000001</v>
      </c>
      <c r="D501">
        <f t="shared" si="15"/>
        <v>291.89386792452825</v>
      </c>
      <c r="G501" s="21">
        <v>-0.92822249999999995</v>
      </c>
      <c r="H501" s="21">
        <v>0.72619610000000001</v>
      </c>
    </row>
    <row r="502" spans="1:8" x14ac:dyDescent="0.15">
      <c r="A502" s="21">
        <v>9.765625E-3</v>
      </c>
      <c r="B502" s="21">
        <f t="shared" si="14"/>
        <v>0.73374980000000001</v>
      </c>
      <c r="D502">
        <f t="shared" si="15"/>
        <v>295.00996855345909</v>
      </c>
      <c r="G502" s="21">
        <v>-0.93813170000000001</v>
      </c>
      <c r="H502" s="21">
        <v>0.73374980000000001</v>
      </c>
    </row>
    <row r="503" spans="1:8" x14ac:dyDescent="0.15">
      <c r="A503" s="21">
        <v>9.7851559999999997E-3</v>
      </c>
      <c r="B503" s="21">
        <f t="shared" si="14"/>
        <v>0.71446759999999998</v>
      </c>
      <c r="D503">
        <f t="shared" si="15"/>
        <v>287.17569182389934</v>
      </c>
      <c r="G503" s="21">
        <v>-0.91321870000000005</v>
      </c>
      <c r="H503" s="21">
        <v>0.71446759999999998</v>
      </c>
    </row>
    <row r="504" spans="1:8" x14ac:dyDescent="0.15">
      <c r="A504" s="21">
        <v>9.8046880000000006E-3</v>
      </c>
      <c r="B504" s="21">
        <f t="shared" si="14"/>
        <v>0.67068459999999996</v>
      </c>
      <c r="D504">
        <f t="shared" si="15"/>
        <v>269.67723270440251</v>
      </c>
      <c r="G504" s="21">
        <v>-0.85757360000000005</v>
      </c>
      <c r="H504" s="21">
        <v>0.67068459999999996</v>
      </c>
    </row>
    <row r="505" spans="1:8" x14ac:dyDescent="0.15">
      <c r="A505" s="21">
        <v>9.8242190000000004E-3</v>
      </c>
      <c r="B505" s="21">
        <f t="shared" si="14"/>
        <v>0.6044003</v>
      </c>
      <c r="D505">
        <f t="shared" si="15"/>
        <v>243.11889937106918</v>
      </c>
      <c r="G505" s="21">
        <v>-0.77311810000000003</v>
      </c>
      <c r="H505" s="21">
        <v>0.6044003</v>
      </c>
    </row>
    <row r="506" spans="1:8" x14ac:dyDescent="0.15">
      <c r="A506" s="21">
        <v>9.8437500000000001E-3</v>
      </c>
      <c r="B506" s="21">
        <f t="shared" si="14"/>
        <v>0.5175613</v>
      </c>
      <c r="D506">
        <f t="shared" si="15"/>
        <v>208.19569182389935</v>
      </c>
      <c r="G506" s="21">
        <v>-0.66206229999999999</v>
      </c>
      <c r="H506" s="21">
        <v>0.5175613</v>
      </c>
    </row>
    <row r="507" spans="1:8" x14ac:dyDescent="0.15">
      <c r="A507" s="21">
        <v>9.8632809999999998E-3</v>
      </c>
      <c r="B507" s="21">
        <f t="shared" si="14"/>
        <v>0.41478710000000002</v>
      </c>
      <c r="D507">
        <f t="shared" si="15"/>
        <v>166.88474842767297</v>
      </c>
      <c r="G507" s="21">
        <v>-0.53069350000000004</v>
      </c>
      <c r="H507" s="21">
        <v>0.41478710000000002</v>
      </c>
    </row>
    <row r="508" spans="1:8" x14ac:dyDescent="0.15">
      <c r="A508" s="21">
        <v>9.8828130000000007E-3</v>
      </c>
      <c r="B508" s="21">
        <f t="shared" si="14"/>
        <v>0.29603000000000002</v>
      </c>
      <c r="D508">
        <f t="shared" si="15"/>
        <v>119.09361635220125</v>
      </c>
      <c r="G508" s="21">
        <v>-0.37871769999999999</v>
      </c>
      <c r="H508" s="21">
        <v>0.29603000000000002</v>
      </c>
    </row>
    <row r="509" spans="1:8" x14ac:dyDescent="0.15">
      <c r="A509" s="21">
        <v>9.9023440000000004E-3</v>
      </c>
      <c r="B509" s="21">
        <f t="shared" si="14"/>
        <v>0.1653164</v>
      </c>
      <c r="D509">
        <f t="shared" si="15"/>
        <v>66.755723270440242</v>
      </c>
      <c r="G509" s="21">
        <v>-0.21228320000000001</v>
      </c>
      <c r="H509" s="21">
        <v>0.1653164</v>
      </c>
    </row>
    <row r="510" spans="1:8" x14ac:dyDescent="0.15">
      <c r="A510" s="21">
        <v>9.9218750000000001E-3</v>
      </c>
      <c r="B510" s="21">
        <f t="shared" si="14"/>
        <v>3.0037879999999999E-2</v>
      </c>
      <c r="D510">
        <f t="shared" si="15"/>
        <v>12.779842767295596</v>
      </c>
      <c r="G510" s="21">
        <v>-4.06399E-2</v>
      </c>
      <c r="H510" s="21">
        <v>3.0037879999999999E-2</v>
      </c>
    </row>
    <row r="511" spans="1:8" x14ac:dyDescent="0.15">
      <c r="A511" s="21">
        <v>9.9414059999999999E-3</v>
      </c>
      <c r="B511" s="21">
        <f t="shared" si="14"/>
        <v>-0.1061904</v>
      </c>
      <c r="D511">
        <f t="shared" si="15"/>
        <v>-41.735125786163522</v>
      </c>
      <c r="G511" s="21">
        <v>0.13271769999999999</v>
      </c>
      <c r="H511" s="21">
        <v>-0.1061904</v>
      </c>
    </row>
    <row r="512" spans="1:8" x14ac:dyDescent="0.15">
      <c r="A512" s="21">
        <v>9.9609380000000008E-3</v>
      </c>
      <c r="B512" s="21">
        <f t="shared" si="14"/>
        <v>-0.2363355</v>
      </c>
      <c r="D512">
        <f t="shared" si="15"/>
        <v>-93.740408805031436</v>
      </c>
      <c r="G512" s="21">
        <v>0.29809449999999998</v>
      </c>
      <c r="H512" s="21">
        <v>-0.2363355</v>
      </c>
    </row>
    <row r="513" spans="1:8" x14ac:dyDescent="0.15">
      <c r="A513" s="21">
        <v>9.9804690000000005E-3</v>
      </c>
      <c r="B513" s="21">
        <f t="shared" si="14"/>
        <v>-0.356931</v>
      </c>
      <c r="D513">
        <f t="shared" si="15"/>
        <v>-142.01515723270441</v>
      </c>
      <c r="G513" s="21">
        <v>0.45160820000000002</v>
      </c>
      <c r="H513" s="21">
        <v>-0.356931</v>
      </c>
    </row>
    <row r="514" spans="1:8" x14ac:dyDescent="0.15">
      <c r="A514" s="21">
        <v>0.01</v>
      </c>
      <c r="B514" s="21">
        <f t="shared" ref="B514:B577" si="16">H514</f>
        <v>-0.46812019999999999</v>
      </c>
      <c r="D514">
        <f t="shared" ref="D514:D577" si="17">G514*-1000/3.18</f>
        <v>-186.61836477987421</v>
      </c>
      <c r="G514" s="21">
        <v>0.59344640000000004</v>
      </c>
      <c r="H514" s="21">
        <v>-0.46812019999999999</v>
      </c>
    </row>
    <row r="515" spans="1:8" x14ac:dyDescent="0.15">
      <c r="A515" s="21">
        <v>1.001953E-2</v>
      </c>
      <c r="B515" s="21">
        <f t="shared" si="16"/>
        <v>-0.56354930000000003</v>
      </c>
      <c r="D515">
        <f t="shared" si="17"/>
        <v>-224.71198113207546</v>
      </c>
      <c r="G515" s="21">
        <v>0.71458410000000006</v>
      </c>
      <c r="H515" s="21">
        <v>-0.56354930000000003</v>
      </c>
    </row>
    <row r="516" spans="1:8" x14ac:dyDescent="0.15">
      <c r="A516" s="21">
        <v>1.0039060000000001E-2</v>
      </c>
      <c r="B516" s="21">
        <f t="shared" si="16"/>
        <v>-0.63950759999999995</v>
      </c>
      <c r="D516">
        <f t="shared" si="17"/>
        <v>-255.19261006289304</v>
      </c>
      <c r="G516" s="21">
        <v>0.81151249999999997</v>
      </c>
      <c r="H516" s="21">
        <v>-0.63950759999999995</v>
      </c>
    </row>
    <row r="517" spans="1:8" x14ac:dyDescent="0.15">
      <c r="A517" s="21">
        <v>1.0058589999999999E-2</v>
      </c>
      <c r="B517" s="21">
        <f t="shared" si="16"/>
        <v>-0.69475200000000004</v>
      </c>
      <c r="D517">
        <f t="shared" si="17"/>
        <v>-277.48911949685532</v>
      </c>
      <c r="G517" s="21">
        <v>0.88241539999999996</v>
      </c>
      <c r="H517" s="21">
        <v>-0.69475200000000004</v>
      </c>
    </row>
    <row r="518" spans="1:8" x14ac:dyDescent="0.15">
      <c r="A518" s="21">
        <v>1.0078129999999999E-2</v>
      </c>
      <c r="B518" s="21">
        <f t="shared" si="16"/>
        <v>-0.72588810000000004</v>
      </c>
      <c r="D518">
        <f t="shared" si="17"/>
        <v>-290.08811320754717</v>
      </c>
      <c r="G518" s="21">
        <v>0.92248019999999997</v>
      </c>
      <c r="H518" s="21">
        <v>-0.72588810000000004</v>
      </c>
    </row>
    <row r="519" spans="1:8" x14ac:dyDescent="0.15">
      <c r="A519" s="21">
        <v>1.009766E-2</v>
      </c>
      <c r="B519" s="21">
        <f t="shared" si="16"/>
        <v>-0.73342379999999996</v>
      </c>
      <c r="D519">
        <f t="shared" si="17"/>
        <v>-293.35465408805032</v>
      </c>
      <c r="G519" s="21">
        <v>0.93286780000000002</v>
      </c>
      <c r="H519" s="21">
        <v>-0.73342379999999996</v>
      </c>
    </row>
    <row r="520" spans="1:8" x14ac:dyDescent="0.15">
      <c r="A520" s="21">
        <v>1.011719E-2</v>
      </c>
      <c r="B520" s="21">
        <f t="shared" si="16"/>
        <v>-0.71665679999999998</v>
      </c>
      <c r="D520">
        <f t="shared" si="17"/>
        <v>-286.80537735849055</v>
      </c>
      <c r="G520" s="21">
        <v>0.91204110000000005</v>
      </c>
      <c r="H520" s="21">
        <v>-0.71665679999999998</v>
      </c>
    </row>
    <row r="521" spans="1:8" x14ac:dyDescent="0.15">
      <c r="A521" s="21">
        <v>1.013672E-2</v>
      </c>
      <c r="B521" s="21">
        <f t="shared" si="16"/>
        <v>-0.67460450000000005</v>
      </c>
      <c r="D521">
        <f t="shared" si="17"/>
        <v>-270.2069496855346</v>
      </c>
      <c r="G521" s="21">
        <v>0.85925810000000002</v>
      </c>
      <c r="H521" s="21">
        <v>-0.67460450000000005</v>
      </c>
    </row>
    <row r="522" spans="1:8" x14ac:dyDescent="0.15">
      <c r="A522" s="21">
        <v>1.015625E-2</v>
      </c>
      <c r="B522" s="21">
        <f t="shared" si="16"/>
        <v>-0.61042920000000001</v>
      </c>
      <c r="D522">
        <f t="shared" si="17"/>
        <v>-244.78248427672958</v>
      </c>
      <c r="G522" s="21">
        <v>0.77840830000000005</v>
      </c>
      <c r="H522" s="21">
        <v>-0.61042920000000001</v>
      </c>
    </row>
    <row r="523" spans="1:8" x14ac:dyDescent="0.15">
      <c r="A523" s="21">
        <v>1.0175780000000001E-2</v>
      </c>
      <c r="B523" s="21">
        <f t="shared" si="16"/>
        <v>-0.52493639999999997</v>
      </c>
      <c r="D523">
        <f t="shared" si="17"/>
        <v>-210.58264150943398</v>
      </c>
      <c r="G523" s="21">
        <v>0.66965280000000005</v>
      </c>
      <c r="H523" s="21">
        <v>-0.52493639999999997</v>
      </c>
    </row>
    <row r="524" spans="1:8" x14ac:dyDescent="0.15">
      <c r="A524" s="21">
        <v>1.0195310000000001E-2</v>
      </c>
      <c r="B524" s="21">
        <f t="shared" si="16"/>
        <v>-0.42043570000000002</v>
      </c>
      <c r="D524">
        <f t="shared" si="17"/>
        <v>-168.82056603773586</v>
      </c>
      <c r="G524" s="21">
        <v>0.53684940000000003</v>
      </c>
      <c r="H524" s="21">
        <v>-0.42043570000000002</v>
      </c>
    </row>
    <row r="525" spans="1:8" x14ac:dyDescent="0.15">
      <c r="A525" s="21">
        <v>1.0214839999999999E-2</v>
      </c>
      <c r="B525" s="21">
        <f t="shared" si="16"/>
        <v>-0.30175999999999997</v>
      </c>
      <c r="D525">
        <f t="shared" si="17"/>
        <v>-121.48459119496856</v>
      </c>
      <c r="G525" s="21">
        <v>0.38632100000000003</v>
      </c>
      <c r="H525" s="21">
        <v>-0.30175999999999997</v>
      </c>
    </row>
    <row r="526" spans="1:8" x14ac:dyDescent="0.15">
      <c r="A526" s="21">
        <v>1.023438E-2</v>
      </c>
      <c r="B526" s="21">
        <f t="shared" si="16"/>
        <v>-0.172179</v>
      </c>
      <c r="D526">
        <f t="shared" si="17"/>
        <v>-69.697893081761009</v>
      </c>
      <c r="G526" s="21">
        <v>0.22163930000000001</v>
      </c>
      <c r="H526" s="21">
        <v>-0.172179</v>
      </c>
    </row>
    <row r="527" spans="1:8" x14ac:dyDescent="0.15">
      <c r="A527" s="21">
        <v>1.025391E-2</v>
      </c>
      <c r="B527" s="21">
        <f t="shared" si="16"/>
        <v>-3.7252170000000001E-2</v>
      </c>
      <c r="D527">
        <f t="shared" si="17"/>
        <v>-15.592132075471698</v>
      </c>
      <c r="G527" s="21">
        <v>4.9582979999999999E-2</v>
      </c>
      <c r="H527" s="21">
        <v>-3.7252170000000001E-2</v>
      </c>
    </row>
    <row r="528" spans="1:8" x14ac:dyDescent="0.15">
      <c r="A528" s="21">
        <v>1.027344E-2</v>
      </c>
      <c r="B528" s="21">
        <f t="shared" si="16"/>
        <v>9.8243670000000005E-2</v>
      </c>
      <c r="D528">
        <f t="shared" si="17"/>
        <v>38.817169811320753</v>
      </c>
      <c r="G528" s="21">
        <v>-0.1234386</v>
      </c>
      <c r="H528" s="21">
        <v>9.8243670000000005E-2</v>
      </c>
    </row>
    <row r="529" spans="1:8" x14ac:dyDescent="0.15">
      <c r="A529" s="21">
        <v>1.029297E-2</v>
      </c>
      <c r="B529" s="21">
        <f t="shared" si="16"/>
        <v>0.23004240000000001</v>
      </c>
      <c r="D529">
        <f t="shared" si="17"/>
        <v>91.611981132075471</v>
      </c>
      <c r="G529" s="21">
        <v>-0.29132609999999998</v>
      </c>
      <c r="H529" s="21">
        <v>0.23004240000000001</v>
      </c>
    </row>
    <row r="530" spans="1:8" x14ac:dyDescent="0.15">
      <c r="A530" s="21">
        <v>1.03125E-2</v>
      </c>
      <c r="B530" s="21">
        <f t="shared" si="16"/>
        <v>0.35266510000000001</v>
      </c>
      <c r="D530">
        <f t="shared" si="17"/>
        <v>140.84059748427674</v>
      </c>
      <c r="G530" s="21">
        <v>-0.44787310000000002</v>
      </c>
      <c r="H530" s="21">
        <v>0.35266510000000001</v>
      </c>
    </row>
    <row r="531" spans="1:8" x14ac:dyDescent="0.15">
      <c r="A531" s="21">
        <v>1.0332030000000001E-2</v>
      </c>
      <c r="B531" s="21">
        <f t="shared" si="16"/>
        <v>0.46370640000000002</v>
      </c>
      <c r="D531">
        <f t="shared" si="17"/>
        <v>185.67345911949684</v>
      </c>
      <c r="G531" s="21">
        <v>-0.59044160000000001</v>
      </c>
      <c r="H531" s="21">
        <v>0.46370640000000002</v>
      </c>
    </row>
    <row r="532" spans="1:8" x14ac:dyDescent="0.15">
      <c r="A532" s="21">
        <v>1.0351559999999999E-2</v>
      </c>
      <c r="B532" s="21">
        <f t="shared" si="16"/>
        <v>0.55920760000000003</v>
      </c>
      <c r="D532">
        <f t="shared" si="17"/>
        <v>224.17389937106915</v>
      </c>
      <c r="G532" s="21">
        <v>-0.71287299999999998</v>
      </c>
      <c r="H532" s="21">
        <v>0.55920760000000003</v>
      </c>
    </row>
    <row r="533" spans="1:8" x14ac:dyDescent="0.15">
      <c r="A533" s="21">
        <v>1.0371089999999999E-2</v>
      </c>
      <c r="B533" s="21">
        <f t="shared" si="16"/>
        <v>0.63491799999999998</v>
      </c>
      <c r="D533">
        <f t="shared" si="17"/>
        <v>254.74534591194967</v>
      </c>
      <c r="G533" s="21">
        <v>-0.81009019999999998</v>
      </c>
      <c r="H533" s="21">
        <v>0.63491799999999998</v>
      </c>
    </row>
    <row r="534" spans="1:8" x14ac:dyDescent="0.15">
      <c r="A534" s="21">
        <v>1.039063E-2</v>
      </c>
      <c r="B534" s="21">
        <f t="shared" si="16"/>
        <v>0.69055630000000001</v>
      </c>
      <c r="D534">
        <f t="shared" si="17"/>
        <v>277.37301886792449</v>
      </c>
      <c r="G534" s="21">
        <v>-0.8820462</v>
      </c>
      <c r="H534" s="21">
        <v>0.69055630000000001</v>
      </c>
    </row>
    <row r="535" spans="1:8" x14ac:dyDescent="0.15">
      <c r="A535" s="21">
        <v>1.041016E-2</v>
      </c>
      <c r="B535" s="21">
        <f t="shared" si="16"/>
        <v>0.72426840000000003</v>
      </c>
      <c r="D535">
        <f t="shared" si="17"/>
        <v>291.04204402515722</v>
      </c>
      <c r="G535" s="21">
        <v>-0.92551369999999999</v>
      </c>
      <c r="H535" s="21">
        <v>0.72426840000000003</v>
      </c>
    </row>
    <row r="536" spans="1:8" x14ac:dyDescent="0.15">
      <c r="A536" s="21">
        <v>1.042969E-2</v>
      </c>
      <c r="B536" s="21">
        <f t="shared" si="16"/>
        <v>0.73409849999999999</v>
      </c>
      <c r="D536">
        <f t="shared" si="17"/>
        <v>295.14022012578619</v>
      </c>
      <c r="G536" s="21">
        <v>-0.93854590000000004</v>
      </c>
      <c r="H536" s="21">
        <v>0.73409849999999999</v>
      </c>
    </row>
    <row r="537" spans="1:8" x14ac:dyDescent="0.15">
      <c r="A537" s="21">
        <v>1.044922E-2</v>
      </c>
      <c r="B537" s="21">
        <f t="shared" si="16"/>
        <v>0.71897009999999995</v>
      </c>
      <c r="D537">
        <f t="shared" si="17"/>
        <v>289.10402515723268</v>
      </c>
      <c r="G537" s="21">
        <v>-0.91935080000000002</v>
      </c>
      <c r="H537" s="21">
        <v>0.71897009999999995</v>
      </c>
    </row>
    <row r="538" spans="1:8" x14ac:dyDescent="0.15">
      <c r="A538" s="21">
        <v>1.0468750000000001E-2</v>
      </c>
      <c r="B538" s="21">
        <f t="shared" si="16"/>
        <v>0.67769849999999998</v>
      </c>
      <c r="D538">
        <f t="shared" si="17"/>
        <v>272.46569182389936</v>
      </c>
      <c r="G538" s="21">
        <v>-0.86644089999999996</v>
      </c>
      <c r="H538" s="21">
        <v>0.67769849999999998</v>
      </c>
    </row>
    <row r="539" spans="1:8" x14ac:dyDescent="0.15">
      <c r="A539" s="21">
        <v>1.0488280000000001E-2</v>
      </c>
      <c r="B539" s="21">
        <f t="shared" si="16"/>
        <v>0.61381399999999997</v>
      </c>
      <c r="D539">
        <f t="shared" si="17"/>
        <v>247.00157232704399</v>
      </c>
      <c r="G539" s="21">
        <v>-0.78546499999999997</v>
      </c>
      <c r="H539" s="21">
        <v>0.61381399999999997</v>
      </c>
    </row>
    <row r="540" spans="1:8" x14ac:dyDescent="0.15">
      <c r="A540" s="21">
        <v>1.0507809999999999E-2</v>
      </c>
      <c r="B540" s="21">
        <f t="shared" si="16"/>
        <v>0.53074540000000003</v>
      </c>
      <c r="D540">
        <f t="shared" si="17"/>
        <v>213.59713836477985</v>
      </c>
      <c r="G540" s="21">
        <v>-0.67923889999999998</v>
      </c>
      <c r="H540" s="21">
        <v>0.53074540000000003</v>
      </c>
    </row>
    <row r="541" spans="1:8" x14ac:dyDescent="0.15">
      <c r="A541" s="21">
        <v>1.052734E-2</v>
      </c>
      <c r="B541" s="21">
        <f t="shared" si="16"/>
        <v>0.42929430000000002</v>
      </c>
      <c r="D541">
        <f t="shared" si="17"/>
        <v>172.66433962264148</v>
      </c>
      <c r="G541" s="21">
        <v>-0.54907260000000002</v>
      </c>
      <c r="H541" s="21">
        <v>0.42929430000000002</v>
      </c>
    </row>
    <row r="542" spans="1:8" x14ac:dyDescent="0.15">
      <c r="A542" s="21">
        <v>1.054688E-2</v>
      </c>
      <c r="B542" s="21">
        <f t="shared" si="16"/>
        <v>0.31289800000000001</v>
      </c>
      <c r="D542">
        <f t="shared" si="17"/>
        <v>126.00889937106918</v>
      </c>
      <c r="G542" s="21">
        <v>-0.40070830000000002</v>
      </c>
      <c r="H542" s="21">
        <v>0.31289800000000001</v>
      </c>
    </row>
    <row r="543" spans="1:8" x14ac:dyDescent="0.15">
      <c r="A543" s="21">
        <v>1.056641E-2</v>
      </c>
      <c r="B543" s="21">
        <f t="shared" si="16"/>
        <v>0.184004</v>
      </c>
      <c r="D543">
        <f t="shared" si="17"/>
        <v>74.327547169811325</v>
      </c>
      <c r="G543" s="21">
        <v>-0.23636160000000001</v>
      </c>
      <c r="H543" s="21">
        <v>0.184004</v>
      </c>
    </row>
    <row r="544" spans="1:8" x14ac:dyDescent="0.15">
      <c r="A544" s="21">
        <v>1.058594E-2</v>
      </c>
      <c r="B544" s="21">
        <f t="shared" si="16"/>
        <v>4.7043960000000003E-2</v>
      </c>
      <c r="D544">
        <f t="shared" si="17"/>
        <v>19.58038364779874</v>
      </c>
      <c r="G544" s="21">
        <v>-6.2265620000000001E-2</v>
      </c>
      <c r="H544" s="21">
        <v>4.7043960000000003E-2</v>
      </c>
    </row>
    <row r="545" spans="1:8" x14ac:dyDescent="0.15">
      <c r="A545" s="21">
        <v>1.0605470000000001E-2</v>
      </c>
      <c r="B545" s="21">
        <f t="shared" si="16"/>
        <v>-8.869776E-2</v>
      </c>
      <c r="D545">
        <f t="shared" si="17"/>
        <v>-34.539874213836477</v>
      </c>
      <c r="G545" s="21">
        <v>0.1098368</v>
      </c>
      <c r="H545" s="21">
        <v>-8.869776E-2</v>
      </c>
    </row>
    <row r="546" spans="1:8" x14ac:dyDescent="0.15">
      <c r="A546" s="21">
        <v>1.0625000000000001E-2</v>
      </c>
      <c r="B546" s="21">
        <f t="shared" si="16"/>
        <v>-0.2190483</v>
      </c>
      <c r="D546">
        <f t="shared" si="17"/>
        <v>-86.697358490566018</v>
      </c>
      <c r="G546" s="21">
        <v>0.27569759999999999</v>
      </c>
      <c r="H546" s="21">
        <v>-0.2190483</v>
      </c>
    </row>
    <row r="547" spans="1:8" x14ac:dyDescent="0.15">
      <c r="A547" s="21">
        <v>1.0644529999999999E-2</v>
      </c>
      <c r="B547" s="21">
        <f t="shared" si="16"/>
        <v>-0.34185219999999999</v>
      </c>
      <c r="D547">
        <f t="shared" si="17"/>
        <v>-135.92745283018868</v>
      </c>
      <c r="G547" s="21">
        <v>0.4322493</v>
      </c>
      <c r="H547" s="21">
        <v>-0.34185219999999999</v>
      </c>
    </row>
    <row r="548" spans="1:8" x14ac:dyDescent="0.15">
      <c r="A548" s="21">
        <v>1.066406E-2</v>
      </c>
      <c r="B548" s="21">
        <f t="shared" si="16"/>
        <v>-0.45331779999999999</v>
      </c>
      <c r="D548">
        <f t="shared" si="17"/>
        <v>-180.62154088050312</v>
      </c>
      <c r="G548" s="21">
        <v>0.57437649999999996</v>
      </c>
      <c r="H548" s="21">
        <v>-0.45331779999999999</v>
      </c>
    </row>
    <row r="549" spans="1:8" x14ac:dyDescent="0.15">
      <c r="A549" s="21">
        <v>1.068359E-2</v>
      </c>
      <c r="B549" s="21">
        <f t="shared" si="16"/>
        <v>-0.55164310000000005</v>
      </c>
      <c r="D549">
        <f t="shared" si="17"/>
        <v>-219.91940251572328</v>
      </c>
      <c r="G549" s="21">
        <v>0.69934370000000001</v>
      </c>
      <c r="H549" s="21">
        <v>-0.55164310000000005</v>
      </c>
    </row>
    <row r="550" spans="1:8" x14ac:dyDescent="0.15">
      <c r="A550" s="21">
        <v>1.070313E-2</v>
      </c>
      <c r="B550" s="21">
        <f t="shared" si="16"/>
        <v>-0.63142520000000002</v>
      </c>
      <c r="D550">
        <f t="shared" si="17"/>
        <v>-251.81679245283016</v>
      </c>
      <c r="G550" s="21">
        <v>0.80077739999999997</v>
      </c>
      <c r="H550" s="21">
        <v>-0.63142520000000002</v>
      </c>
    </row>
    <row r="551" spans="1:8" x14ac:dyDescent="0.15">
      <c r="A551" s="21">
        <v>1.072266E-2</v>
      </c>
      <c r="B551" s="21">
        <f t="shared" si="16"/>
        <v>-0.68853200000000003</v>
      </c>
      <c r="D551">
        <f t="shared" si="17"/>
        <v>-274.8990251572327</v>
      </c>
      <c r="G551" s="21">
        <v>0.87417889999999998</v>
      </c>
      <c r="H551" s="21">
        <v>-0.68853200000000003</v>
      </c>
    </row>
    <row r="552" spans="1:8" x14ac:dyDescent="0.15">
      <c r="A552" s="21">
        <v>1.074219E-2</v>
      </c>
      <c r="B552" s="21">
        <f t="shared" si="16"/>
        <v>-0.72329869999999996</v>
      </c>
      <c r="D552">
        <f t="shared" si="17"/>
        <v>-289.07421383647795</v>
      </c>
      <c r="G552" s="21">
        <v>0.91925599999999996</v>
      </c>
      <c r="H552" s="21">
        <v>-0.72329869999999996</v>
      </c>
    </row>
    <row r="553" spans="1:8" x14ac:dyDescent="0.15">
      <c r="A553" s="21">
        <v>1.0761720000000001E-2</v>
      </c>
      <c r="B553" s="21">
        <f t="shared" si="16"/>
        <v>-0.73356949999999999</v>
      </c>
      <c r="D553">
        <f t="shared" si="17"/>
        <v>-293.29701257861637</v>
      </c>
      <c r="G553" s="21">
        <v>0.93268450000000003</v>
      </c>
      <c r="H553" s="21">
        <v>-0.73356949999999999</v>
      </c>
    </row>
    <row r="554" spans="1:8" x14ac:dyDescent="0.15">
      <c r="A554" s="21">
        <v>1.0781249999999999E-2</v>
      </c>
      <c r="B554" s="21">
        <f t="shared" si="16"/>
        <v>-0.71952640000000001</v>
      </c>
      <c r="D554">
        <f t="shared" si="17"/>
        <v>-287.81644654088052</v>
      </c>
      <c r="G554" s="21">
        <v>0.91525630000000002</v>
      </c>
      <c r="H554" s="21">
        <v>-0.71952640000000001</v>
      </c>
    </row>
    <row r="555" spans="1:8" x14ac:dyDescent="0.15">
      <c r="A555" s="21">
        <v>1.0800779999999999E-2</v>
      </c>
      <c r="B555" s="21">
        <f t="shared" si="16"/>
        <v>-0.68224739999999995</v>
      </c>
      <c r="D555">
        <f t="shared" si="17"/>
        <v>-273.1754088050314</v>
      </c>
      <c r="G555" s="21">
        <v>0.86869779999999996</v>
      </c>
      <c r="H555" s="21">
        <v>-0.68224739999999995</v>
      </c>
    </row>
    <row r="556" spans="1:8" x14ac:dyDescent="0.15">
      <c r="A556" s="21">
        <v>1.082031E-2</v>
      </c>
      <c r="B556" s="21">
        <f t="shared" si="16"/>
        <v>-0.6204885</v>
      </c>
      <c r="D556">
        <f t="shared" si="17"/>
        <v>-248.62537735849054</v>
      </c>
      <c r="G556" s="21">
        <v>0.79062869999999996</v>
      </c>
      <c r="H556" s="21">
        <v>-0.6204885</v>
      </c>
    </row>
    <row r="557" spans="1:8" x14ac:dyDescent="0.15">
      <c r="A557" s="21">
        <v>1.083984E-2</v>
      </c>
      <c r="B557" s="21">
        <f t="shared" si="16"/>
        <v>-0.53743810000000003</v>
      </c>
      <c r="D557">
        <f t="shared" si="17"/>
        <v>-215.49864779874213</v>
      </c>
      <c r="G557" s="21">
        <v>0.6852857</v>
      </c>
      <c r="H557" s="21">
        <v>-0.53743810000000003</v>
      </c>
    </row>
    <row r="558" spans="1:8" x14ac:dyDescent="0.15">
      <c r="A558" s="21">
        <v>1.085938E-2</v>
      </c>
      <c r="B558" s="21">
        <f t="shared" si="16"/>
        <v>-0.43623580000000001</v>
      </c>
      <c r="D558">
        <f t="shared" si="17"/>
        <v>-175.07537735849056</v>
      </c>
      <c r="G558" s="21">
        <v>0.55673969999999995</v>
      </c>
      <c r="H558" s="21">
        <v>-0.43623580000000001</v>
      </c>
    </row>
    <row r="559" spans="1:8" x14ac:dyDescent="0.15">
      <c r="A559" s="21">
        <v>1.087891E-2</v>
      </c>
      <c r="B559" s="21">
        <f t="shared" si="16"/>
        <v>-0.31822060000000002</v>
      </c>
      <c r="D559">
        <f t="shared" si="17"/>
        <v>-127.88298742138365</v>
      </c>
      <c r="G559" s="21">
        <v>0.40666790000000003</v>
      </c>
      <c r="H559" s="21">
        <v>-0.31822060000000002</v>
      </c>
    </row>
    <row r="560" spans="1:8" x14ac:dyDescent="0.15">
      <c r="A560" s="21">
        <v>1.0898440000000001E-2</v>
      </c>
      <c r="B560" s="21">
        <f t="shared" si="16"/>
        <v>-0.18966330000000001</v>
      </c>
      <c r="D560">
        <f t="shared" si="17"/>
        <v>-76.618993710691811</v>
      </c>
      <c r="G560" s="21">
        <v>0.24364839999999999</v>
      </c>
      <c r="H560" s="21">
        <v>-0.18966330000000001</v>
      </c>
    </row>
    <row r="561" spans="1:8" x14ac:dyDescent="0.15">
      <c r="A561" s="21">
        <v>1.0917970000000001E-2</v>
      </c>
      <c r="B561" s="21">
        <f t="shared" si="16"/>
        <v>-5.5685619999999998E-2</v>
      </c>
      <c r="D561">
        <f t="shared" si="17"/>
        <v>-22.927443396226412</v>
      </c>
      <c r="G561" s="21">
        <v>7.2909269999999998E-2</v>
      </c>
      <c r="H561" s="21">
        <v>-5.5685619999999998E-2</v>
      </c>
    </row>
    <row r="562" spans="1:8" x14ac:dyDescent="0.15">
      <c r="A562" s="21">
        <v>1.0937499999999999E-2</v>
      </c>
      <c r="B562" s="21">
        <f t="shared" si="16"/>
        <v>8.0577919999999997E-2</v>
      </c>
      <c r="D562">
        <f t="shared" si="17"/>
        <v>31.807515723270438</v>
      </c>
      <c r="G562" s="21">
        <v>-0.1011479</v>
      </c>
      <c r="H562" s="21">
        <v>8.0577919999999997E-2</v>
      </c>
    </row>
    <row r="563" spans="1:8" x14ac:dyDescent="0.15">
      <c r="A563" s="21">
        <v>1.095703E-2</v>
      </c>
      <c r="B563" s="21">
        <f t="shared" si="16"/>
        <v>0.2122685</v>
      </c>
      <c r="D563">
        <f t="shared" si="17"/>
        <v>84.517641509433957</v>
      </c>
      <c r="G563" s="21">
        <v>-0.26876610000000001</v>
      </c>
      <c r="H563" s="21">
        <v>0.2122685</v>
      </c>
    </row>
    <row r="564" spans="1:8" x14ac:dyDescent="0.15">
      <c r="A564" s="21">
        <v>1.097656E-2</v>
      </c>
      <c r="B564" s="21">
        <f t="shared" si="16"/>
        <v>0.33608369999999999</v>
      </c>
      <c r="D564">
        <f t="shared" si="17"/>
        <v>134.31720125786163</v>
      </c>
      <c r="G564" s="21">
        <v>-0.42712869999999997</v>
      </c>
      <c r="H564" s="21">
        <v>0.33608369999999999</v>
      </c>
    </row>
    <row r="565" spans="1:8" x14ac:dyDescent="0.15">
      <c r="A565" s="21">
        <v>1.099609E-2</v>
      </c>
      <c r="B565" s="21">
        <f t="shared" si="16"/>
        <v>0.44967790000000002</v>
      </c>
      <c r="D565">
        <f t="shared" si="17"/>
        <v>180.08044025157233</v>
      </c>
      <c r="G565" s="21">
        <v>-0.57265580000000005</v>
      </c>
      <c r="H565" s="21">
        <v>0.44967790000000002</v>
      </c>
    </row>
    <row r="566" spans="1:8" x14ac:dyDescent="0.15">
      <c r="A566" s="21">
        <v>1.101562E-2</v>
      </c>
      <c r="B566" s="21">
        <f t="shared" si="16"/>
        <v>0.54713509999999999</v>
      </c>
      <c r="D566">
        <f t="shared" si="17"/>
        <v>219.32622641509434</v>
      </c>
      <c r="G566" s="21">
        <v>-0.69745740000000001</v>
      </c>
      <c r="H566" s="21">
        <v>0.54713509999999999</v>
      </c>
    </row>
    <row r="567" spans="1:8" x14ac:dyDescent="0.15">
      <c r="A567" s="21">
        <v>1.103516E-2</v>
      </c>
      <c r="B567" s="21">
        <f t="shared" si="16"/>
        <v>0.62627960000000005</v>
      </c>
      <c r="D567">
        <f t="shared" si="17"/>
        <v>251.38367924528299</v>
      </c>
      <c r="G567" s="21">
        <v>-0.79940009999999995</v>
      </c>
      <c r="H567" s="21">
        <v>0.62627960000000005</v>
      </c>
    </row>
    <row r="568" spans="1:8" x14ac:dyDescent="0.15">
      <c r="A568" s="21">
        <v>1.1054690000000001E-2</v>
      </c>
      <c r="B568" s="21">
        <f t="shared" si="16"/>
        <v>0.68437479999999995</v>
      </c>
      <c r="D568">
        <f t="shared" si="17"/>
        <v>274.8533647798742</v>
      </c>
      <c r="G568" s="21">
        <v>-0.87403370000000002</v>
      </c>
      <c r="H568" s="21">
        <v>0.68437479999999995</v>
      </c>
    </row>
    <row r="569" spans="1:8" x14ac:dyDescent="0.15">
      <c r="A569" s="21">
        <v>1.1074219999999999E-2</v>
      </c>
      <c r="B569" s="21">
        <f t="shared" si="16"/>
        <v>0.71963500000000002</v>
      </c>
      <c r="D569">
        <f t="shared" si="17"/>
        <v>289.26078616352197</v>
      </c>
      <c r="G569" s="21">
        <v>-0.91984929999999998</v>
      </c>
      <c r="H569" s="21">
        <v>0.71963500000000002</v>
      </c>
    </row>
    <row r="570" spans="1:8" x14ac:dyDescent="0.15">
      <c r="A570" s="21">
        <v>1.1093749999999999E-2</v>
      </c>
      <c r="B570" s="21">
        <f t="shared" si="16"/>
        <v>0.7336627</v>
      </c>
      <c r="D570">
        <f t="shared" si="17"/>
        <v>295.11138364779873</v>
      </c>
      <c r="G570" s="21">
        <v>-0.93845420000000002</v>
      </c>
      <c r="H570" s="21">
        <v>0.7336627</v>
      </c>
    </row>
    <row r="571" spans="1:8" x14ac:dyDescent="0.15">
      <c r="A571" s="21">
        <v>1.111328E-2</v>
      </c>
      <c r="B571" s="21">
        <f t="shared" si="16"/>
        <v>0.72222730000000002</v>
      </c>
      <c r="D571">
        <f t="shared" si="17"/>
        <v>290.33650943396225</v>
      </c>
      <c r="G571" s="21">
        <v>-0.92327009999999998</v>
      </c>
      <c r="H571" s="21">
        <v>0.72222730000000002</v>
      </c>
    </row>
    <row r="572" spans="1:8" x14ac:dyDescent="0.15">
      <c r="A572" s="21">
        <v>1.113281E-2</v>
      </c>
      <c r="B572" s="21">
        <f t="shared" si="16"/>
        <v>0.68434759999999994</v>
      </c>
      <c r="D572">
        <f t="shared" si="17"/>
        <v>275.19773584905658</v>
      </c>
      <c r="G572" s="21">
        <v>-0.87512880000000004</v>
      </c>
      <c r="H572" s="21">
        <v>0.68434759999999994</v>
      </c>
    </row>
    <row r="573" spans="1:8" x14ac:dyDescent="0.15">
      <c r="A573" s="21">
        <v>1.115234E-2</v>
      </c>
      <c r="B573" s="21">
        <f t="shared" si="16"/>
        <v>0.62430739999999996</v>
      </c>
      <c r="D573">
        <f t="shared" si="17"/>
        <v>251.25823899371065</v>
      </c>
      <c r="G573" s="21">
        <v>-0.79900119999999997</v>
      </c>
      <c r="H573" s="21">
        <v>0.62430739999999996</v>
      </c>
    </row>
    <row r="574" spans="1:8" x14ac:dyDescent="0.15">
      <c r="A574" s="21">
        <v>1.117187E-2</v>
      </c>
      <c r="B574" s="21">
        <f t="shared" si="16"/>
        <v>0.54247190000000001</v>
      </c>
      <c r="D574">
        <f t="shared" si="17"/>
        <v>218.27962264150941</v>
      </c>
      <c r="G574" s="21">
        <v>-0.6941292</v>
      </c>
      <c r="H574" s="21">
        <v>0.54247190000000001</v>
      </c>
    </row>
    <row r="575" spans="1:8" x14ac:dyDescent="0.15">
      <c r="A575" s="21">
        <v>1.1191410000000001E-2</v>
      </c>
      <c r="B575" s="21">
        <f t="shared" si="16"/>
        <v>0.44286340000000002</v>
      </c>
      <c r="D575">
        <f t="shared" si="17"/>
        <v>178.26600628930819</v>
      </c>
      <c r="G575" s="21">
        <v>-0.56688590000000005</v>
      </c>
      <c r="H575" s="21">
        <v>0.44286340000000002</v>
      </c>
    </row>
    <row r="576" spans="1:8" x14ac:dyDescent="0.15">
      <c r="A576" s="21">
        <v>1.1210940000000001E-2</v>
      </c>
      <c r="B576" s="21">
        <f t="shared" si="16"/>
        <v>0.32904820000000001</v>
      </c>
      <c r="D576">
        <f t="shared" si="17"/>
        <v>132.51015723270439</v>
      </c>
      <c r="G576" s="21">
        <v>-0.42138229999999999</v>
      </c>
      <c r="H576" s="21">
        <v>0.32904820000000001</v>
      </c>
    </row>
    <row r="577" spans="1:8" x14ac:dyDescent="0.15">
      <c r="A577" s="21">
        <v>1.1230469999999999E-2</v>
      </c>
      <c r="B577" s="21">
        <f t="shared" si="16"/>
        <v>0.20110620000000001</v>
      </c>
      <c r="D577">
        <f t="shared" si="17"/>
        <v>81.154685534591195</v>
      </c>
      <c r="G577" s="21">
        <v>-0.25807190000000002</v>
      </c>
      <c r="H577" s="21">
        <v>0.20110620000000001</v>
      </c>
    </row>
    <row r="578" spans="1:8" x14ac:dyDescent="0.15">
      <c r="A578" s="21">
        <v>1.125E-2</v>
      </c>
      <c r="B578" s="21">
        <f t="shared" ref="B578:B641" si="18">H578</f>
        <v>6.5789799999999996E-2</v>
      </c>
      <c r="D578">
        <f t="shared" ref="D578:D641" si="19">G578*-1000/3.18</f>
        <v>27.158172955974841</v>
      </c>
      <c r="G578" s="21">
        <v>-8.6362990000000001E-2</v>
      </c>
      <c r="H578" s="21">
        <v>6.5789799999999996E-2</v>
      </c>
    </row>
    <row r="579" spans="1:8" x14ac:dyDescent="0.15">
      <c r="A579" s="21">
        <v>1.126953E-2</v>
      </c>
      <c r="B579" s="21">
        <f t="shared" si="18"/>
        <v>-7.0468279999999994E-2</v>
      </c>
      <c r="D579">
        <f t="shared" si="19"/>
        <v>-27.295547169811321</v>
      </c>
      <c r="G579" s="21">
        <v>8.6799840000000003E-2</v>
      </c>
      <c r="H579" s="21">
        <v>-7.0468279999999994E-2</v>
      </c>
    </row>
    <row r="580" spans="1:8" x14ac:dyDescent="0.15">
      <c r="A580" s="21">
        <v>1.128906E-2</v>
      </c>
      <c r="B580" s="21">
        <f t="shared" si="18"/>
        <v>-0.2029753</v>
      </c>
      <c r="D580">
        <f t="shared" si="19"/>
        <v>-80.298018867924526</v>
      </c>
      <c r="G580" s="21">
        <v>0.25534770000000001</v>
      </c>
      <c r="H580" s="21">
        <v>-0.2029753</v>
      </c>
    </row>
    <row r="581" spans="1:8" x14ac:dyDescent="0.15">
      <c r="A581" s="21">
        <v>1.130859E-2</v>
      </c>
      <c r="B581" s="21">
        <f t="shared" si="18"/>
        <v>-0.3259495</v>
      </c>
      <c r="D581">
        <f t="shared" si="19"/>
        <v>-129.53160377358489</v>
      </c>
      <c r="G581" s="21">
        <v>0.41191050000000001</v>
      </c>
      <c r="H581" s="21">
        <v>-0.3259495</v>
      </c>
    </row>
    <row r="582" spans="1:8" x14ac:dyDescent="0.15">
      <c r="A582" s="21">
        <v>1.1328120000000001E-2</v>
      </c>
      <c r="B582" s="21">
        <f t="shared" si="18"/>
        <v>-0.43928859999999997</v>
      </c>
      <c r="D582">
        <f t="shared" si="19"/>
        <v>-175.06389937106914</v>
      </c>
      <c r="G582" s="21">
        <v>0.55670319999999995</v>
      </c>
      <c r="H582" s="21">
        <v>-0.43928859999999997</v>
      </c>
    </row>
    <row r="583" spans="1:8" x14ac:dyDescent="0.15">
      <c r="A583" s="21">
        <v>1.1347660000000001E-2</v>
      </c>
      <c r="B583" s="21">
        <f t="shared" si="18"/>
        <v>-0.53996429999999995</v>
      </c>
      <c r="D583">
        <f t="shared" si="19"/>
        <v>-215.25562893081758</v>
      </c>
      <c r="G583" s="21">
        <v>0.68451289999999998</v>
      </c>
      <c r="H583" s="21">
        <v>-0.53996429999999995</v>
      </c>
    </row>
    <row r="584" spans="1:8" x14ac:dyDescent="0.15">
      <c r="A584" s="21">
        <v>1.1367189999999999E-2</v>
      </c>
      <c r="B584" s="21">
        <f t="shared" si="18"/>
        <v>-0.62157209999999996</v>
      </c>
      <c r="D584">
        <f t="shared" si="19"/>
        <v>-247.81959119496852</v>
      </c>
      <c r="G584" s="21">
        <v>0.7880663</v>
      </c>
      <c r="H584" s="21">
        <v>-0.62157209999999996</v>
      </c>
    </row>
    <row r="585" spans="1:8" x14ac:dyDescent="0.15">
      <c r="A585" s="21">
        <v>1.1386719999999999E-2</v>
      </c>
      <c r="B585" s="21">
        <f t="shared" si="18"/>
        <v>-0.68248120000000001</v>
      </c>
      <c r="D585">
        <f t="shared" si="19"/>
        <v>-272.41591194968549</v>
      </c>
      <c r="G585" s="21">
        <v>0.86628260000000001</v>
      </c>
      <c r="H585" s="21">
        <v>-0.68248120000000001</v>
      </c>
    </row>
    <row r="586" spans="1:8" x14ac:dyDescent="0.15">
      <c r="A586" s="21">
        <v>1.140625E-2</v>
      </c>
      <c r="B586" s="21">
        <f t="shared" si="18"/>
        <v>-0.7201265</v>
      </c>
      <c r="D586">
        <f t="shared" si="19"/>
        <v>-287.68801886792454</v>
      </c>
      <c r="G586" s="21">
        <v>0.91484790000000005</v>
      </c>
      <c r="H586" s="21">
        <v>-0.7201265</v>
      </c>
    </row>
    <row r="587" spans="1:8" x14ac:dyDescent="0.15">
      <c r="A587" s="21">
        <v>1.142578E-2</v>
      </c>
      <c r="B587" s="21">
        <f t="shared" si="18"/>
        <v>-0.73345760000000004</v>
      </c>
      <c r="D587">
        <f t="shared" si="19"/>
        <v>-293.2045283018868</v>
      </c>
      <c r="G587" s="21">
        <v>0.93239039999999995</v>
      </c>
      <c r="H587" s="21">
        <v>-0.73345760000000004</v>
      </c>
    </row>
    <row r="588" spans="1:8" x14ac:dyDescent="0.15">
      <c r="A588" s="21">
        <v>1.144531E-2</v>
      </c>
      <c r="B588" s="21">
        <f t="shared" si="18"/>
        <v>-0.72316130000000001</v>
      </c>
      <c r="D588">
        <f t="shared" si="19"/>
        <v>-289.1875471698113</v>
      </c>
      <c r="G588" s="21">
        <v>0.9196164</v>
      </c>
      <c r="H588" s="21">
        <v>-0.72316130000000001</v>
      </c>
    </row>
    <row r="589" spans="1:8" x14ac:dyDescent="0.15">
      <c r="A589" s="21">
        <v>1.146484E-2</v>
      </c>
      <c r="B589" s="21">
        <f t="shared" si="18"/>
        <v>-0.68795790000000001</v>
      </c>
      <c r="D589">
        <f t="shared" si="19"/>
        <v>-275.28327044025156</v>
      </c>
      <c r="G589" s="21">
        <v>0.87540079999999998</v>
      </c>
      <c r="H589" s="21">
        <v>-0.68795790000000001</v>
      </c>
    </row>
    <row r="590" spans="1:8" x14ac:dyDescent="0.15">
      <c r="A590" s="21">
        <v>1.1484370000000001E-2</v>
      </c>
      <c r="B590" s="21">
        <f t="shared" si="18"/>
        <v>-0.62947379999999997</v>
      </c>
      <c r="D590">
        <f t="shared" si="19"/>
        <v>-252.24798742138364</v>
      </c>
      <c r="G590" s="21">
        <v>0.80214859999999999</v>
      </c>
      <c r="H590" s="21">
        <v>-0.62947379999999997</v>
      </c>
    </row>
    <row r="591" spans="1:8" x14ac:dyDescent="0.15">
      <c r="A591" s="21">
        <v>1.1503909999999999E-2</v>
      </c>
      <c r="B591" s="21">
        <f t="shared" si="18"/>
        <v>-0.5497455</v>
      </c>
      <c r="D591">
        <f t="shared" si="19"/>
        <v>-220.47125786163522</v>
      </c>
      <c r="G591" s="21">
        <v>0.70109860000000002</v>
      </c>
      <c r="H591" s="21">
        <v>-0.5497455</v>
      </c>
    </row>
    <row r="592" spans="1:8" x14ac:dyDescent="0.15">
      <c r="A592" s="21">
        <v>1.1523439999999999E-2</v>
      </c>
      <c r="B592" s="21">
        <f t="shared" si="18"/>
        <v>-0.45010830000000002</v>
      </c>
      <c r="D592">
        <f t="shared" si="19"/>
        <v>-180.60779874213836</v>
      </c>
      <c r="G592" s="21">
        <v>0.57433279999999998</v>
      </c>
      <c r="H592" s="21">
        <v>-0.45010830000000002</v>
      </c>
    </row>
    <row r="593" spans="1:8" x14ac:dyDescent="0.15">
      <c r="A593" s="21">
        <v>1.154297E-2</v>
      </c>
      <c r="B593" s="21">
        <f t="shared" si="18"/>
        <v>-0.33440779999999998</v>
      </c>
      <c r="D593">
        <f t="shared" si="19"/>
        <v>-134.4545283018868</v>
      </c>
      <c r="G593" s="21">
        <v>0.42756539999999998</v>
      </c>
      <c r="H593" s="21">
        <v>-0.33440779999999998</v>
      </c>
    </row>
    <row r="594" spans="1:8" x14ac:dyDescent="0.15">
      <c r="A594" s="21">
        <v>1.15625E-2</v>
      </c>
      <c r="B594" s="21">
        <f t="shared" si="18"/>
        <v>-0.20676069999999999</v>
      </c>
      <c r="D594">
        <f t="shared" si="19"/>
        <v>-83.427421383647783</v>
      </c>
      <c r="G594" s="21">
        <v>0.26529920000000001</v>
      </c>
      <c r="H594" s="21">
        <v>-0.20676069999999999</v>
      </c>
    </row>
    <row r="595" spans="1:8" x14ac:dyDescent="0.15">
      <c r="A595" s="21">
        <v>1.158203E-2</v>
      </c>
      <c r="B595" s="21">
        <f t="shared" si="18"/>
        <v>-7.2466760000000005E-2</v>
      </c>
      <c r="D595">
        <f t="shared" si="19"/>
        <v>-29.661154088050317</v>
      </c>
      <c r="G595" s="21">
        <v>9.4322470000000005E-2</v>
      </c>
      <c r="H595" s="21">
        <v>-7.2466760000000005E-2</v>
      </c>
    </row>
    <row r="596" spans="1:8" x14ac:dyDescent="0.15">
      <c r="A596" s="21">
        <v>1.160156E-2</v>
      </c>
      <c r="B596" s="21">
        <f t="shared" si="18"/>
        <v>6.2725619999999996E-2</v>
      </c>
      <c r="D596">
        <f t="shared" si="19"/>
        <v>24.543657232704401</v>
      </c>
      <c r="G596" s="21">
        <v>-7.804883E-2</v>
      </c>
      <c r="H596" s="21">
        <v>6.2725619999999996E-2</v>
      </c>
    </row>
    <row r="597" spans="1:8" x14ac:dyDescent="0.15">
      <c r="A597" s="21">
        <v>1.1621090000000001E-2</v>
      </c>
      <c r="B597" s="21">
        <f t="shared" si="18"/>
        <v>0.19543179999999999</v>
      </c>
      <c r="D597">
        <f t="shared" si="19"/>
        <v>77.834905660377359</v>
      </c>
      <c r="G597" s="21">
        <v>-0.24751500000000001</v>
      </c>
      <c r="H597" s="21">
        <v>0.19543179999999999</v>
      </c>
    </row>
    <row r="598" spans="1:8" x14ac:dyDescent="0.15">
      <c r="A598" s="21">
        <v>1.1640620000000001E-2</v>
      </c>
      <c r="B598" s="21">
        <f t="shared" si="18"/>
        <v>0.3209977</v>
      </c>
      <c r="D598">
        <f t="shared" si="19"/>
        <v>128.13364779874215</v>
      </c>
      <c r="G598" s="21">
        <v>-0.40746500000000002</v>
      </c>
      <c r="H598" s="21">
        <v>0.3209977</v>
      </c>
    </row>
    <row r="599" spans="1:8" x14ac:dyDescent="0.15">
      <c r="A599" s="21">
        <v>1.1660159999999999E-2</v>
      </c>
      <c r="B599" s="21">
        <f t="shared" si="18"/>
        <v>0.43528169999999999</v>
      </c>
      <c r="D599">
        <f t="shared" si="19"/>
        <v>174.17820754716976</v>
      </c>
      <c r="G599" s="21">
        <v>-0.55388669999999995</v>
      </c>
      <c r="H599" s="21">
        <v>0.43528169999999999</v>
      </c>
    </row>
    <row r="600" spans="1:8" x14ac:dyDescent="0.15">
      <c r="A600" s="21">
        <v>1.167969E-2</v>
      </c>
      <c r="B600" s="21">
        <f t="shared" si="18"/>
        <v>0.53600159999999997</v>
      </c>
      <c r="D600">
        <f t="shared" si="19"/>
        <v>214.92349056603774</v>
      </c>
      <c r="G600" s="21">
        <v>-0.68345670000000003</v>
      </c>
      <c r="H600" s="21">
        <v>0.53600159999999997</v>
      </c>
    </row>
    <row r="601" spans="1:8" x14ac:dyDescent="0.15">
      <c r="A601" s="21">
        <v>1.169922E-2</v>
      </c>
      <c r="B601" s="21">
        <f t="shared" si="18"/>
        <v>0.61771960000000004</v>
      </c>
      <c r="D601">
        <f t="shared" si="19"/>
        <v>247.72977987421382</v>
      </c>
      <c r="G601" s="21">
        <v>-0.7877807</v>
      </c>
      <c r="H601" s="21">
        <v>0.61771960000000004</v>
      </c>
    </row>
    <row r="602" spans="1:8" x14ac:dyDescent="0.15">
      <c r="A602" s="21">
        <v>1.171875E-2</v>
      </c>
      <c r="B602" s="21">
        <f t="shared" si="18"/>
        <v>0.67789140000000003</v>
      </c>
      <c r="D602">
        <f t="shared" si="19"/>
        <v>272.15754716981132</v>
      </c>
      <c r="G602" s="21">
        <v>-0.86546100000000004</v>
      </c>
      <c r="H602" s="21">
        <v>0.67789140000000003</v>
      </c>
    </row>
    <row r="603" spans="1:8" x14ac:dyDescent="0.15">
      <c r="A603" s="21">
        <v>1.173828E-2</v>
      </c>
      <c r="B603" s="21">
        <f t="shared" si="18"/>
        <v>0.71742010000000001</v>
      </c>
      <c r="D603">
        <f t="shared" si="19"/>
        <v>288.36962264150941</v>
      </c>
      <c r="G603" s="21">
        <v>-0.91701540000000004</v>
      </c>
      <c r="H603" s="21">
        <v>0.71742010000000001</v>
      </c>
    </row>
    <row r="604" spans="1:8" x14ac:dyDescent="0.15">
      <c r="A604" s="21">
        <v>1.175781E-2</v>
      </c>
      <c r="B604" s="21">
        <f t="shared" si="18"/>
        <v>0.73359370000000002</v>
      </c>
      <c r="D604">
        <f t="shared" si="19"/>
        <v>294.92619496855343</v>
      </c>
      <c r="G604" s="21">
        <v>-0.93786530000000001</v>
      </c>
      <c r="H604" s="21">
        <v>0.73359370000000002</v>
      </c>
    </row>
    <row r="605" spans="1:8" x14ac:dyDescent="0.15">
      <c r="A605" s="21">
        <v>1.1777340000000001E-2</v>
      </c>
      <c r="B605" s="21">
        <f t="shared" si="18"/>
        <v>0.72513499999999997</v>
      </c>
      <c r="D605">
        <f t="shared" si="19"/>
        <v>291.64707547169814</v>
      </c>
      <c r="G605" s="21">
        <v>-0.92743770000000003</v>
      </c>
      <c r="H605" s="21">
        <v>0.72513499999999997</v>
      </c>
    </row>
    <row r="606" spans="1:8" x14ac:dyDescent="0.15">
      <c r="A606" s="21">
        <v>1.1796879999999999E-2</v>
      </c>
      <c r="B606" s="21">
        <f t="shared" si="18"/>
        <v>0.69193090000000002</v>
      </c>
      <c r="D606">
        <f t="shared" si="19"/>
        <v>278.2447798742138</v>
      </c>
      <c r="G606" s="21">
        <v>-0.8848184</v>
      </c>
      <c r="H606" s="21">
        <v>0.69193090000000002</v>
      </c>
    </row>
    <row r="607" spans="1:8" x14ac:dyDescent="0.15">
      <c r="A607" s="21">
        <v>1.1816409999999999E-2</v>
      </c>
      <c r="B607" s="21">
        <f t="shared" si="18"/>
        <v>0.63379379999999996</v>
      </c>
      <c r="D607">
        <f t="shared" si="19"/>
        <v>254.86311320754714</v>
      </c>
      <c r="G607" s="21">
        <v>-0.81046470000000004</v>
      </c>
      <c r="H607" s="21">
        <v>0.63379379999999996</v>
      </c>
    </row>
    <row r="608" spans="1:8" x14ac:dyDescent="0.15">
      <c r="A608" s="21">
        <v>1.183594E-2</v>
      </c>
      <c r="B608" s="21">
        <f t="shared" si="18"/>
        <v>0.55480739999999995</v>
      </c>
      <c r="D608">
        <f t="shared" si="19"/>
        <v>223.30745283018868</v>
      </c>
      <c r="G608" s="21">
        <v>-0.71011769999999996</v>
      </c>
      <c r="H608" s="21">
        <v>0.55480739999999995</v>
      </c>
    </row>
    <row r="609" spans="1:8" x14ac:dyDescent="0.15">
      <c r="A609" s="21">
        <v>1.185547E-2</v>
      </c>
      <c r="B609" s="21">
        <f t="shared" si="18"/>
        <v>0.45814070000000001</v>
      </c>
      <c r="D609">
        <f t="shared" si="19"/>
        <v>184.37584905660376</v>
      </c>
      <c r="G609" s="21">
        <v>-0.58631520000000004</v>
      </c>
      <c r="H609" s="21">
        <v>0.45814070000000001</v>
      </c>
    </row>
    <row r="610" spans="1:8" x14ac:dyDescent="0.15">
      <c r="A610" s="21">
        <v>1.1875E-2</v>
      </c>
      <c r="B610" s="21">
        <f t="shared" si="18"/>
        <v>0.34503489999999998</v>
      </c>
      <c r="D610">
        <f t="shared" si="19"/>
        <v>138.83415094339622</v>
      </c>
      <c r="G610" s="21">
        <v>-0.44149260000000001</v>
      </c>
      <c r="H610" s="21">
        <v>0.34503489999999998</v>
      </c>
    </row>
    <row r="611" spans="1:8" x14ac:dyDescent="0.15">
      <c r="A611" s="21">
        <v>1.189453E-2</v>
      </c>
      <c r="B611" s="21">
        <f t="shared" si="18"/>
        <v>0.21904080000000001</v>
      </c>
      <c r="D611">
        <f t="shared" si="19"/>
        <v>88.367893081760982</v>
      </c>
      <c r="G611" s="21">
        <v>-0.28100989999999998</v>
      </c>
      <c r="H611" s="21">
        <v>0.21904080000000001</v>
      </c>
    </row>
    <row r="612" spans="1:8" x14ac:dyDescent="0.15">
      <c r="A612" s="21">
        <v>1.1914060000000001E-2</v>
      </c>
      <c r="B612" s="21">
        <f t="shared" si="18"/>
        <v>8.4461820000000007E-2</v>
      </c>
      <c r="D612">
        <f t="shared" si="19"/>
        <v>34.502955974842763</v>
      </c>
      <c r="G612" s="21">
        <v>-0.10971939999999999</v>
      </c>
      <c r="H612" s="21">
        <v>8.4461820000000007E-2</v>
      </c>
    </row>
    <row r="613" spans="1:8" x14ac:dyDescent="0.15">
      <c r="A613" s="21">
        <v>1.1933590000000001E-2</v>
      </c>
      <c r="B613" s="21">
        <f t="shared" si="18"/>
        <v>-5.2257060000000001E-2</v>
      </c>
      <c r="D613">
        <f t="shared" si="19"/>
        <v>-20.080974842767294</v>
      </c>
      <c r="G613" s="21">
        <v>6.3857499999999998E-2</v>
      </c>
      <c r="H613" s="21">
        <v>-5.2257060000000001E-2</v>
      </c>
    </row>
    <row r="614" spans="1:8" x14ac:dyDescent="0.15">
      <c r="A614" s="21">
        <v>1.1953129999999999E-2</v>
      </c>
      <c r="B614" s="21">
        <f t="shared" si="18"/>
        <v>-0.1845569</v>
      </c>
      <c r="D614">
        <f t="shared" si="19"/>
        <v>-72.897264150943386</v>
      </c>
      <c r="G614" s="21">
        <v>0.2318133</v>
      </c>
      <c r="H614" s="21">
        <v>-0.1845569</v>
      </c>
    </row>
    <row r="615" spans="1:8" x14ac:dyDescent="0.15">
      <c r="A615" s="21">
        <v>1.197266E-2</v>
      </c>
      <c r="B615" s="21">
        <f t="shared" si="18"/>
        <v>-0.31001099999999998</v>
      </c>
      <c r="D615">
        <f t="shared" si="19"/>
        <v>-123.19993710691823</v>
      </c>
      <c r="G615" s="21">
        <v>0.39177580000000001</v>
      </c>
      <c r="H615" s="21">
        <v>-0.31001099999999998</v>
      </c>
    </row>
    <row r="616" spans="1:8" x14ac:dyDescent="0.15">
      <c r="A616" s="21">
        <v>1.199219E-2</v>
      </c>
      <c r="B616" s="21">
        <f t="shared" si="18"/>
        <v>-0.42538389999999998</v>
      </c>
      <c r="D616">
        <f t="shared" si="19"/>
        <v>-169.39072327044025</v>
      </c>
      <c r="G616" s="21">
        <v>0.53866250000000004</v>
      </c>
      <c r="H616" s="21">
        <v>-0.42538389999999998</v>
      </c>
    </row>
    <row r="617" spans="1:8" x14ac:dyDescent="0.15">
      <c r="A617" s="21">
        <v>1.201172E-2</v>
      </c>
      <c r="B617" s="21">
        <f t="shared" si="18"/>
        <v>-0.52710559999999995</v>
      </c>
      <c r="D617">
        <f t="shared" si="19"/>
        <v>-210.08084905660377</v>
      </c>
      <c r="G617" s="21">
        <v>0.66805709999999996</v>
      </c>
      <c r="H617" s="21">
        <v>-0.52710559999999995</v>
      </c>
    </row>
    <row r="618" spans="1:8" x14ac:dyDescent="0.15">
      <c r="A618" s="21">
        <v>1.203125E-2</v>
      </c>
      <c r="B618" s="21">
        <f t="shared" si="18"/>
        <v>-0.61211230000000005</v>
      </c>
      <c r="D618">
        <f t="shared" si="19"/>
        <v>-244.13254716981132</v>
      </c>
      <c r="G618" s="21">
        <v>0.77634150000000002</v>
      </c>
      <c r="H618" s="21">
        <v>-0.61211230000000005</v>
      </c>
    </row>
    <row r="619" spans="1:8" x14ac:dyDescent="0.15">
      <c r="A619" s="21">
        <v>1.2050780000000001E-2</v>
      </c>
      <c r="B619" s="21">
        <f t="shared" si="18"/>
        <v>-0.67523429999999995</v>
      </c>
      <c r="D619">
        <f t="shared" si="19"/>
        <v>-269.4351257861635</v>
      </c>
      <c r="G619" s="21">
        <v>0.85680369999999995</v>
      </c>
      <c r="H619" s="21">
        <v>-0.67523429999999995</v>
      </c>
    </row>
    <row r="620" spans="1:8" x14ac:dyDescent="0.15">
      <c r="A620" s="21">
        <v>1.2070310000000001E-2</v>
      </c>
      <c r="B620" s="21">
        <f t="shared" si="18"/>
        <v>-0.71566989999999997</v>
      </c>
      <c r="D620">
        <f t="shared" si="19"/>
        <v>-285.96905660377359</v>
      </c>
      <c r="G620" s="21">
        <v>0.90938160000000001</v>
      </c>
      <c r="H620" s="21">
        <v>-0.71566989999999997</v>
      </c>
    </row>
    <row r="621" spans="1:8" x14ac:dyDescent="0.15">
      <c r="A621" s="21">
        <v>1.2089839999999999E-2</v>
      </c>
      <c r="B621" s="21">
        <f t="shared" si="18"/>
        <v>-0.73357130000000004</v>
      </c>
      <c r="D621">
        <f t="shared" si="19"/>
        <v>-293.34679245283019</v>
      </c>
      <c r="G621" s="21">
        <v>0.93284279999999997</v>
      </c>
      <c r="H621" s="21">
        <v>-0.73357130000000004</v>
      </c>
    </row>
    <row r="622" spans="1:8" x14ac:dyDescent="0.15">
      <c r="A622" s="21">
        <v>1.2109379999999999E-2</v>
      </c>
      <c r="B622" s="21">
        <f t="shared" si="18"/>
        <v>-0.72574170000000005</v>
      </c>
      <c r="D622">
        <f t="shared" si="19"/>
        <v>-290.22606918238995</v>
      </c>
      <c r="G622" s="21">
        <v>0.92291889999999999</v>
      </c>
      <c r="H622" s="21">
        <v>-0.72574170000000005</v>
      </c>
    </row>
    <row r="623" spans="1:8" x14ac:dyDescent="0.15">
      <c r="A623" s="21">
        <v>1.212891E-2</v>
      </c>
      <c r="B623" s="21">
        <f t="shared" si="18"/>
        <v>-0.69369349999999996</v>
      </c>
      <c r="D623">
        <f t="shared" si="19"/>
        <v>-277.75745283018864</v>
      </c>
      <c r="G623" s="21">
        <v>0.88326870000000002</v>
      </c>
      <c r="H623" s="21">
        <v>-0.69369349999999996</v>
      </c>
    </row>
    <row r="624" spans="1:8" x14ac:dyDescent="0.15">
      <c r="A624" s="21">
        <v>1.214844E-2</v>
      </c>
      <c r="B624" s="21">
        <f t="shared" si="18"/>
        <v>-0.63897000000000004</v>
      </c>
      <c r="D624">
        <f t="shared" si="19"/>
        <v>-256.08874213836475</v>
      </c>
      <c r="G624" s="21">
        <v>0.81436220000000004</v>
      </c>
      <c r="H624" s="21">
        <v>-0.63897000000000004</v>
      </c>
    </row>
    <row r="625" spans="1:8" x14ac:dyDescent="0.15">
      <c r="A625" s="21">
        <v>1.216797E-2</v>
      </c>
      <c r="B625" s="21">
        <f t="shared" si="18"/>
        <v>-0.56119730000000001</v>
      </c>
      <c r="D625">
        <f t="shared" si="19"/>
        <v>-225.03817610062893</v>
      </c>
      <c r="G625" s="21">
        <v>0.71562139999999996</v>
      </c>
      <c r="H625" s="21">
        <v>-0.56119730000000001</v>
      </c>
    </row>
    <row r="626" spans="1:8" x14ac:dyDescent="0.15">
      <c r="A626" s="21">
        <v>1.21875E-2</v>
      </c>
      <c r="B626" s="21">
        <f t="shared" si="18"/>
        <v>-0.4643641</v>
      </c>
      <c r="D626">
        <f t="shared" si="19"/>
        <v>-186.39581761006289</v>
      </c>
      <c r="G626" s="21">
        <v>0.59273869999999995</v>
      </c>
      <c r="H626" s="21">
        <v>-0.4643641</v>
      </c>
    </row>
    <row r="627" spans="1:8" x14ac:dyDescent="0.15">
      <c r="A627" s="21">
        <v>1.2207030000000001E-2</v>
      </c>
      <c r="B627" s="21">
        <f t="shared" si="18"/>
        <v>-0.35066589999999997</v>
      </c>
      <c r="D627">
        <f t="shared" si="19"/>
        <v>-140.90314465408804</v>
      </c>
      <c r="G627" s="21">
        <v>0.44807200000000003</v>
      </c>
      <c r="H627" s="21">
        <v>-0.35066589999999997</v>
      </c>
    </row>
    <row r="628" spans="1:8" x14ac:dyDescent="0.15">
      <c r="A628" s="21">
        <v>1.2226559999999999E-2</v>
      </c>
      <c r="B628" s="21">
        <f t="shared" si="18"/>
        <v>-0.2235646</v>
      </c>
      <c r="D628">
        <f t="shared" si="19"/>
        <v>-90.277578616352216</v>
      </c>
      <c r="G628" s="21">
        <v>0.28708270000000002</v>
      </c>
      <c r="H628" s="21">
        <v>-0.2235646</v>
      </c>
    </row>
    <row r="629" spans="1:8" x14ac:dyDescent="0.15">
      <c r="A629" s="21">
        <v>1.2246089999999999E-2</v>
      </c>
      <c r="B629" s="21">
        <f t="shared" si="18"/>
        <v>-9.0911640000000002E-2</v>
      </c>
      <c r="D629">
        <f t="shared" si="19"/>
        <v>-37.250157232704403</v>
      </c>
      <c r="G629" s="21">
        <v>0.11845550000000001</v>
      </c>
      <c r="H629" s="21">
        <v>-9.0911640000000002E-2</v>
      </c>
    </row>
    <row r="630" spans="1:8" x14ac:dyDescent="0.15">
      <c r="A630" s="21">
        <v>1.226563E-2</v>
      </c>
      <c r="B630" s="21">
        <f t="shared" si="18"/>
        <v>4.4580839999999997E-2</v>
      </c>
      <c r="D630">
        <f t="shared" si="19"/>
        <v>17.283116352201258</v>
      </c>
      <c r="G630" s="21">
        <v>-5.4960309999999998E-2</v>
      </c>
      <c r="H630" s="21">
        <v>4.4580839999999997E-2</v>
      </c>
    </row>
    <row r="631" spans="1:8" x14ac:dyDescent="0.15">
      <c r="A631" s="21">
        <v>1.228516E-2</v>
      </c>
      <c r="B631" s="21">
        <f t="shared" si="18"/>
        <v>0.17850260000000001</v>
      </c>
      <c r="D631">
        <f t="shared" si="19"/>
        <v>70.940566037735849</v>
      </c>
      <c r="G631" s="21">
        <v>-0.22559100000000001</v>
      </c>
      <c r="H631" s="21">
        <v>0.17850260000000001</v>
      </c>
    </row>
    <row r="632" spans="1:8" x14ac:dyDescent="0.15">
      <c r="A632" s="21">
        <v>1.230469E-2</v>
      </c>
      <c r="B632" s="21">
        <f t="shared" si="18"/>
        <v>0.30430259999999998</v>
      </c>
      <c r="D632">
        <f t="shared" si="19"/>
        <v>121.34955974842767</v>
      </c>
      <c r="G632" s="21">
        <v>-0.3858916</v>
      </c>
      <c r="H632" s="21">
        <v>0.30430259999999998</v>
      </c>
    </row>
    <row r="633" spans="1:8" x14ac:dyDescent="0.15">
      <c r="A633" s="21">
        <v>1.232422E-2</v>
      </c>
      <c r="B633" s="21">
        <f t="shared" si="18"/>
        <v>0.42113460000000003</v>
      </c>
      <c r="D633">
        <f t="shared" si="19"/>
        <v>168.47660377358488</v>
      </c>
      <c r="G633" s="21">
        <v>-0.5357556</v>
      </c>
      <c r="H633" s="21">
        <v>0.42113460000000003</v>
      </c>
    </row>
    <row r="634" spans="1:8" x14ac:dyDescent="0.15">
      <c r="A634" s="21">
        <v>1.2343750000000001E-2</v>
      </c>
      <c r="B634" s="21">
        <f t="shared" si="18"/>
        <v>0.52390300000000001</v>
      </c>
      <c r="D634">
        <f t="shared" si="19"/>
        <v>209.93411949685535</v>
      </c>
      <c r="G634" s="21">
        <v>-0.66759049999999998</v>
      </c>
      <c r="H634" s="21">
        <v>0.52390300000000001</v>
      </c>
    </row>
    <row r="635" spans="1:8" x14ac:dyDescent="0.15">
      <c r="A635" s="21">
        <v>1.2363280000000001E-2</v>
      </c>
      <c r="B635" s="21">
        <f t="shared" si="18"/>
        <v>0.60733099999999995</v>
      </c>
      <c r="D635">
        <f t="shared" si="19"/>
        <v>243.54389937106919</v>
      </c>
      <c r="G635" s="21">
        <v>-0.77446959999999998</v>
      </c>
      <c r="H635" s="21">
        <v>0.60733099999999995</v>
      </c>
    </row>
    <row r="636" spans="1:8" x14ac:dyDescent="0.15">
      <c r="A636" s="21">
        <v>1.2382809999999999E-2</v>
      </c>
      <c r="B636" s="21">
        <f t="shared" si="18"/>
        <v>0.67113210000000001</v>
      </c>
      <c r="D636">
        <f t="shared" si="19"/>
        <v>269.39572327044021</v>
      </c>
      <c r="G636" s="21">
        <v>-0.85667839999999995</v>
      </c>
      <c r="H636" s="21">
        <v>0.67113210000000001</v>
      </c>
    </row>
    <row r="637" spans="1:8" x14ac:dyDescent="0.15">
      <c r="A637" s="21">
        <v>1.240234E-2</v>
      </c>
      <c r="B637" s="21">
        <f t="shared" si="18"/>
        <v>0.71287480000000003</v>
      </c>
      <c r="D637">
        <f t="shared" si="19"/>
        <v>286.46311320754711</v>
      </c>
      <c r="G637" s="21">
        <v>-0.91095269999999995</v>
      </c>
      <c r="H637" s="21">
        <v>0.71287480000000003</v>
      </c>
    </row>
    <row r="638" spans="1:8" x14ac:dyDescent="0.15">
      <c r="A638" s="21">
        <v>1.242188E-2</v>
      </c>
      <c r="B638" s="21">
        <f t="shared" si="18"/>
        <v>0.73251529999999998</v>
      </c>
      <c r="D638">
        <f t="shared" si="19"/>
        <v>294.51864779874211</v>
      </c>
      <c r="G638" s="21">
        <v>-0.93656930000000005</v>
      </c>
      <c r="H638" s="21">
        <v>0.73251529999999998</v>
      </c>
    </row>
    <row r="639" spans="1:8" x14ac:dyDescent="0.15">
      <c r="A639" s="21">
        <v>1.244141E-2</v>
      </c>
      <c r="B639" s="21">
        <f t="shared" si="18"/>
        <v>0.72813309999999998</v>
      </c>
      <c r="D639">
        <f t="shared" si="19"/>
        <v>292.6732075471698</v>
      </c>
      <c r="G639" s="21">
        <v>-0.93070079999999999</v>
      </c>
      <c r="H639" s="21">
        <v>0.72813309999999998</v>
      </c>
    </row>
    <row r="640" spans="1:8" x14ac:dyDescent="0.15">
      <c r="A640" s="21">
        <v>1.246094E-2</v>
      </c>
      <c r="B640" s="21">
        <f t="shared" si="18"/>
        <v>0.69690730000000001</v>
      </c>
      <c r="D640">
        <f t="shared" si="19"/>
        <v>280.09550314465406</v>
      </c>
      <c r="G640" s="21">
        <v>-0.89070369999999999</v>
      </c>
      <c r="H640" s="21">
        <v>0.69690730000000001</v>
      </c>
    </row>
    <row r="641" spans="1:8" x14ac:dyDescent="0.15">
      <c r="A641" s="21">
        <v>1.248047E-2</v>
      </c>
      <c r="B641" s="21">
        <f t="shared" si="18"/>
        <v>0.64250989999999997</v>
      </c>
      <c r="D641">
        <f t="shared" si="19"/>
        <v>258.40198113207543</v>
      </c>
      <c r="G641" s="21">
        <v>-0.82171830000000001</v>
      </c>
      <c r="H641" s="21">
        <v>0.64250989999999997</v>
      </c>
    </row>
    <row r="642" spans="1:8" x14ac:dyDescent="0.15">
      <c r="A642" s="21">
        <v>1.2500000000000001E-2</v>
      </c>
      <c r="B642" s="21">
        <f t="shared" ref="B642:B705" si="20">H642</f>
        <v>0.56613500000000005</v>
      </c>
      <c r="D642">
        <f t="shared" ref="D642:D705" si="21">G642*-1000/3.18</f>
        <v>227.70591194968551</v>
      </c>
      <c r="G642" s="21">
        <v>-0.72410479999999999</v>
      </c>
      <c r="H642" s="21">
        <v>0.56613500000000005</v>
      </c>
    </row>
    <row r="643" spans="1:8" x14ac:dyDescent="0.15">
      <c r="A643" s="21">
        <v>1.2519529999999999E-2</v>
      </c>
      <c r="B643" s="21">
        <f t="shared" si="20"/>
        <v>0.4706707</v>
      </c>
      <c r="D643">
        <f t="shared" si="21"/>
        <v>189.29251572327044</v>
      </c>
      <c r="G643" s="21">
        <v>-0.60195019999999999</v>
      </c>
      <c r="H643" s="21">
        <v>0.4706707</v>
      </c>
    </row>
    <row r="644" spans="1:8" x14ac:dyDescent="0.15">
      <c r="A644" s="21">
        <v>1.2539059999999999E-2</v>
      </c>
      <c r="B644" s="21">
        <f t="shared" si="20"/>
        <v>0.36104649999999999</v>
      </c>
      <c r="D644">
        <f t="shared" si="21"/>
        <v>145.27238993710691</v>
      </c>
      <c r="G644" s="21">
        <v>-0.46196619999999999</v>
      </c>
      <c r="H644" s="21">
        <v>0.36104649999999999</v>
      </c>
    </row>
    <row r="645" spans="1:8" x14ac:dyDescent="0.15">
      <c r="A645" s="21">
        <v>1.255859E-2</v>
      </c>
      <c r="B645" s="21">
        <f t="shared" si="20"/>
        <v>0.23642440000000001</v>
      </c>
      <c r="D645">
        <f t="shared" si="21"/>
        <v>95.179213836477985</v>
      </c>
      <c r="G645" s="21">
        <v>-0.30266989999999999</v>
      </c>
      <c r="H645" s="21">
        <v>0.23642440000000001</v>
      </c>
    </row>
    <row r="646" spans="1:8" x14ac:dyDescent="0.15">
      <c r="A646" s="21">
        <v>1.257813E-2</v>
      </c>
      <c r="B646" s="21">
        <f t="shared" si="20"/>
        <v>0.1016632</v>
      </c>
      <c r="D646">
        <f t="shared" si="21"/>
        <v>41.294339622641502</v>
      </c>
      <c r="G646" s="21">
        <v>-0.13131599999999999</v>
      </c>
      <c r="H646" s="21">
        <v>0.1016632</v>
      </c>
    </row>
    <row r="647" spans="1:8" x14ac:dyDescent="0.15">
      <c r="A647" s="21">
        <v>1.259766E-2</v>
      </c>
      <c r="B647" s="21">
        <f t="shared" si="20"/>
        <v>-3.4540330000000001E-2</v>
      </c>
      <c r="D647">
        <f t="shared" si="21"/>
        <v>-12.974377358490564</v>
      </c>
      <c r="G647" s="21">
        <v>4.125852E-2</v>
      </c>
      <c r="H647" s="21">
        <v>-3.4540330000000001E-2</v>
      </c>
    </row>
    <row r="648" spans="1:8" x14ac:dyDescent="0.15">
      <c r="A648" s="21">
        <v>1.261719E-2</v>
      </c>
      <c r="B648" s="21">
        <f t="shared" si="20"/>
        <v>-0.16820660000000001</v>
      </c>
      <c r="D648">
        <f t="shared" si="21"/>
        <v>-66.40943396226416</v>
      </c>
      <c r="G648" s="21">
        <v>0.21118200000000001</v>
      </c>
      <c r="H648" s="21">
        <v>-0.16820660000000001</v>
      </c>
    </row>
    <row r="649" spans="1:8" x14ac:dyDescent="0.15">
      <c r="A649" s="21">
        <v>1.2636720000000001E-2</v>
      </c>
      <c r="B649" s="21">
        <f t="shared" si="20"/>
        <v>-0.2945217</v>
      </c>
      <c r="D649">
        <f t="shared" si="21"/>
        <v>-117.02676100628931</v>
      </c>
      <c r="G649" s="21">
        <v>0.37214510000000001</v>
      </c>
      <c r="H649" s="21">
        <v>-0.2945217</v>
      </c>
    </row>
    <row r="650" spans="1:8" x14ac:dyDescent="0.15">
      <c r="A650" s="21">
        <v>1.2656250000000001E-2</v>
      </c>
      <c r="B650" s="21">
        <f t="shared" si="20"/>
        <v>-0.41065699999999999</v>
      </c>
      <c r="D650">
        <f t="shared" si="21"/>
        <v>-163.60924528301888</v>
      </c>
      <c r="G650" s="21">
        <v>0.5202774</v>
      </c>
      <c r="H650" s="21">
        <v>-0.41065699999999999</v>
      </c>
    </row>
    <row r="651" spans="1:8" x14ac:dyDescent="0.15">
      <c r="A651" s="21">
        <v>1.2675779999999999E-2</v>
      </c>
      <c r="B651" s="21">
        <f t="shared" si="20"/>
        <v>-0.51506110000000005</v>
      </c>
      <c r="D651">
        <f t="shared" si="21"/>
        <v>-205.32977987421384</v>
      </c>
      <c r="G651" s="21">
        <v>0.65294870000000005</v>
      </c>
      <c r="H651" s="21">
        <v>-0.51506110000000005</v>
      </c>
    </row>
    <row r="652" spans="1:8" x14ac:dyDescent="0.15">
      <c r="A652" s="21">
        <v>1.269531E-2</v>
      </c>
      <c r="B652" s="21">
        <f t="shared" si="20"/>
        <v>-0.60205299999999995</v>
      </c>
      <c r="D652">
        <f t="shared" si="21"/>
        <v>-239.99896226415092</v>
      </c>
      <c r="G652" s="21">
        <v>0.76319669999999995</v>
      </c>
      <c r="H652" s="21">
        <v>-0.60205299999999995</v>
      </c>
    </row>
    <row r="653" spans="1:8" x14ac:dyDescent="0.15">
      <c r="A653" s="21">
        <v>1.271484E-2</v>
      </c>
      <c r="B653" s="21">
        <f t="shared" si="20"/>
        <v>-0.66838589999999998</v>
      </c>
      <c r="D653">
        <f t="shared" si="21"/>
        <v>-266.74899371069182</v>
      </c>
      <c r="G653" s="21">
        <v>0.84826179999999995</v>
      </c>
      <c r="H653" s="21">
        <v>-0.66838589999999998</v>
      </c>
    </row>
    <row r="654" spans="1:8" x14ac:dyDescent="0.15">
      <c r="A654" s="21">
        <v>1.273438E-2</v>
      </c>
      <c r="B654" s="21">
        <f t="shared" si="20"/>
        <v>-0.71265080000000003</v>
      </c>
      <c r="D654">
        <f t="shared" si="21"/>
        <v>-284.79327044025155</v>
      </c>
      <c r="G654" s="21">
        <v>0.90564259999999996</v>
      </c>
      <c r="H654" s="21">
        <v>-0.71265080000000003</v>
      </c>
    </row>
    <row r="655" spans="1:8" x14ac:dyDescent="0.15">
      <c r="A655" s="21">
        <v>1.275391E-2</v>
      </c>
      <c r="B655" s="21">
        <f t="shared" si="20"/>
        <v>-0.73246029999999995</v>
      </c>
      <c r="D655">
        <f t="shared" si="21"/>
        <v>-292.8366352201258</v>
      </c>
      <c r="G655" s="21">
        <v>0.93122050000000001</v>
      </c>
      <c r="H655" s="21">
        <v>-0.73246029999999995</v>
      </c>
    </row>
    <row r="656" spans="1:8" x14ac:dyDescent="0.15">
      <c r="A656" s="21">
        <v>1.277344E-2</v>
      </c>
      <c r="B656" s="21">
        <f t="shared" si="20"/>
        <v>-0.72832300000000005</v>
      </c>
      <c r="D656">
        <f t="shared" si="21"/>
        <v>-291.3149685534591</v>
      </c>
      <c r="G656" s="21">
        <v>0.92638160000000003</v>
      </c>
      <c r="H656" s="21">
        <v>-0.72832300000000005</v>
      </c>
    </row>
    <row r="657" spans="1:8" x14ac:dyDescent="0.15">
      <c r="A657" s="21">
        <v>1.2792970000000001E-2</v>
      </c>
      <c r="B657" s="21">
        <f t="shared" si="20"/>
        <v>-0.69996239999999998</v>
      </c>
      <c r="D657">
        <f t="shared" si="21"/>
        <v>-280.2667295597484</v>
      </c>
      <c r="G657" s="21">
        <v>0.89124820000000005</v>
      </c>
      <c r="H657" s="21">
        <v>-0.69996239999999998</v>
      </c>
    </row>
    <row r="658" spans="1:8" x14ac:dyDescent="0.15">
      <c r="A658" s="21">
        <v>1.2812499999999999E-2</v>
      </c>
      <c r="B658" s="21">
        <f t="shared" si="20"/>
        <v>-0.64723339999999996</v>
      </c>
      <c r="D658">
        <f t="shared" si="21"/>
        <v>-259.44078616352198</v>
      </c>
      <c r="G658" s="21">
        <v>0.82502169999999997</v>
      </c>
      <c r="H658" s="21">
        <v>-0.64723339999999996</v>
      </c>
    </row>
    <row r="659" spans="1:8" x14ac:dyDescent="0.15">
      <c r="A659" s="21">
        <v>1.2832029999999999E-2</v>
      </c>
      <c r="B659" s="21">
        <f t="shared" si="20"/>
        <v>-0.57272270000000003</v>
      </c>
      <c r="D659">
        <f t="shared" si="21"/>
        <v>-229.71987421383645</v>
      </c>
      <c r="G659" s="21">
        <v>0.73050919999999997</v>
      </c>
      <c r="H659" s="21">
        <v>-0.57272270000000003</v>
      </c>
    </row>
    <row r="660" spans="1:8" x14ac:dyDescent="0.15">
      <c r="A660" s="21">
        <v>1.285156E-2</v>
      </c>
      <c r="B660" s="21">
        <f t="shared" si="20"/>
        <v>-0.47813</v>
      </c>
      <c r="D660">
        <f t="shared" si="21"/>
        <v>-191.88305031446538</v>
      </c>
      <c r="G660" s="21">
        <v>0.61018810000000001</v>
      </c>
      <c r="H660" s="21">
        <v>-0.47813</v>
      </c>
    </row>
    <row r="661" spans="1:8" x14ac:dyDescent="0.15">
      <c r="A661" s="21">
        <v>1.287109E-2</v>
      </c>
      <c r="B661" s="21">
        <f t="shared" si="20"/>
        <v>-0.36640709999999999</v>
      </c>
      <c r="D661">
        <f t="shared" si="21"/>
        <v>-147.29122641509434</v>
      </c>
      <c r="G661" s="21">
        <v>0.46838610000000003</v>
      </c>
      <c r="H661" s="21">
        <v>-0.36640709999999999</v>
      </c>
    </row>
    <row r="662" spans="1:8" x14ac:dyDescent="0.15">
      <c r="A662" s="21">
        <v>1.289063E-2</v>
      </c>
      <c r="B662" s="21">
        <f t="shared" si="20"/>
        <v>-0.24180219999999999</v>
      </c>
      <c r="D662">
        <f t="shared" si="21"/>
        <v>-97.553427672955962</v>
      </c>
      <c r="G662" s="21">
        <v>0.31021989999999999</v>
      </c>
      <c r="H662" s="21">
        <v>-0.24180219999999999</v>
      </c>
    </row>
    <row r="663" spans="1:8" x14ac:dyDescent="0.15">
      <c r="A663" s="21">
        <v>1.291016E-2</v>
      </c>
      <c r="B663" s="21">
        <f t="shared" si="20"/>
        <v>-0.108718</v>
      </c>
      <c r="D663">
        <f t="shared" si="21"/>
        <v>-44.304811320754709</v>
      </c>
      <c r="G663" s="21">
        <v>0.1408893</v>
      </c>
      <c r="H663" s="21">
        <v>-0.108718</v>
      </c>
    </row>
    <row r="664" spans="1:8" x14ac:dyDescent="0.15">
      <c r="A664" s="21">
        <v>1.2929690000000001E-2</v>
      </c>
      <c r="B664" s="21">
        <f t="shared" si="20"/>
        <v>2.6895800000000001E-2</v>
      </c>
      <c r="D664">
        <f t="shared" si="21"/>
        <v>10.070880503144656</v>
      </c>
      <c r="G664" s="21">
        <v>-3.2025400000000002E-2</v>
      </c>
      <c r="H664" s="21">
        <v>2.6895800000000001E-2</v>
      </c>
    </row>
    <row r="665" spans="1:8" x14ac:dyDescent="0.15">
      <c r="A665" s="21">
        <v>1.2949219999999999E-2</v>
      </c>
      <c r="B665" s="21">
        <f t="shared" si="20"/>
        <v>0.16067670000000001</v>
      </c>
      <c r="D665">
        <f t="shared" si="21"/>
        <v>63.82993710691823</v>
      </c>
      <c r="G665" s="21">
        <v>-0.2029792</v>
      </c>
      <c r="H665" s="21">
        <v>0.16067670000000001</v>
      </c>
    </row>
    <row r="666" spans="1:8" x14ac:dyDescent="0.15">
      <c r="A666" s="21">
        <v>1.2968749999999999E-2</v>
      </c>
      <c r="B666" s="21">
        <f t="shared" si="20"/>
        <v>0.2888212</v>
      </c>
      <c r="D666">
        <f t="shared" si="21"/>
        <v>115.27078616352199</v>
      </c>
      <c r="G666" s="21">
        <v>-0.36656109999999997</v>
      </c>
      <c r="H666" s="21">
        <v>0.2888212</v>
      </c>
    </row>
    <row r="667" spans="1:8" x14ac:dyDescent="0.15">
      <c r="A667" s="21">
        <v>1.298828E-2</v>
      </c>
      <c r="B667" s="21">
        <f t="shared" si="20"/>
        <v>0.40621489999999999</v>
      </c>
      <c r="D667">
        <f t="shared" si="21"/>
        <v>162.41940251572325</v>
      </c>
      <c r="G667" s="21">
        <v>-0.51649369999999994</v>
      </c>
      <c r="H667" s="21">
        <v>0.40621489999999999</v>
      </c>
    </row>
    <row r="668" spans="1:8" x14ac:dyDescent="0.15">
      <c r="A668" s="21">
        <v>1.300781E-2</v>
      </c>
      <c r="B668" s="21">
        <f t="shared" si="20"/>
        <v>0.51031950000000004</v>
      </c>
      <c r="D668">
        <f t="shared" si="21"/>
        <v>204.44452830188678</v>
      </c>
      <c r="G668" s="21">
        <v>-0.65013359999999998</v>
      </c>
      <c r="H668" s="21">
        <v>0.51031950000000004</v>
      </c>
    </row>
    <row r="669" spans="1:8" x14ac:dyDescent="0.15">
      <c r="A669" s="21">
        <v>1.302734E-2</v>
      </c>
      <c r="B669" s="21">
        <f t="shared" si="20"/>
        <v>0.59813890000000003</v>
      </c>
      <c r="D669">
        <f t="shared" si="21"/>
        <v>239.89185534591198</v>
      </c>
      <c r="G669" s="21">
        <v>-0.76285610000000004</v>
      </c>
      <c r="H669" s="21">
        <v>0.59813890000000003</v>
      </c>
    </row>
    <row r="670" spans="1:8" x14ac:dyDescent="0.15">
      <c r="A670" s="21">
        <v>1.304687E-2</v>
      </c>
      <c r="B670" s="21">
        <f t="shared" si="20"/>
        <v>0.66453059999999997</v>
      </c>
      <c r="D670">
        <f t="shared" si="21"/>
        <v>266.70323899371067</v>
      </c>
      <c r="G670" s="21">
        <v>-0.84811630000000005</v>
      </c>
      <c r="H670" s="21">
        <v>0.66453059999999997</v>
      </c>
    </row>
    <row r="671" spans="1:8" x14ac:dyDescent="0.15">
      <c r="A671" s="21">
        <v>1.3066410000000001E-2</v>
      </c>
      <c r="B671" s="21">
        <f t="shared" si="20"/>
        <v>0.70895620000000004</v>
      </c>
      <c r="D671">
        <f t="shared" si="21"/>
        <v>284.80915094339622</v>
      </c>
      <c r="G671" s="21">
        <v>-0.90569310000000003</v>
      </c>
      <c r="H671" s="21">
        <v>0.70895620000000004</v>
      </c>
    </row>
    <row r="672" spans="1:8" x14ac:dyDescent="0.15">
      <c r="A672" s="21">
        <v>1.3085940000000001E-2</v>
      </c>
      <c r="B672" s="21">
        <f t="shared" si="20"/>
        <v>0.7318673</v>
      </c>
      <c r="D672">
        <f t="shared" si="21"/>
        <v>294.18622641509432</v>
      </c>
      <c r="G672" s="21">
        <v>-0.93551220000000002</v>
      </c>
      <c r="H672" s="21">
        <v>0.7318673</v>
      </c>
    </row>
    <row r="673" spans="1:8" x14ac:dyDescent="0.15">
      <c r="A673" s="21">
        <v>1.3105469999999999E-2</v>
      </c>
      <c r="B673" s="21">
        <f t="shared" si="20"/>
        <v>0.73004999999999998</v>
      </c>
      <c r="D673">
        <f t="shared" si="21"/>
        <v>293.47411949685534</v>
      </c>
      <c r="G673" s="21">
        <v>-0.93324770000000001</v>
      </c>
      <c r="H673" s="21">
        <v>0.73004999999999998</v>
      </c>
    </row>
    <row r="674" spans="1:8" x14ac:dyDescent="0.15">
      <c r="A674" s="21">
        <v>1.3125E-2</v>
      </c>
      <c r="B674" s="21">
        <f t="shared" si="20"/>
        <v>0.70267789999999997</v>
      </c>
      <c r="D674">
        <f t="shared" si="21"/>
        <v>282.46691823899369</v>
      </c>
      <c r="G674" s="21">
        <v>-0.89824479999999995</v>
      </c>
      <c r="H674" s="21">
        <v>0.70267789999999997</v>
      </c>
    </row>
    <row r="675" spans="1:8" x14ac:dyDescent="0.15">
      <c r="A675" s="21">
        <v>1.314453E-2</v>
      </c>
      <c r="B675" s="21">
        <f t="shared" si="20"/>
        <v>0.65131839999999996</v>
      </c>
      <c r="D675">
        <f t="shared" si="21"/>
        <v>261.89088050314461</v>
      </c>
      <c r="G675" s="21">
        <v>-0.83281300000000003</v>
      </c>
      <c r="H675" s="21">
        <v>0.65131839999999996</v>
      </c>
    </row>
    <row r="676" spans="1:8" x14ac:dyDescent="0.15">
      <c r="A676" s="21">
        <v>1.316406E-2</v>
      </c>
      <c r="B676" s="21">
        <f t="shared" si="20"/>
        <v>0.57763070000000005</v>
      </c>
      <c r="D676">
        <f t="shared" si="21"/>
        <v>232.39679245283017</v>
      </c>
      <c r="G676" s="21">
        <v>-0.73902179999999995</v>
      </c>
      <c r="H676" s="21">
        <v>0.57763070000000005</v>
      </c>
    </row>
    <row r="677" spans="1:8" x14ac:dyDescent="0.15">
      <c r="A677" s="21">
        <v>1.318359E-2</v>
      </c>
      <c r="B677" s="21">
        <f t="shared" si="20"/>
        <v>0.4851297</v>
      </c>
      <c r="D677">
        <f t="shared" si="21"/>
        <v>195.21242138364781</v>
      </c>
      <c r="G677" s="21">
        <v>-0.62077550000000004</v>
      </c>
      <c r="H677" s="21">
        <v>0.4851297</v>
      </c>
    </row>
    <row r="678" spans="1:8" x14ac:dyDescent="0.15">
      <c r="A678" s="21">
        <v>1.320312E-2</v>
      </c>
      <c r="B678" s="21">
        <f t="shared" si="20"/>
        <v>0.37637419999999999</v>
      </c>
      <c r="D678">
        <f t="shared" si="21"/>
        <v>151.42314465408805</v>
      </c>
      <c r="G678" s="21">
        <v>-0.4815256</v>
      </c>
      <c r="H678" s="21">
        <v>0.37637419999999999</v>
      </c>
    </row>
    <row r="679" spans="1:8" x14ac:dyDescent="0.15">
      <c r="A679" s="21">
        <v>1.3222660000000001E-2</v>
      </c>
      <c r="B679" s="21">
        <f t="shared" si="20"/>
        <v>0.2531293</v>
      </c>
      <c r="D679">
        <f t="shared" si="21"/>
        <v>102.01842767295598</v>
      </c>
      <c r="G679" s="21">
        <v>-0.3244186</v>
      </c>
      <c r="H679" s="21">
        <v>0.2531293</v>
      </c>
    </row>
    <row r="680" spans="1:8" x14ac:dyDescent="0.15">
      <c r="A680" s="21">
        <v>1.3242189999999999E-2</v>
      </c>
      <c r="B680" s="21">
        <f t="shared" si="20"/>
        <v>0.1201335</v>
      </c>
      <c r="D680">
        <f t="shared" si="21"/>
        <v>48.807893081760994</v>
      </c>
      <c r="G680" s="21">
        <v>-0.15520909999999999</v>
      </c>
      <c r="H680" s="21">
        <v>0.1201335</v>
      </c>
    </row>
    <row r="681" spans="1:8" x14ac:dyDescent="0.15">
      <c r="A681" s="21">
        <v>1.3261719999999999E-2</v>
      </c>
      <c r="B681" s="21">
        <f t="shared" si="20"/>
        <v>-1.666287E-2</v>
      </c>
      <c r="D681">
        <f t="shared" si="21"/>
        <v>-5.8591100628930821</v>
      </c>
      <c r="G681" s="21">
        <v>1.8631970000000001E-2</v>
      </c>
      <c r="H681" s="21">
        <v>-1.666287E-2</v>
      </c>
    </row>
    <row r="682" spans="1:8" x14ac:dyDescent="0.15">
      <c r="A682" s="21">
        <v>1.328125E-2</v>
      </c>
      <c r="B682" s="21">
        <f t="shared" si="20"/>
        <v>-0.1509673</v>
      </c>
      <c r="D682">
        <f t="shared" si="21"/>
        <v>-59.436257861635212</v>
      </c>
      <c r="G682" s="21">
        <v>0.18900729999999999</v>
      </c>
      <c r="H682" s="21">
        <v>-0.1509673</v>
      </c>
    </row>
    <row r="683" spans="1:8" x14ac:dyDescent="0.15">
      <c r="A683" s="21">
        <v>1.330078E-2</v>
      </c>
      <c r="B683" s="21">
        <f t="shared" si="20"/>
        <v>-0.2778832</v>
      </c>
      <c r="D683">
        <f t="shared" si="21"/>
        <v>-110.28547169811321</v>
      </c>
      <c r="G683" s="21">
        <v>0.35070780000000001</v>
      </c>
      <c r="H683" s="21">
        <v>-0.2778832</v>
      </c>
    </row>
    <row r="684" spans="1:8" x14ac:dyDescent="0.15">
      <c r="A684" s="21">
        <v>1.332031E-2</v>
      </c>
      <c r="B684" s="21">
        <f t="shared" si="20"/>
        <v>-0.39587879999999998</v>
      </c>
      <c r="D684">
        <f t="shared" si="21"/>
        <v>-157.65308176100629</v>
      </c>
      <c r="G684" s="21">
        <v>0.50133680000000003</v>
      </c>
      <c r="H684" s="21">
        <v>-0.39587879999999998</v>
      </c>
    </row>
    <row r="685" spans="1:8" x14ac:dyDescent="0.15">
      <c r="A685" s="21">
        <v>1.333984E-2</v>
      </c>
      <c r="B685" s="21">
        <f t="shared" si="20"/>
        <v>-0.50200100000000003</v>
      </c>
      <c r="D685">
        <f t="shared" si="21"/>
        <v>-200.03597484276727</v>
      </c>
      <c r="G685" s="21">
        <v>0.63611439999999997</v>
      </c>
      <c r="H685" s="21">
        <v>-0.50200100000000003</v>
      </c>
    </row>
    <row r="686" spans="1:8" x14ac:dyDescent="0.15">
      <c r="A686" s="21">
        <v>1.3359370000000001E-2</v>
      </c>
      <c r="B686" s="21">
        <f t="shared" si="20"/>
        <v>-0.59167879999999995</v>
      </c>
      <c r="D686">
        <f t="shared" si="21"/>
        <v>-235.87808176100629</v>
      </c>
      <c r="G686" s="21">
        <v>0.75009230000000005</v>
      </c>
      <c r="H686" s="21">
        <v>-0.59167879999999995</v>
      </c>
    </row>
    <row r="687" spans="1:8" x14ac:dyDescent="0.15">
      <c r="A687" s="21">
        <v>1.3378910000000001E-2</v>
      </c>
      <c r="B687" s="21">
        <f t="shared" si="20"/>
        <v>-0.66105060000000004</v>
      </c>
      <c r="D687">
        <f t="shared" si="21"/>
        <v>-263.75496855345909</v>
      </c>
      <c r="G687" s="21">
        <v>0.83874079999999995</v>
      </c>
      <c r="H687" s="21">
        <v>-0.66105060000000004</v>
      </c>
    </row>
    <row r="688" spans="1:8" x14ac:dyDescent="0.15">
      <c r="A688" s="21">
        <v>1.3398439999999999E-2</v>
      </c>
      <c r="B688" s="21">
        <f t="shared" si="20"/>
        <v>-0.70735950000000003</v>
      </c>
      <c r="D688">
        <f t="shared" si="21"/>
        <v>-282.5625786163522</v>
      </c>
      <c r="G688" s="21">
        <v>0.89854900000000004</v>
      </c>
      <c r="H688" s="21">
        <v>-0.70735950000000003</v>
      </c>
    </row>
    <row r="689" spans="1:8" x14ac:dyDescent="0.15">
      <c r="A689" s="21">
        <v>1.341797E-2</v>
      </c>
      <c r="B689" s="21">
        <f t="shared" si="20"/>
        <v>-0.73099139999999996</v>
      </c>
      <c r="D689">
        <f t="shared" si="21"/>
        <v>-292.34132075471695</v>
      </c>
      <c r="G689" s="21">
        <v>0.92964539999999996</v>
      </c>
      <c r="H689" s="21">
        <v>-0.73099139999999996</v>
      </c>
    </row>
    <row r="690" spans="1:8" x14ac:dyDescent="0.15">
      <c r="A690" s="21">
        <v>1.34375E-2</v>
      </c>
      <c r="B690" s="21">
        <f t="shared" si="20"/>
        <v>-0.73059050000000003</v>
      </c>
      <c r="D690">
        <f t="shared" si="21"/>
        <v>-292.1801257861635</v>
      </c>
      <c r="G690" s="21">
        <v>0.92913279999999998</v>
      </c>
      <c r="H690" s="21">
        <v>-0.73059050000000003</v>
      </c>
    </row>
    <row r="691" spans="1:8" x14ac:dyDescent="0.15">
      <c r="A691" s="21">
        <v>1.345703E-2</v>
      </c>
      <c r="B691" s="21">
        <f t="shared" si="20"/>
        <v>-0.70470580000000005</v>
      </c>
      <c r="D691">
        <f t="shared" si="21"/>
        <v>-282.00213836477985</v>
      </c>
      <c r="G691" s="21">
        <v>0.89676679999999998</v>
      </c>
      <c r="H691" s="21">
        <v>-0.70470580000000005</v>
      </c>
    </row>
    <row r="692" spans="1:8" x14ac:dyDescent="0.15">
      <c r="A692" s="21">
        <v>1.347656E-2</v>
      </c>
      <c r="B692" s="21">
        <f t="shared" si="20"/>
        <v>-0.6560473</v>
      </c>
      <c r="D692">
        <f t="shared" si="21"/>
        <v>-262.94531446540879</v>
      </c>
      <c r="G692" s="21">
        <v>0.83616610000000002</v>
      </c>
      <c r="H692" s="21">
        <v>-0.6560473</v>
      </c>
    </row>
    <row r="693" spans="1:8" x14ac:dyDescent="0.15">
      <c r="A693" s="21">
        <v>1.3496090000000001E-2</v>
      </c>
      <c r="B693" s="21">
        <f t="shared" si="20"/>
        <v>-0.58421749999999995</v>
      </c>
      <c r="D693">
        <f t="shared" si="21"/>
        <v>-234.21128930817608</v>
      </c>
      <c r="G693" s="21">
        <v>0.74479189999999995</v>
      </c>
      <c r="H693" s="21">
        <v>-0.58421749999999995</v>
      </c>
    </row>
    <row r="694" spans="1:8" x14ac:dyDescent="0.15">
      <c r="A694" s="21">
        <v>1.3515620000000001E-2</v>
      </c>
      <c r="B694" s="21">
        <f t="shared" si="20"/>
        <v>-0.49115900000000001</v>
      </c>
      <c r="D694">
        <f t="shared" si="21"/>
        <v>-197.01122641509431</v>
      </c>
      <c r="G694" s="21">
        <v>0.62649569999999999</v>
      </c>
      <c r="H694" s="21">
        <v>-0.49115900000000001</v>
      </c>
    </row>
    <row r="695" spans="1:8" x14ac:dyDescent="0.15">
      <c r="A695" s="21">
        <v>1.3535159999999999E-2</v>
      </c>
      <c r="B695" s="21">
        <f t="shared" si="20"/>
        <v>-0.38262600000000002</v>
      </c>
      <c r="D695">
        <f t="shared" si="21"/>
        <v>-153.70591194968554</v>
      </c>
      <c r="G695" s="21">
        <v>0.48878480000000002</v>
      </c>
      <c r="H695" s="21">
        <v>-0.38262600000000002</v>
      </c>
    </row>
    <row r="696" spans="1:8" x14ac:dyDescent="0.15">
      <c r="A696" s="21">
        <v>1.3554689999999999E-2</v>
      </c>
      <c r="B696" s="21">
        <f t="shared" si="20"/>
        <v>-0.25950479999999998</v>
      </c>
      <c r="D696">
        <f t="shared" si="21"/>
        <v>-104.4662893081761</v>
      </c>
      <c r="G696" s="21">
        <v>0.33220280000000002</v>
      </c>
      <c r="H696" s="21">
        <v>-0.25950479999999998</v>
      </c>
    </row>
    <row r="697" spans="1:8" x14ac:dyDescent="0.15">
      <c r="A697" s="21">
        <v>1.357422E-2</v>
      </c>
      <c r="B697" s="21">
        <f t="shared" si="20"/>
        <v>-0.1266823</v>
      </c>
      <c r="D697">
        <f t="shared" si="21"/>
        <v>-51.40251572327044</v>
      </c>
      <c r="G697" s="21">
        <v>0.16345999999999999</v>
      </c>
      <c r="H697" s="21">
        <v>-0.1266823</v>
      </c>
    </row>
    <row r="698" spans="1:8" x14ac:dyDescent="0.15">
      <c r="A698" s="21">
        <v>1.359375E-2</v>
      </c>
      <c r="B698" s="21">
        <f t="shared" si="20"/>
        <v>8.5034599999999991E-3</v>
      </c>
      <c r="D698">
        <f t="shared" si="21"/>
        <v>2.8388311320754718</v>
      </c>
      <c r="G698" s="21">
        <v>-9.0274829999999993E-3</v>
      </c>
      <c r="H698" s="21">
        <v>8.5034599999999991E-3</v>
      </c>
    </row>
    <row r="699" spans="1:8" x14ac:dyDescent="0.15">
      <c r="A699" s="21">
        <v>1.361328E-2</v>
      </c>
      <c r="B699" s="21">
        <f t="shared" si="20"/>
        <v>0.1431164</v>
      </c>
      <c r="D699">
        <f t="shared" si="21"/>
        <v>56.846069182389932</v>
      </c>
      <c r="G699" s="21">
        <v>-0.1807705</v>
      </c>
      <c r="H699" s="21">
        <v>0.1431164</v>
      </c>
    </row>
    <row r="700" spans="1:8" x14ac:dyDescent="0.15">
      <c r="A700" s="21">
        <v>1.363281E-2</v>
      </c>
      <c r="B700" s="21">
        <f t="shared" si="20"/>
        <v>0.27171420000000002</v>
      </c>
      <c r="D700">
        <f t="shared" si="21"/>
        <v>108.36584905660378</v>
      </c>
      <c r="G700" s="21">
        <v>-0.3446034</v>
      </c>
      <c r="H700" s="21">
        <v>0.27171420000000002</v>
      </c>
    </row>
    <row r="701" spans="1:8" x14ac:dyDescent="0.15">
      <c r="A701" s="21">
        <v>1.3652340000000001E-2</v>
      </c>
      <c r="B701" s="21">
        <f t="shared" si="20"/>
        <v>0.39050590000000002</v>
      </c>
      <c r="D701">
        <f t="shared" si="21"/>
        <v>156.2043396226415</v>
      </c>
      <c r="G701" s="21">
        <v>-0.4967298</v>
      </c>
      <c r="H701" s="21">
        <v>0.39050590000000002</v>
      </c>
    </row>
    <row r="702" spans="1:8" x14ac:dyDescent="0.15">
      <c r="A702" s="21">
        <v>1.3671880000000001E-2</v>
      </c>
      <c r="B702" s="21">
        <f t="shared" si="20"/>
        <v>0.49740299999999998</v>
      </c>
      <c r="D702">
        <f t="shared" si="21"/>
        <v>199.27216981132077</v>
      </c>
      <c r="G702" s="21">
        <v>-0.63368550000000001</v>
      </c>
      <c r="H702" s="21">
        <v>0.49740299999999998</v>
      </c>
    </row>
    <row r="703" spans="1:8" x14ac:dyDescent="0.15">
      <c r="A703" s="21">
        <v>1.3691409999999999E-2</v>
      </c>
      <c r="B703" s="21">
        <f t="shared" si="20"/>
        <v>0.58697220000000006</v>
      </c>
      <c r="D703">
        <f t="shared" si="21"/>
        <v>235.35037735849056</v>
      </c>
      <c r="G703" s="21">
        <v>-0.74841420000000003</v>
      </c>
      <c r="H703" s="21">
        <v>0.58697220000000006</v>
      </c>
    </row>
    <row r="704" spans="1:8" x14ac:dyDescent="0.15">
      <c r="A704" s="21">
        <v>1.371094E-2</v>
      </c>
      <c r="B704" s="21">
        <f t="shared" si="20"/>
        <v>0.65624380000000004</v>
      </c>
      <c r="D704">
        <f t="shared" si="21"/>
        <v>263.41402515723269</v>
      </c>
      <c r="G704" s="21">
        <v>-0.83765659999999997</v>
      </c>
      <c r="H704" s="21">
        <v>0.65624380000000004</v>
      </c>
    </row>
    <row r="705" spans="1:8" x14ac:dyDescent="0.15">
      <c r="A705" s="21">
        <v>1.373047E-2</v>
      </c>
      <c r="B705" s="21">
        <f t="shared" si="20"/>
        <v>0.70381780000000005</v>
      </c>
      <c r="D705">
        <f t="shared" si="21"/>
        <v>282.75138364779872</v>
      </c>
      <c r="G705" s="21">
        <v>-0.89914939999999999</v>
      </c>
      <c r="H705" s="21">
        <v>0.70381780000000005</v>
      </c>
    </row>
    <row r="706" spans="1:8" x14ac:dyDescent="0.15">
      <c r="A706" s="21">
        <v>1.375E-2</v>
      </c>
      <c r="B706" s="21">
        <f t="shared" ref="B706:B769" si="22">H706</f>
        <v>0.7290143</v>
      </c>
      <c r="D706">
        <f t="shared" ref="D706:D769" si="23">G706*-1000/3.18</f>
        <v>293.06154088050312</v>
      </c>
      <c r="G706" s="21">
        <v>-0.93193570000000003</v>
      </c>
      <c r="H706" s="21">
        <v>0.7290143</v>
      </c>
    </row>
    <row r="707" spans="1:8" x14ac:dyDescent="0.15">
      <c r="A707" s="21">
        <v>1.376953E-2</v>
      </c>
      <c r="B707" s="21">
        <f t="shared" si="22"/>
        <v>0.73133150000000002</v>
      </c>
      <c r="D707">
        <f t="shared" si="23"/>
        <v>294.04990566037736</v>
      </c>
      <c r="G707" s="21">
        <v>-0.93507870000000004</v>
      </c>
      <c r="H707" s="21">
        <v>0.73133150000000002</v>
      </c>
    </row>
    <row r="708" spans="1:8" x14ac:dyDescent="0.15">
      <c r="A708" s="21">
        <v>1.3789060000000001E-2</v>
      </c>
      <c r="B708" s="21">
        <f t="shared" si="22"/>
        <v>0.70752820000000005</v>
      </c>
      <c r="D708">
        <f t="shared" si="23"/>
        <v>284.40921383647799</v>
      </c>
      <c r="G708" s="21">
        <v>-0.90442129999999998</v>
      </c>
      <c r="H708" s="21">
        <v>0.70752820000000005</v>
      </c>
    </row>
    <row r="709" spans="1:8" x14ac:dyDescent="0.15">
      <c r="A709" s="21">
        <v>1.3808590000000001E-2</v>
      </c>
      <c r="B709" s="21">
        <f t="shared" si="22"/>
        <v>0.65867659999999995</v>
      </c>
      <c r="D709">
        <f t="shared" si="23"/>
        <v>264.92455974842767</v>
      </c>
      <c r="G709" s="21">
        <v>-0.84246010000000005</v>
      </c>
      <c r="H709" s="21">
        <v>0.65867659999999995</v>
      </c>
    </row>
    <row r="710" spans="1:8" x14ac:dyDescent="0.15">
      <c r="A710" s="21">
        <v>1.3828129999999999E-2</v>
      </c>
      <c r="B710" s="21">
        <f t="shared" si="22"/>
        <v>0.58796610000000005</v>
      </c>
      <c r="D710">
        <f t="shared" si="23"/>
        <v>236.61691823899372</v>
      </c>
      <c r="G710" s="21">
        <v>-0.75244180000000005</v>
      </c>
      <c r="H710" s="21">
        <v>0.58796610000000005</v>
      </c>
    </row>
    <row r="711" spans="1:8" x14ac:dyDescent="0.15">
      <c r="A711" s="21">
        <v>1.3847659999999999E-2</v>
      </c>
      <c r="B711" s="21">
        <f t="shared" si="22"/>
        <v>0.49710559999999998</v>
      </c>
      <c r="D711">
        <f t="shared" si="23"/>
        <v>200.002358490566</v>
      </c>
      <c r="G711" s="21">
        <v>-0.63600749999999995</v>
      </c>
      <c r="H711" s="21">
        <v>0.49710559999999998</v>
      </c>
    </row>
    <row r="712" spans="1:8" x14ac:dyDescent="0.15">
      <c r="A712" s="21">
        <v>1.386719E-2</v>
      </c>
      <c r="B712" s="21">
        <f t="shared" si="22"/>
        <v>0.39078410000000002</v>
      </c>
      <c r="D712">
        <f t="shared" si="23"/>
        <v>157.31578616352203</v>
      </c>
      <c r="G712" s="21">
        <v>-0.50026420000000005</v>
      </c>
      <c r="H712" s="21">
        <v>0.39078410000000002</v>
      </c>
    </row>
    <row r="713" spans="1:8" x14ac:dyDescent="0.15">
      <c r="A713" s="21">
        <v>1.388672E-2</v>
      </c>
      <c r="B713" s="21">
        <f t="shared" si="22"/>
        <v>0.27036890000000002</v>
      </c>
      <c r="D713">
        <f t="shared" si="23"/>
        <v>108.93113207547169</v>
      </c>
      <c r="G713" s="21">
        <v>-0.34640100000000001</v>
      </c>
      <c r="H713" s="21">
        <v>0.27036890000000002</v>
      </c>
    </row>
    <row r="714" spans="1:8" x14ac:dyDescent="0.15">
      <c r="A714" s="21">
        <v>1.390625E-2</v>
      </c>
      <c r="B714" s="21">
        <f t="shared" si="22"/>
        <v>0.1376646</v>
      </c>
      <c r="D714">
        <f t="shared" si="23"/>
        <v>55.766572327044017</v>
      </c>
      <c r="G714" s="21">
        <v>-0.17733769999999999</v>
      </c>
      <c r="H714" s="21">
        <v>0.1376646</v>
      </c>
    </row>
    <row r="715" spans="1:8" x14ac:dyDescent="0.15">
      <c r="A715" s="21">
        <v>1.392578E-2</v>
      </c>
      <c r="B715" s="21">
        <f t="shared" si="22"/>
        <v>1.3289E-3</v>
      </c>
      <c r="D715">
        <f t="shared" si="23"/>
        <v>1.440427358490566</v>
      </c>
      <c r="G715" s="21">
        <v>-4.5805589999999997E-3</v>
      </c>
      <c r="H715" s="21">
        <v>1.3289E-3</v>
      </c>
    </row>
    <row r="716" spans="1:8" x14ac:dyDescent="0.15">
      <c r="A716" s="21">
        <v>1.3945310000000001E-2</v>
      </c>
      <c r="B716" s="21">
        <f t="shared" si="22"/>
        <v>-0.13339799999999999</v>
      </c>
      <c r="D716">
        <f t="shared" si="23"/>
        <v>-52.432641509433957</v>
      </c>
      <c r="G716" s="21">
        <v>0.16673579999999999</v>
      </c>
      <c r="H716" s="21">
        <v>-0.13339799999999999</v>
      </c>
    </row>
    <row r="717" spans="1:8" x14ac:dyDescent="0.15">
      <c r="A717" s="21">
        <v>1.3964839999999999E-2</v>
      </c>
      <c r="B717" s="21">
        <f t="shared" si="22"/>
        <v>-0.26265430000000001</v>
      </c>
      <c r="D717">
        <f t="shared" si="23"/>
        <v>-104.18710691823901</v>
      </c>
      <c r="G717" s="21">
        <v>0.33131500000000003</v>
      </c>
      <c r="H717" s="21">
        <v>-0.26265430000000001</v>
      </c>
    </row>
    <row r="718" spans="1:8" x14ac:dyDescent="0.15">
      <c r="A718" s="21">
        <v>1.3984379999999999E-2</v>
      </c>
      <c r="B718" s="21">
        <f t="shared" si="22"/>
        <v>-0.38118299999999999</v>
      </c>
      <c r="D718">
        <f t="shared" si="23"/>
        <v>-151.66437106918238</v>
      </c>
      <c r="G718" s="21">
        <v>0.48229270000000002</v>
      </c>
      <c r="H718" s="21">
        <v>-0.38118299999999999</v>
      </c>
    </row>
    <row r="719" spans="1:8" x14ac:dyDescent="0.15">
      <c r="A719" s="21">
        <v>1.400391E-2</v>
      </c>
      <c r="B719" s="21">
        <f t="shared" si="22"/>
        <v>-0.48861159999999998</v>
      </c>
      <c r="D719">
        <f t="shared" si="23"/>
        <v>-194.75550314465409</v>
      </c>
      <c r="G719" s="21">
        <v>0.6193225</v>
      </c>
      <c r="H719" s="21">
        <v>-0.48861159999999998</v>
      </c>
    </row>
    <row r="720" spans="1:8" x14ac:dyDescent="0.15">
      <c r="A720" s="21">
        <v>1.402344E-2</v>
      </c>
      <c r="B720" s="21">
        <f t="shared" si="22"/>
        <v>-0.58116469999999998</v>
      </c>
      <c r="D720">
        <f t="shared" si="23"/>
        <v>-231.7212893081761</v>
      </c>
      <c r="G720" s="21">
        <v>0.73687369999999996</v>
      </c>
      <c r="H720" s="21">
        <v>-0.58116469999999998</v>
      </c>
    </row>
    <row r="721" spans="1:8" x14ac:dyDescent="0.15">
      <c r="A721" s="21">
        <v>1.404297E-2</v>
      </c>
      <c r="B721" s="21">
        <f t="shared" si="22"/>
        <v>-0.65264489999999997</v>
      </c>
      <c r="D721">
        <f t="shared" si="23"/>
        <v>-260.40987421383647</v>
      </c>
      <c r="G721" s="21">
        <v>0.82810340000000005</v>
      </c>
      <c r="H721" s="21">
        <v>-0.65264489999999997</v>
      </c>
    </row>
    <row r="722" spans="1:8" x14ac:dyDescent="0.15">
      <c r="A722" s="21">
        <v>1.40625E-2</v>
      </c>
      <c r="B722" s="21">
        <f t="shared" si="22"/>
        <v>-0.70283059999999997</v>
      </c>
      <c r="D722">
        <f t="shared" si="23"/>
        <v>-280.7790251572327</v>
      </c>
      <c r="G722" s="21">
        <v>0.89287729999999998</v>
      </c>
      <c r="H722" s="21">
        <v>-0.70283059999999997</v>
      </c>
    </row>
    <row r="723" spans="1:8" x14ac:dyDescent="0.15">
      <c r="A723" s="21">
        <v>1.4082030000000001E-2</v>
      </c>
      <c r="B723" s="21">
        <f t="shared" si="22"/>
        <v>-0.72990270000000002</v>
      </c>
      <c r="D723">
        <f t="shared" si="23"/>
        <v>-291.76723270440249</v>
      </c>
      <c r="G723" s="21">
        <v>0.92781979999999997</v>
      </c>
      <c r="H723" s="21">
        <v>-0.72990270000000002</v>
      </c>
    </row>
    <row r="724" spans="1:8" x14ac:dyDescent="0.15">
      <c r="A724" s="21">
        <v>1.4101560000000001E-2</v>
      </c>
      <c r="B724" s="21">
        <f t="shared" si="22"/>
        <v>-0.73201530000000004</v>
      </c>
      <c r="D724">
        <f t="shared" si="23"/>
        <v>-292.74726415094341</v>
      </c>
      <c r="G724" s="21">
        <v>0.93093630000000005</v>
      </c>
      <c r="H724" s="21">
        <v>-0.73201530000000004</v>
      </c>
    </row>
    <row r="725" spans="1:8" x14ac:dyDescent="0.15">
      <c r="A725" s="21">
        <v>1.4121089999999999E-2</v>
      </c>
      <c r="B725" s="21">
        <f t="shared" si="22"/>
        <v>-0.71021290000000004</v>
      </c>
      <c r="D725">
        <f t="shared" si="23"/>
        <v>-284.19311320754719</v>
      </c>
      <c r="G725" s="21">
        <v>0.90373409999999998</v>
      </c>
      <c r="H725" s="21">
        <v>-0.71021290000000004</v>
      </c>
    </row>
    <row r="726" spans="1:8" x14ac:dyDescent="0.15">
      <c r="A726" s="21">
        <v>1.414063E-2</v>
      </c>
      <c r="B726" s="21">
        <f t="shared" si="22"/>
        <v>-0.66376329999999995</v>
      </c>
      <c r="D726">
        <f t="shared" si="23"/>
        <v>-265.8343710691824</v>
      </c>
      <c r="G726" s="21">
        <v>0.84535329999999997</v>
      </c>
      <c r="H726" s="21">
        <v>-0.66376329999999995</v>
      </c>
    </row>
    <row r="727" spans="1:8" x14ac:dyDescent="0.15">
      <c r="A727" s="21">
        <v>1.416016E-2</v>
      </c>
      <c r="B727" s="21">
        <f t="shared" si="22"/>
        <v>-0.59453560000000005</v>
      </c>
      <c r="D727">
        <f t="shared" si="23"/>
        <v>-238.33430817610062</v>
      </c>
      <c r="G727" s="21">
        <v>0.75790310000000005</v>
      </c>
      <c r="H727" s="21">
        <v>-0.59453560000000005</v>
      </c>
    </row>
    <row r="728" spans="1:8" x14ac:dyDescent="0.15">
      <c r="A728" s="21">
        <v>1.417969E-2</v>
      </c>
      <c r="B728" s="21">
        <f t="shared" si="22"/>
        <v>-0.50527940000000005</v>
      </c>
      <c r="D728">
        <f t="shared" si="23"/>
        <v>-202.6189937106918</v>
      </c>
      <c r="G728" s="21">
        <v>0.64432840000000002</v>
      </c>
      <c r="H728" s="21">
        <v>-0.50527940000000005</v>
      </c>
    </row>
    <row r="729" spans="1:8" x14ac:dyDescent="0.15">
      <c r="A729" s="21">
        <v>1.419922E-2</v>
      </c>
      <c r="B729" s="21">
        <f t="shared" si="22"/>
        <v>-0.3976692</v>
      </c>
      <c r="D729">
        <f t="shared" si="23"/>
        <v>-159.58292452830187</v>
      </c>
      <c r="G729" s="21">
        <v>0.50747370000000003</v>
      </c>
      <c r="H729" s="21">
        <v>-0.3976692</v>
      </c>
    </row>
    <row r="730" spans="1:8" x14ac:dyDescent="0.15">
      <c r="A730" s="21">
        <v>1.421875E-2</v>
      </c>
      <c r="B730" s="21">
        <f t="shared" si="22"/>
        <v>-0.27641789999999999</v>
      </c>
      <c r="D730">
        <f t="shared" si="23"/>
        <v>-111.21283018867923</v>
      </c>
      <c r="G730" s="21">
        <v>0.35365679999999999</v>
      </c>
      <c r="H730" s="21">
        <v>-0.27641789999999999</v>
      </c>
    </row>
    <row r="731" spans="1:8" x14ac:dyDescent="0.15">
      <c r="A731" s="21">
        <v>1.4238280000000001E-2</v>
      </c>
      <c r="B731" s="21">
        <f t="shared" si="22"/>
        <v>-0.14549519999999999</v>
      </c>
      <c r="D731">
        <f t="shared" si="23"/>
        <v>-58.889213836477992</v>
      </c>
      <c r="G731" s="21">
        <v>0.18726770000000001</v>
      </c>
      <c r="H731" s="21">
        <v>-0.14549519999999999</v>
      </c>
    </row>
    <row r="732" spans="1:8" x14ac:dyDescent="0.15">
      <c r="A732" s="21">
        <v>1.4257809999999999E-2</v>
      </c>
      <c r="B732" s="21">
        <f t="shared" si="22"/>
        <v>-9.3002450000000004E-3</v>
      </c>
      <c r="D732">
        <f t="shared" si="23"/>
        <v>-4.2960377358490565</v>
      </c>
      <c r="G732" s="21">
        <v>1.3661400000000001E-2</v>
      </c>
      <c r="H732" s="21">
        <v>-9.3002450000000004E-3</v>
      </c>
    </row>
    <row r="733" spans="1:8" x14ac:dyDescent="0.15">
      <c r="A733" s="21">
        <v>1.4277339999999999E-2</v>
      </c>
      <c r="B733" s="21">
        <f t="shared" si="22"/>
        <v>0.1256572</v>
      </c>
      <c r="D733">
        <f t="shared" si="23"/>
        <v>49.855723270440251</v>
      </c>
      <c r="G733" s="21">
        <v>-0.15854119999999999</v>
      </c>
      <c r="H733" s="21">
        <v>0.1256572</v>
      </c>
    </row>
    <row r="734" spans="1:8" x14ac:dyDescent="0.15">
      <c r="A734" s="21">
        <v>1.429688E-2</v>
      </c>
      <c r="B734" s="21">
        <f t="shared" si="22"/>
        <v>0.25554450000000001</v>
      </c>
      <c r="D734">
        <f t="shared" si="23"/>
        <v>101.93339622641508</v>
      </c>
      <c r="G734" s="21">
        <v>-0.3241482</v>
      </c>
      <c r="H734" s="21">
        <v>0.25554450000000001</v>
      </c>
    </row>
    <row r="735" spans="1:8" x14ac:dyDescent="0.15">
      <c r="A735" s="21">
        <v>1.431641E-2</v>
      </c>
      <c r="B735" s="21">
        <f t="shared" si="22"/>
        <v>0.37620150000000002</v>
      </c>
      <c r="D735">
        <f t="shared" si="23"/>
        <v>150.37572327044023</v>
      </c>
      <c r="G735" s="21">
        <v>-0.47819479999999998</v>
      </c>
      <c r="H735" s="21">
        <v>0.37620150000000002</v>
      </c>
    </row>
    <row r="736" spans="1:8" x14ac:dyDescent="0.15">
      <c r="A736" s="21">
        <v>1.433594E-2</v>
      </c>
      <c r="B736" s="21">
        <f t="shared" si="22"/>
        <v>0.48359380000000002</v>
      </c>
      <c r="D736">
        <f t="shared" si="23"/>
        <v>193.69380503144652</v>
      </c>
      <c r="G736" s="21">
        <v>-0.61594629999999995</v>
      </c>
      <c r="H736" s="21">
        <v>0.48359380000000002</v>
      </c>
    </row>
    <row r="737" spans="1:8" x14ac:dyDescent="0.15">
      <c r="A737" s="21">
        <v>1.435547E-2</v>
      </c>
      <c r="B737" s="21">
        <f t="shared" si="22"/>
        <v>0.57590129999999995</v>
      </c>
      <c r="D737">
        <f t="shared" si="23"/>
        <v>230.95610062893078</v>
      </c>
      <c r="G737" s="21">
        <v>-0.73444039999999999</v>
      </c>
      <c r="H737" s="21">
        <v>0.57590129999999995</v>
      </c>
    </row>
    <row r="738" spans="1:8" x14ac:dyDescent="0.15">
      <c r="A738" s="21">
        <v>1.4375000000000001E-2</v>
      </c>
      <c r="B738" s="21">
        <f t="shared" si="22"/>
        <v>0.64844290000000004</v>
      </c>
      <c r="D738">
        <f t="shared" si="23"/>
        <v>260.19606918238992</v>
      </c>
      <c r="G738" s="21">
        <v>-0.82742349999999998</v>
      </c>
      <c r="H738" s="21">
        <v>0.64844290000000004</v>
      </c>
    </row>
    <row r="739" spans="1:8" x14ac:dyDescent="0.15">
      <c r="A739" s="21">
        <v>1.4394530000000001E-2</v>
      </c>
      <c r="B739" s="21">
        <f t="shared" si="22"/>
        <v>0.69860770000000005</v>
      </c>
      <c r="D739">
        <f t="shared" si="23"/>
        <v>280.60443396226412</v>
      </c>
      <c r="G739" s="21">
        <v>-0.89232210000000001</v>
      </c>
      <c r="H739" s="21">
        <v>0.69860770000000005</v>
      </c>
    </row>
    <row r="740" spans="1:8" x14ac:dyDescent="0.15">
      <c r="A740" s="21">
        <v>1.4414059999999999E-2</v>
      </c>
      <c r="B740" s="21">
        <f t="shared" si="22"/>
        <v>0.72761699999999996</v>
      </c>
      <c r="D740">
        <f t="shared" si="23"/>
        <v>292.52059748427672</v>
      </c>
      <c r="G740" s="21">
        <v>-0.93021549999999997</v>
      </c>
      <c r="H740" s="21">
        <v>0.72761699999999996</v>
      </c>
    </row>
    <row r="741" spans="1:8" x14ac:dyDescent="0.15">
      <c r="A741" s="21">
        <v>1.443359E-2</v>
      </c>
      <c r="B741" s="21">
        <f t="shared" si="22"/>
        <v>0.73243769999999997</v>
      </c>
      <c r="D741">
        <f t="shared" si="23"/>
        <v>294.46896226415095</v>
      </c>
      <c r="G741" s="21">
        <v>-0.93641129999999995</v>
      </c>
      <c r="H741" s="21">
        <v>0.73243769999999997</v>
      </c>
    </row>
    <row r="742" spans="1:8" x14ac:dyDescent="0.15">
      <c r="A742" s="21">
        <v>1.445313E-2</v>
      </c>
      <c r="B742" s="21">
        <f t="shared" si="22"/>
        <v>0.71125210000000005</v>
      </c>
      <c r="D742">
        <f t="shared" si="23"/>
        <v>285.98396226415093</v>
      </c>
      <c r="G742" s="21">
        <v>-0.90942900000000004</v>
      </c>
      <c r="H742" s="21">
        <v>0.71125210000000005</v>
      </c>
    </row>
    <row r="743" spans="1:8" x14ac:dyDescent="0.15">
      <c r="A743" s="21">
        <v>1.447266E-2</v>
      </c>
      <c r="B743" s="21">
        <f t="shared" si="22"/>
        <v>0.6666012</v>
      </c>
      <c r="D743">
        <f t="shared" si="23"/>
        <v>268.17820754716979</v>
      </c>
      <c r="G743" s="21">
        <v>-0.85280670000000003</v>
      </c>
      <c r="H743" s="21">
        <v>0.6666012</v>
      </c>
    </row>
    <row r="744" spans="1:8" x14ac:dyDescent="0.15">
      <c r="A744" s="21">
        <v>1.449219E-2</v>
      </c>
      <c r="B744" s="21">
        <f t="shared" si="22"/>
        <v>0.59860630000000004</v>
      </c>
      <c r="D744">
        <f t="shared" si="23"/>
        <v>240.86427672955975</v>
      </c>
      <c r="G744" s="21">
        <v>-0.76594839999999997</v>
      </c>
      <c r="H744" s="21">
        <v>0.59860630000000004</v>
      </c>
    </row>
    <row r="745" spans="1:8" x14ac:dyDescent="0.15">
      <c r="A745" s="21">
        <v>1.4511720000000001E-2</v>
      </c>
      <c r="B745" s="21">
        <f t="shared" si="22"/>
        <v>0.51008750000000003</v>
      </c>
      <c r="D745">
        <f t="shared" si="23"/>
        <v>205.30761006289308</v>
      </c>
      <c r="G745" s="21">
        <v>-0.65287819999999996</v>
      </c>
      <c r="H745" s="21">
        <v>0.51008750000000003</v>
      </c>
    </row>
    <row r="746" spans="1:8" x14ac:dyDescent="0.15">
      <c r="A746" s="21">
        <v>1.4531250000000001E-2</v>
      </c>
      <c r="B746" s="21">
        <f t="shared" si="22"/>
        <v>0.40601199999999998</v>
      </c>
      <c r="D746">
        <f t="shared" si="23"/>
        <v>163.48654088050313</v>
      </c>
      <c r="G746" s="21">
        <v>-0.51988719999999999</v>
      </c>
      <c r="H746" s="21">
        <v>0.40601199999999998</v>
      </c>
    </row>
    <row r="747" spans="1:8" x14ac:dyDescent="0.15">
      <c r="A747" s="21">
        <v>1.4550779999999999E-2</v>
      </c>
      <c r="B747" s="21">
        <f t="shared" si="22"/>
        <v>0.28659519999999999</v>
      </c>
      <c r="D747">
        <f t="shared" si="23"/>
        <v>115.41877358490565</v>
      </c>
      <c r="G747" s="21">
        <v>-0.36703170000000002</v>
      </c>
      <c r="H747" s="21">
        <v>0.28659519999999999</v>
      </c>
    </row>
    <row r="748" spans="1:8" x14ac:dyDescent="0.15">
      <c r="A748" s="21">
        <v>1.457031E-2</v>
      </c>
      <c r="B748" s="21">
        <f t="shared" si="22"/>
        <v>0.1554179</v>
      </c>
      <c r="D748">
        <f t="shared" si="23"/>
        <v>62.910597484276728</v>
      </c>
      <c r="G748" s="21">
        <v>-0.2000557</v>
      </c>
      <c r="H748" s="21">
        <v>0.1554179</v>
      </c>
    </row>
    <row r="749" spans="1:8" x14ac:dyDescent="0.15">
      <c r="A749" s="21">
        <v>1.458984E-2</v>
      </c>
      <c r="B749" s="21">
        <f t="shared" si="22"/>
        <v>1.939714E-2</v>
      </c>
      <c r="D749">
        <f t="shared" si="23"/>
        <v>8.5918616352201251</v>
      </c>
      <c r="G749" s="21">
        <v>-2.7322119999999998E-2</v>
      </c>
      <c r="H749" s="21">
        <v>1.939714E-2</v>
      </c>
    </row>
    <row r="750" spans="1:8" x14ac:dyDescent="0.15">
      <c r="A750" s="21">
        <v>1.460938E-2</v>
      </c>
      <c r="B750" s="21">
        <f t="shared" si="22"/>
        <v>-0.1162276</v>
      </c>
      <c r="D750">
        <f t="shared" si="23"/>
        <v>-45.611635220125791</v>
      </c>
      <c r="G750" s="21">
        <v>0.14504500000000001</v>
      </c>
      <c r="H750" s="21">
        <v>-0.1162276</v>
      </c>
    </row>
    <row r="751" spans="1:8" x14ac:dyDescent="0.15">
      <c r="A751" s="21">
        <v>1.462891E-2</v>
      </c>
      <c r="B751" s="21">
        <f t="shared" si="22"/>
        <v>-0.24546499999999999</v>
      </c>
      <c r="D751">
        <f t="shared" si="23"/>
        <v>-97.289496855345917</v>
      </c>
      <c r="G751" s="21">
        <v>0.30938060000000001</v>
      </c>
      <c r="H751" s="21">
        <v>-0.24546499999999999</v>
      </c>
    </row>
    <row r="752" spans="1:8" x14ac:dyDescent="0.15">
      <c r="A752" s="21">
        <v>1.464844E-2</v>
      </c>
      <c r="B752" s="21">
        <f t="shared" si="22"/>
        <v>-0.36589549999999998</v>
      </c>
      <c r="D752">
        <f t="shared" si="23"/>
        <v>-145.63053459119496</v>
      </c>
      <c r="G752" s="21">
        <v>0.46310509999999999</v>
      </c>
      <c r="H752" s="21">
        <v>-0.36589549999999998</v>
      </c>
    </row>
    <row r="753" spans="1:8" x14ac:dyDescent="0.15">
      <c r="A753" s="21">
        <v>1.4667970000000001E-2</v>
      </c>
      <c r="B753" s="21">
        <f t="shared" si="22"/>
        <v>-0.47557709999999997</v>
      </c>
      <c r="D753">
        <f t="shared" si="23"/>
        <v>-189.55999999999997</v>
      </c>
      <c r="G753" s="21">
        <v>0.60280080000000003</v>
      </c>
      <c r="H753" s="21">
        <v>-0.47557709999999997</v>
      </c>
    </row>
    <row r="754" spans="1:8" x14ac:dyDescent="0.15">
      <c r="A754" s="21">
        <v>1.4687499999999999E-2</v>
      </c>
      <c r="B754" s="21">
        <f t="shared" si="22"/>
        <v>-0.56975209999999998</v>
      </c>
      <c r="D754">
        <f t="shared" si="23"/>
        <v>-227.19858490566037</v>
      </c>
      <c r="G754" s="21">
        <v>0.72249149999999995</v>
      </c>
      <c r="H754" s="21">
        <v>-0.56975209999999998</v>
      </c>
    </row>
    <row r="755" spans="1:8" x14ac:dyDescent="0.15">
      <c r="A755" s="21">
        <v>1.4707029999999999E-2</v>
      </c>
      <c r="B755" s="21">
        <f t="shared" si="22"/>
        <v>-0.64517559999999996</v>
      </c>
      <c r="D755">
        <f t="shared" si="23"/>
        <v>-257.43132075471698</v>
      </c>
      <c r="G755" s="21">
        <v>0.81863160000000001</v>
      </c>
      <c r="H755" s="21">
        <v>-0.64517559999999996</v>
      </c>
    </row>
    <row r="756" spans="1:8" x14ac:dyDescent="0.15">
      <c r="A756" s="21">
        <v>1.472656E-2</v>
      </c>
      <c r="B756" s="21">
        <f t="shared" si="22"/>
        <v>-0.69800229999999996</v>
      </c>
      <c r="D756">
        <f t="shared" si="23"/>
        <v>-278.68823899371068</v>
      </c>
      <c r="G756" s="21">
        <v>0.88622860000000003</v>
      </c>
      <c r="H756" s="21">
        <v>-0.69800229999999996</v>
      </c>
    </row>
    <row r="757" spans="1:8" x14ac:dyDescent="0.15">
      <c r="A757" s="21">
        <v>1.474609E-2</v>
      </c>
      <c r="B757" s="21">
        <f t="shared" si="22"/>
        <v>-0.72721670000000005</v>
      </c>
      <c r="D757">
        <f t="shared" si="23"/>
        <v>-290.6942767295597</v>
      </c>
      <c r="G757" s="21">
        <v>0.9244078</v>
      </c>
      <c r="H757" s="21">
        <v>-0.72721670000000005</v>
      </c>
    </row>
    <row r="758" spans="1:8" x14ac:dyDescent="0.15">
      <c r="A758" s="21">
        <v>1.476563E-2</v>
      </c>
      <c r="B758" s="21">
        <f t="shared" si="22"/>
        <v>-0.7335933</v>
      </c>
      <c r="D758">
        <f t="shared" si="23"/>
        <v>-293.39795597484277</v>
      </c>
      <c r="G758" s="21">
        <v>0.93300550000000004</v>
      </c>
      <c r="H758" s="21">
        <v>-0.7335933</v>
      </c>
    </row>
    <row r="759" spans="1:8" x14ac:dyDescent="0.15">
      <c r="A759" s="21">
        <v>1.478516E-2</v>
      </c>
      <c r="B759" s="21">
        <f t="shared" si="22"/>
        <v>-0.7145802</v>
      </c>
      <c r="D759">
        <f t="shared" si="23"/>
        <v>-285.83877358490565</v>
      </c>
      <c r="G759" s="21">
        <v>0.90896730000000003</v>
      </c>
      <c r="H759" s="21">
        <v>-0.7145802</v>
      </c>
    </row>
    <row r="760" spans="1:8" x14ac:dyDescent="0.15">
      <c r="A760" s="21">
        <v>1.4804690000000001E-2</v>
      </c>
      <c r="B760" s="21">
        <f t="shared" si="22"/>
        <v>-0.67138100000000001</v>
      </c>
      <c r="D760">
        <f t="shared" si="23"/>
        <v>-268.89289308176103</v>
      </c>
      <c r="G760" s="21">
        <v>0.85507940000000004</v>
      </c>
      <c r="H760" s="21">
        <v>-0.67138100000000001</v>
      </c>
    </row>
    <row r="761" spans="1:8" x14ac:dyDescent="0.15">
      <c r="A761" s="21">
        <v>1.4824220000000001E-2</v>
      </c>
      <c r="B761" s="21">
        <f t="shared" si="22"/>
        <v>-0.60597219999999996</v>
      </c>
      <c r="D761">
        <f t="shared" si="23"/>
        <v>-242.87767295597482</v>
      </c>
      <c r="G761" s="21">
        <v>0.77235100000000001</v>
      </c>
      <c r="H761" s="21">
        <v>-0.60597219999999996</v>
      </c>
    </row>
    <row r="762" spans="1:8" x14ac:dyDescent="0.15">
      <c r="A762" s="21">
        <v>1.4843749999999999E-2</v>
      </c>
      <c r="B762" s="21">
        <f t="shared" si="22"/>
        <v>-0.51834519999999995</v>
      </c>
      <c r="D762">
        <f t="shared" si="23"/>
        <v>-207.85669811320753</v>
      </c>
      <c r="G762" s="21">
        <v>0.66098429999999997</v>
      </c>
      <c r="H762" s="21">
        <v>-0.51834519999999995</v>
      </c>
    </row>
    <row r="763" spans="1:8" x14ac:dyDescent="0.15">
      <c r="A763" s="21">
        <v>1.486328E-2</v>
      </c>
      <c r="B763" s="21">
        <f t="shared" si="22"/>
        <v>-0.41315269999999998</v>
      </c>
      <c r="D763">
        <f t="shared" si="23"/>
        <v>-165.91515723270442</v>
      </c>
      <c r="G763" s="21">
        <v>0.52761020000000003</v>
      </c>
      <c r="H763" s="21">
        <v>-0.41315269999999998</v>
      </c>
    </row>
    <row r="764" spans="1:8" x14ac:dyDescent="0.15">
      <c r="A764" s="21">
        <v>1.488281E-2</v>
      </c>
      <c r="B764" s="21">
        <f t="shared" si="22"/>
        <v>-0.29332039999999998</v>
      </c>
      <c r="D764">
        <f t="shared" si="23"/>
        <v>-117.93449685534591</v>
      </c>
      <c r="G764" s="21">
        <v>0.37503170000000002</v>
      </c>
      <c r="H764" s="21">
        <v>-0.29332039999999998</v>
      </c>
    </row>
    <row r="765" spans="1:8" x14ac:dyDescent="0.15">
      <c r="A765" s="21">
        <v>1.490234E-2</v>
      </c>
      <c r="B765" s="21">
        <f t="shared" si="22"/>
        <v>-0.1621377</v>
      </c>
      <c r="D765">
        <f t="shared" si="23"/>
        <v>-65.521698113207535</v>
      </c>
      <c r="G765" s="21">
        <v>0.20835899999999999</v>
      </c>
      <c r="H765" s="21">
        <v>-0.1621377</v>
      </c>
    </row>
    <row r="766" spans="1:8" x14ac:dyDescent="0.15">
      <c r="A766" s="21">
        <v>1.492188E-2</v>
      </c>
      <c r="B766" s="21">
        <f t="shared" si="22"/>
        <v>-2.7595629999999999E-2</v>
      </c>
      <c r="D766">
        <f t="shared" si="23"/>
        <v>-11.733009433962263</v>
      </c>
      <c r="G766" s="21">
        <v>3.7310969999999999E-2</v>
      </c>
      <c r="H766" s="21">
        <v>-2.7595629999999999E-2</v>
      </c>
    </row>
    <row r="767" spans="1:8" x14ac:dyDescent="0.15">
      <c r="A767" s="21">
        <v>1.494141E-2</v>
      </c>
      <c r="B767" s="21">
        <f t="shared" si="22"/>
        <v>0.1074488</v>
      </c>
      <c r="D767">
        <f t="shared" si="23"/>
        <v>42.520440251572325</v>
      </c>
      <c r="G767" s="21">
        <v>-0.135215</v>
      </c>
      <c r="H767" s="21">
        <v>0.1074488</v>
      </c>
    </row>
    <row r="768" spans="1:8" x14ac:dyDescent="0.15">
      <c r="A768" s="21">
        <v>1.4960940000000001E-2</v>
      </c>
      <c r="B768" s="21">
        <f t="shared" si="22"/>
        <v>0.2387946</v>
      </c>
      <c r="D768">
        <f t="shared" si="23"/>
        <v>95.145817610062878</v>
      </c>
      <c r="G768" s="21">
        <v>-0.30256369999999999</v>
      </c>
      <c r="H768" s="21">
        <v>0.2387946</v>
      </c>
    </row>
    <row r="769" spans="1:8" x14ac:dyDescent="0.15">
      <c r="A769" s="21">
        <v>1.4980469999999999E-2</v>
      </c>
      <c r="B769" s="21">
        <f t="shared" si="22"/>
        <v>0.36018660000000002</v>
      </c>
      <c r="D769">
        <f t="shared" si="23"/>
        <v>143.89792452830187</v>
      </c>
      <c r="G769" s="21">
        <v>-0.45759539999999999</v>
      </c>
      <c r="H769" s="21">
        <v>0.36018660000000002</v>
      </c>
    </row>
    <row r="770" spans="1:8" x14ac:dyDescent="0.15">
      <c r="A770" s="21">
        <v>1.4999999999999999E-2</v>
      </c>
      <c r="B770" s="21">
        <f t="shared" ref="B770:B833" si="24">H770</f>
        <v>0.4707752</v>
      </c>
      <c r="D770">
        <f t="shared" ref="D770:D833" si="25">G770*-1000/3.18</f>
        <v>188.51827044025154</v>
      </c>
      <c r="G770" s="21">
        <v>-0.59948809999999997</v>
      </c>
      <c r="H770" s="21">
        <v>0.4707752</v>
      </c>
    </row>
    <row r="771" spans="1:8" x14ac:dyDescent="0.15">
      <c r="A771" s="21">
        <v>1.501953E-2</v>
      </c>
      <c r="B771" s="21">
        <f t="shared" si="24"/>
        <v>0.56550529999999999</v>
      </c>
      <c r="D771">
        <f t="shared" si="25"/>
        <v>226.62081761006291</v>
      </c>
      <c r="G771" s="21">
        <v>-0.72065420000000002</v>
      </c>
      <c r="H771" s="21">
        <v>0.56550529999999999</v>
      </c>
    </row>
    <row r="772" spans="1:8" x14ac:dyDescent="0.15">
      <c r="A772" s="21">
        <v>1.503906E-2</v>
      </c>
      <c r="B772" s="21">
        <f t="shared" si="24"/>
        <v>0.63963530000000002</v>
      </c>
      <c r="D772">
        <f t="shared" si="25"/>
        <v>256.60748427672956</v>
      </c>
      <c r="G772" s="21">
        <v>-0.81601179999999995</v>
      </c>
      <c r="H772" s="21">
        <v>0.63963530000000002</v>
      </c>
    </row>
    <row r="773" spans="1:8" x14ac:dyDescent="0.15">
      <c r="A773" s="21">
        <v>1.505859E-2</v>
      </c>
      <c r="B773" s="21">
        <f t="shared" si="24"/>
        <v>0.69336310000000001</v>
      </c>
      <c r="D773">
        <f t="shared" si="25"/>
        <v>278.50657232704401</v>
      </c>
      <c r="G773" s="21">
        <v>-0.88565090000000002</v>
      </c>
      <c r="H773" s="21">
        <v>0.69336310000000001</v>
      </c>
    </row>
    <row r="774" spans="1:8" x14ac:dyDescent="0.15">
      <c r="A774" s="21">
        <v>1.507812E-2</v>
      </c>
      <c r="B774" s="21">
        <f t="shared" si="24"/>
        <v>0.72490109999999996</v>
      </c>
      <c r="D774">
        <f t="shared" si="25"/>
        <v>291.36251572327046</v>
      </c>
      <c r="G774" s="21">
        <v>-0.92653280000000005</v>
      </c>
      <c r="H774" s="21">
        <v>0.72490109999999996</v>
      </c>
    </row>
    <row r="775" spans="1:8" x14ac:dyDescent="0.15">
      <c r="A775" s="21">
        <v>1.5097660000000001E-2</v>
      </c>
      <c r="B775" s="21">
        <f t="shared" si="24"/>
        <v>0.73315830000000004</v>
      </c>
      <c r="D775">
        <f t="shared" si="25"/>
        <v>294.82647798742141</v>
      </c>
      <c r="G775" s="21">
        <v>-0.93754820000000005</v>
      </c>
      <c r="H775" s="21">
        <v>0.73315830000000004</v>
      </c>
    </row>
    <row r="776" spans="1:8" x14ac:dyDescent="0.15">
      <c r="A776" s="21">
        <v>1.5117190000000001E-2</v>
      </c>
      <c r="B776" s="21">
        <f t="shared" si="24"/>
        <v>0.71619189999999999</v>
      </c>
      <c r="D776">
        <f t="shared" si="25"/>
        <v>287.94172955974841</v>
      </c>
      <c r="G776" s="21">
        <v>-0.91565470000000004</v>
      </c>
      <c r="H776" s="21">
        <v>0.71619189999999999</v>
      </c>
    </row>
    <row r="777" spans="1:8" x14ac:dyDescent="0.15">
      <c r="A777" s="21">
        <v>1.5136719999999999E-2</v>
      </c>
      <c r="B777" s="21">
        <f t="shared" si="24"/>
        <v>0.6735911</v>
      </c>
      <c r="D777">
        <f t="shared" si="25"/>
        <v>270.83330188679247</v>
      </c>
      <c r="G777" s="21">
        <v>-0.86124990000000001</v>
      </c>
      <c r="H777" s="21">
        <v>0.6735911</v>
      </c>
    </row>
    <row r="778" spans="1:8" x14ac:dyDescent="0.15">
      <c r="A778" s="21">
        <v>1.515625E-2</v>
      </c>
      <c r="B778" s="21">
        <f t="shared" si="24"/>
        <v>0.60902710000000004</v>
      </c>
      <c r="D778">
        <f t="shared" si="25"/>
        <v>245.06795597484276</v>
      </c>
      <c r="G778" s="21">
        <v>-0.77931609999999996</v>
      </c>
      <c r="H778" s="21">
        <v>0.60902710000000004</v>
      </c>
    </row>
    <row r="779" spans="1:8" x14ac:dyDescent="0.15">
      <c r="A779" s="21">
        <v>1.517578E-2</v>
      </c>
      <c r="B779" s="21">
        <f t="shared" si="24"/>
        <v>0.5236111</v>
      </c>
      <c r="D779">
        <f t="shared" si="25"/>
        <v>210.6801572327044</v>
      </c>
      <c r="G779" s="21">
        <v>-0.66996290000000003</v>
      </c>
      <c r="H779" s="21">
        <v>0.5236111</v>
      </c>
    </row>
    <row r="780" spans="1:8" x14ac:dyDescent="0.15">
      <c r="A780" s="21">
        <v>1.519531E-2</v>
      </c>
      <c r="B780" s="21">
        <f t="shared" si="24"/>
        <v>0.42015910000000001</v>
      </c>
      <c r="D780">
        <f t="shared" si="25"/>
        <v>169.05836477987421</v>
      </c>
      <c r="G780" s="21">
        <v>-0.53760560000000002</v>
      </c>
      <c r="H780" s="21">
        <v>0.42015910000000001</v>
      </c>
    </row>
    <row r="781" spans="1:8" x14ac:dyDescent="0.15">
      <c r="A781" s="21">
        <v>1.521484E-2</v>
      </c>
      <c r="B781" s="21">
        <f t="shared" si="24"/>
        <v>0.30329879999999998</v>
      </c>
      <c r="D781">
        <f t="shared" si="25"/>
        <v>122.15930817610061</v>
      </c>
      <c r="G781" s="21">
        <v>-0.3884666</v>
      </c>
      <c r="H781" s="21">
        <v>0.30329879999999998</v>
      </c>
    </row>
    <row r="782" spans="1:8" x14ac:dyDescent="0.15">
      <c r="A782" s="21">
        <v>1.5234370000000001E-2</v>
      </c>
      <c r="B782" s="21">
        <f t="shared" si="24"/>
        <v>0.17386679999999999</v>
      </c>
      <c r="D782">
        <f t="shared" si="25"/>
        <v>70.215314465408809</v>
      </c>
      <c r="G782" s="21">
        <v>-0.2232847</v>
      </c>
      <c r="H782" s="21">
        <v>0.17386679999999999</v>
      </c>
    </row>
    <row r="783" spans="1:8" x14ac:dyDescent="0.15">
      <c r="A783" s="21">
        <v>1.5253910000000001E-2</v>
      </c>
      <c r="B783" s="21">
        <f t="shared" si="24"/>
        <v>3.7190580000000001E-2</v>
      </c>
      <c r="D783">
        <f t="shared" si="25"/>
        <v>15.566625786163522</v>
      </c>
      <c r="G783" s="21">
        <v>-4.9501870000000003E-2</v>
      </c>
      <c r="H783" s="21">
        <v>3.7190580000000001E-2</v>
      </c>
    </row>
    <row r="784" spans="1:8" x14ac:dyDescent="0.15">
      <c r="A784" s="21">
        <v>1.5273439999999999E-2</v>
      </c>
      <c r="B784" s="21">
        <f t="shared" si="24"/>
        <v>-9.7945879999999999E-2</v>
      </c>
      <c r="D784">
        <f t="shared" si="25"/>
        <v>-38.395691823899369</v>
      </c>
      <c r="G784" s="21">
        <v>0.12209830000000001</v>
      </c>
      <c r="H784" s="21">
        <v>-9.7945879999999999E-2</v>
      </c>
    </row>
    <row r="785" spans="1:8" x14ac:dyDescent="0.15">
      <c r="A785" s="21">
        <v>1.5292969999999999E-2</v>
      </c>
      <c r="B785" s="21">
        <f t="shared" si="24"/>
        <v>-0.2285343</v>
      </c>
      <c r="D785">
        <f t="shared" si="25"/>
        <v>-90.618930817610064</v>
      </c>
      <c r="G785" s="21">
        <v>0.28816819999999999</v>
      </c>
      <c r="H785" s="21">
        <v>-0.2285343</v>
      </c>
    </row>
    <row r="786" spans="1:8" x14ac:dyDescent="0.15">
      <c r="A786" s="21">
        <v>1.53125E-2</v>
      </c>
      <c r="B786" s="21">
        <f t="shared" si="24"/>
        <v>-0.35102939999999999</v>
      </c>
      <c r="D786">
        <f t="shared" si="25"/>
        <v>-139.66940251572328</v>
      </c>
      <c r="G786" s="21">
        <v>0.44414870000000001</v>
      </c>
      <c r="H786" s="21">
        <v>-0.35102939999999999</v>
      </c>
    </row>
    <row r="787" spans="1:8" x14ac:dyDescent="0.15">
      <c r="A787" s="21">
        <v>1.533203E-2</v>
      </c>
      <c r="B787" s="21">
        <f t="shared" si="24"/>
        <v>-0.46156190000000002</v>
      </c>
      <c r="D787">
        <f t="shared" si="25"/>
        <v>-183.93559748427668</v>
      </c>
      <c r="G787" s="21">
        <v>0.58491519999999997</v>
      </c>
      <c r="H787" s="21">
        <v>-0.46156190000000002</v>
      </c>
    </row>
    <row r="788" spans="1:8" x14ac:dyDescent="0.15">
      <c r="A788" s="21">
        <v>1.535156E-2</v>
      </c>
      <c r="B788" s="21">
        <f t="shared" si="24"/>
        <v>-0.55854800000000004</v>
      </c>
      <c r="D788">
        <f t="shared" si="25"/>
        <v>-222.66811320754712</v>
      </c>
      <c r="G788" s="21">
        <v>0.70808459999999995</v>
      </c>
      <c r="H788" s="21">
        <v>-0.55854800000000004</v>
      </c>
    </row>
    <row r="789" spans="1:8" x14ac:dyDescent="0.15">
      <c r="A789" s="21">
        <v>1.537109E-2</v>
      </c>
      <c r="B789" s="21">
        <f t="shared" si="24"/>
        <v>-0.63638819999999996</v>
      </c>
      <c r="D789">
        <f t="shared" si="25"/>
        <v>-253.84726415094337</v>
      </c>
      <c r="G789" s="21">
        <v>0.80723429999999996</v>
      </c>
      <c r="H789" s="21">
        <v>-0.63638819999999996</v>
      </c>
    </row>
    <row r="790" spans="1:8" x14ac:dyDescent="0.15">
      <c r="A790" s="21">
        <v>1.5390620000000001E-2</v>
      </c>
      <c r="B790" s="21">
        <f t="shared" si="24"/>
        <v>-0.69199250000000001</v>
      </c>
      <c r="D790">
        <f t="shared" si="25"/>
        <v>-276.35955974842767</v>
      </c>
      <c r="G790" s="21">
        <v>0.87882340000000003</v>
      </c>
      <c r="H790" s="21">
        <v>-0.69199250000000001</v>
      </c>
    </row>
    <row r="791" spans="1:8" x14ac:dyDescent="0.15">
      <c r="A791" s="21">
        <v>1.5410159999999999E-2</v>
      </c>
      <c r="B791" s="21">
        <f t="shared" si="24"/>
        <v>-0.72533159999999997</v>
      </c>
      <c r="D791">
        <f t="shared" si="25"/>
        <v>-289.90672955974844</v>
      </c>
      <c r="G791" s="21">
        <v>0.92190340000000004</v>
      </c>
      <c r="H791" s="21">
        <v>-0.72533159999999997</v>
      </c>
    </row>
    <row r="792" spans="1:8" x14ac:dyDescent="0.15">
      <c r="A792" s="21">
        <v>1.5429689999999999E-2</v>
      </c>
      <c r="B792" s="21">
        <f t="shared" si="24"/>
        <v>-0.73399720000000002</v>
      </c>
      <c r="D792">
        <f t="shared" si="25"/>
        <v>-293.46959119496859</v>
      </c>
      <c r="G792" s="21">
        <v>0.93323330000000004</v>
      </c>
      <c r="H792" s="21">
        <v>-0.73399720000000002</v>
      </c>
    </row>
    <row r="793" spans="1:8" x14ac:dyDescent="0.15">
      <c r="A793" s="21">
        <v>1.544922E-2</v>
      </c>
      <c r="B793" s="21">
        <f t="shared" si="24"/>
        <v>-0.71820810000000002</v>
      </c>
      <c r="D793">
        <f t="shared" si="25"/>
        <v>-287.3244968553459</v>
      </c>
      <c r="G793" s="21">
        <v>0.9136919</v>
      </c>
      <c r="H793" s="21">
        <v>-0.71820810000000002</v>
      </c>
    </row>
    <row r="794" spans="1:8" x14ac:dyDescent="0.15">
      <c r="A794" s="21">
        <v>1.546875E-2</v>
      </c>
      <c r="B794" s="21">
        <f t="shared" si="24"/>
        <v>-0.67881760000000002</v>
      </c>
      <c r="D794">
        <f t="shared" si="25"/>
        <v>-271.81421383647796</v>
      </c>
      <c r="G794" s="21">
        <v>0.86436919999999995</v>
      </c>
      <c r="H794" s="21">
        <v>-0.67881760000000002</v>
      </c>
    </row>
    <row r="795" spans="1:8" x14ac:dyDescent="0.15">
      <c r="A795" s="21">
        <v>1.548828E-2</v>
      </c>
      <c r="B795" s="21">
        <f t="shared" si="24"/>
        <v>-0.61566869999999996</v>
      </c>
      <c r="D795">
        <f t="shared" si="25"/>
        <v>-246.72408805031446</v>
      </c>
      <c r="G795" s="21">
        <v>0.78458260000000002</v>
      </c>
      <c r="H795" s="21">
        <v>-0.61566869999999996</v>
      </c>
    </row>
    <row r="796" spans="1:8" x14ac:dyDescent="0.15">
      <c r="A796" s="21">
        <v>1.550781E-2</v>
      </c>
      <c r="B796" s="21">
        <f t="shared" si="24"/>
        <v>-0.53105910000000001</v>
      </c>
      <c r="D796">
        <f t="shared" si="25"/>
        <v>-212.99128930817608</v>
      </c>
      <c r="G796" s="21">
        <v>0.67731229999999998</v>
      </c>
      <c r="H796" s="21">
        <v>-0.53105910000000001</v>
      </c>
    </row>
    <row r="797" spans="1:8" x14ac:dyDescent="0.15">
      <c r="A797" s="21">
        <v>1.5527340000000001E-2</v>
      </c>
      <c r="B797" s="21">
        <f t="shared" si="24"/>
        <v>-0.42810490000000001</v>
      </c>
      <c r="D797">
        <f t="shared" si="25"/>
        <v>-171.9072641509434</v>
      </c>
      <c r="G797" s="21">
        <v>0.54666510000000001</v>
      </c>
      <c r="H797" s="21">
        <v>-0.42810490000000001</v>
      </c>
    </row>
    <row r="798" spans="1:8" x14ac:dyDescent="0.15">
      <c r="A798" s="21">
        <v>1.5546870000000001E-2</v>
      </c>
      <c r="B798" s="21">
        <f t="shared" si="24"/>
        <v>-0.3095773</v>
      </c>
      <c r="D798">
        <f t="shared" si="25"/>
        <v>-124.53518867924527</v>
      </c>
      <c r="G798" s="21">
        <v>0.39602189999999998</v>
      </c>
      <c r="H798" s="21">
        <v>-0.3095773</v>
      </c>
    </row>
    <row r="799" spans="1:8" x14ac:dyDescent="0.15">
      <c r="A799" s="21">
        <v>1.5566409999999999E-2</v>
      </c>
      <c r="B799" s="21">
        <f t="shared" si="24"/>
        <v>-0.18026220000000001</v>
      </c>
      <c r="D799">
        <f t="shared" si="25"/>
        <v>-72.861257861635224</v>
      </c>
      <c r="G799" s="21">
        <v>0.23169880000000001</v>
      </c>
      <c r="H799" s="21">
        <v>-0.18026220000000001</v>
      </c>
    </row>
    <row r="800" spans="1:8" x14ac:dyDescent="0.15">
      <c r="A800" s="21">
        <v>1.558594E-2</v>
      </c>
      <c r="B800" s="21">
        <f t="shared" si="24"/>
        <v>-4.5785760000000002E-2</v>
      </c>
      <c r="D800">
        <f t="shared" si="25"/>
        <v>-19.040666666666663</v>
      </c>
      <c r="G800" s="21">
        <v>6.0549319999999997E-2</v>
      </c>
      <c r="H800" s="21">
        <v>-4.5785760000000002E-2</v>
      </c>
    </row>
    <row r="801" spans="1:8" x14ac:dyDescent="0.15">
      <c r="A801" s="21">
        <v>1.560547E-2</v>
      </c>
      <c r="B801" s="21">
        <f t="shared" si="24"/>
        <v>8.971316E-2</v>
      </c>
      <c r="D801">
        <f t="shared" si="25"/>
        <v>35.28761006289308</v>
      </c>
      <c r="G801" s="21">
        <v>-0.1122146</v>
      </c>
      <c r="H801" s="21">
        <v>8.971316E-2</v>
      </c>
    </row>
    <row r="802" spans="1:8" x14ac:dyDescent="0.15">
      <c r="A802" s="21">
        <v>1.5625E-2</v>
      </c>
      <c r="B802" s="21">
        <f t="shared" si="24"/>
        <v>0.2213928</v>
      </c>
      <c r="D802">
        <f t="shared" si="25"/>
        <v>88.078742138364788</v>
      </c>
      <c r="G802" s="21">
        <v>-0.28009040000000002</v>
      </c>
      <c r="H802" s="21">
        <v>0.2213928</v>
      </c>
    </row>
    <row r="803" spans="1:8" x14ac:dyDescent="0.15">
      <c r="A803" s="21">
        <v>1.564453E-2</v>
      </c>
      <c r="B803" s="21">
        <f t="shared" si="24"/>
        <v>0.34470620000000002</v>
      </c>
      <c r="D803">
        <f t="shared" si="25"/>
        <v>137.69569182389935</v>
      </c>
      <c r="G803" s="21">
        <v>-0.43787229999999999</v>
      </c>
      <c r="H803" s="21">
        <v>0.34470620000000002</v>
      </c>
    </row>
    <row r="804" spans="1:8" x14ac:dyDescent="0.15">
      <c r="A804" s="21">
        <v>1.566406E-2</v>
      </c>
      <c r="B804" s="21">
        <f t="shared" si="24"/>
        <v>0.45633940000000001</v>
      </c>
      <c r="D804">
        <f t="shared" si="25"/>
        <v>182.70789308176103</v>
      </c>
      <c r="G804" s="21">
        <v>-0.5810111</v>
      </c>
      <c r="H804" s="21">
        <v>0.45633940000000001</v>
      </c>
    </row>
    <row r="805" spans="1:8" x14ac:dyDescent="0.15">
      <c r="A805" s="21">
        <v>1.5683590000000001E-2</v>
      </c>
      <c r="B805" s="21">
        <f t="shared" si="24"/>
        <v>0.55289980000000005</v>
      </c>
      <c r="D805">
        <f t="shared" si="25"/>
        <v>221.5934905660377</v>
      </c>
      <c r="G805" s="21">
        <v>-0.7046673</v>
      </c>
      <c r="H805" s="21">
        <v>0.55289980000000005</v>
      </c>
    </row>
    <row r="806" spans="1:8" x14ac:dyDescent="0.15">
      <c r="A806" s="21">
        <v>1.5703129999999999E-2</v>
      </c>
      <c r="B806" s="21">
        <f t="shared" si="24"/>
        <v>0.63087300000000002</v>
      </c>
      <c r="D806">
        <f t="shared" si="25"/>
        <v>253.09286163522015</v>
      </c>
      <c r="G806" s="21">
        <v>-0.80483530000000003</v>
      </c>
      <c r="H806" s="21">
        <v>0.63087300000000002</v>
      </c>
    </row>
    <row r="807" spans="1:8" x14ac:dyDescent="0.15">
      <c r="A807" s="21">
        <v>1.5722659999999999E-2</v>
      </c>
      <c r="B807" s="21">
        <f t="shared" si="24"/>
        <v>0.68699750000000004</v>
      </c>
      <c r="D807">
        <f t="shared" si="25"/>
        <v>275.83091194968557</v>
      </c>
      <c r="G807" s="21">
        <v>-0.87714230000000004</v>
      </c>
      <c r="H807" s="21">
        <v>0.68699750000000004</v>
      </c>
    </row>
    <row r="808" spans="1:8" x14ac:dyDescent="0.15">
      <c r="A808" s="21">
        <v>1.574219E-2</v>
      </c>
      <c r="B808" s="21">
        <f t="shared" si="24"/>
        <v>0.72126639999999997</v>
      </c>
      <c r="D808">
        <f t="shared" si="25"/>
        <v>289.84544025157231</v>
      </c>
      <c r="G808" s="21">
        <v>-0.92170850000000004</v>
      </c>
      <c r="H808" s="21">
        <v>0.72126639999999997</v>
      </c>
    </row>
    <row r="809" spans="1:8" x14ac:dyDescent="0.15">
      <c r="A809" s="21">
        <v>1.576172E-2</v>
      </c>
      <c r="B809" s="21">
        <f t="shared" si="24"/>
        <v>0.73314049999999997</v>
      </c>
      <c r="D809">
        <f t="shared" si="25"/>
        <v>294.82808176100627</v>
      </c>
      <c r="G809" s="21">
        <v>-0.93755330000000003</v>
      </c>
      <c r="H809" s="21">
        <v>0.73314049999999997</v>
      </c>
    </row>
    <row r="810" spans="1:8" x14ac:dyDescent="0.15">
      <c r="A810" s="21">
        <v>1.578125E-2</v>
      </c>
      <c r="B810" s="21">
        <f t="shared" si="24"/>
        <v>0.71911499999999995</v>
      </c>
      <c r="D810">
        <f t="shared" si="25"/>
        <v>289.08654088050315</v>
      </c>
      <c r="G810" s="21">
        <v>-0.91929519999999998</v>
      </c>
      <c r="H810" s="21">
        <v>0.71911499999999995</v>
      </c>
    </row>
    <row r="811" spans="1:8" x14ac:dyDescent="0.15">
      <c r="A811" s="21">
        <v>1.580078E-2</v>
      </c>
      <c r="B811" s="21">
        <f t="shared" si="24"/>
        <v>0.68002669999999998</v>
      </c>
      <c r="D811">
        <f t="shared" si="25"/>
        <v>273.37625786163522</v>
      </c>
      <c r="G811" s="21">
        <v>-0.86933649999999996</v>
      </c>
      <c r="H811" s="21">
        <v>0.68002669999999998</v>
      </c>
    </row>
    <row r="812" spans="1:8" x14ac:dyDescent="0.15">
      <c r="A812" s="21">
        <v>1.5820310000000001E-2</v>
      </c>
      <c r="B812" s="21">
        <f t="shared" si="24"/>
        <v>0.61833090000000002</v>
      </c>
      <c r="D812">
        <f t="shared" si="25"/>
        <v>248.75845911949685</v>
      </c>
      <c r="G812" s="21">
        <v>-0.79105190000000003</v>
      </c>
      <c r="H812" s="21">
        <v>0.61833090000000002</v>
      </c>
    </row>
    <row r="813" spans="1:8" x14ac:dyDescent="0.15">
      <c r="A813" s="21">
        <v>1.5839840000000001E-2</v>
      </c>
      <c r="B813" s="21">
        <f t="shared" si="24"/>
        <v>0.53520270000000003</v>
      </c>
      <c r="D813">
        <f t="shared" si="25"/>
        <v>215.30726415094338</v>
      </c>
      <c r="G813" s="21">
        <v>-0.68467710000000004</v>
      </c>
      <c r="H813" s="21">
        <v>0.53520270000000003</v>
      </c>
    </row>
    <row r="814" spans="1:8" x14ac:dyDescent="0.15">
      <c r="A814" s="21">
        <v>1.5859379999999999E-2</v>
      </c>
      <c r="B814" s="21">
        <f t="shared" si="24"/>
        <v>0.43459890000000001</v>
      </c>
      <c r="D814">
        <f t="shared" si="25"/>
        <v>174.84572327044026</v>
      </c>
      <c r="G814" s="21">
        <v>-0.55600939999999999</v>
      </c>
      <c r="H814" s="21">
        <v>0.43459890000000001</v>
      </c>
    </row>
    <row r="815" spans="1:8" x14ac:dyDescent="0.15">
      <c r="A815" s="21">
        <v>1.587891E-2</v>
      </c>
      <c r="B815" s="21">
        <f t="shared" si="24"/>
        <v>0.31909090000000001</v>
      </c>
      <c r="D815">
        <f t="shared" si="25"/>
        <v>128.4612578616352</v>
      </c>
      <c r="G815" s="21">
        <v>-0.4085068</v>
      </c>
      <c r="H815" s="21">
        <v>0.31909090000000001</v>
      </c>
    </row>
    <row r="816" spans="1:8" x14ac:dyDescent="0.15">
      <c r="A816" s="21">
        <v>1.589844E-2</v>
      </c>
      <c r="B816" s="21">
        <f t="shared" si="24"/>
        <v>0.19077820000000001</v>
      </c>
      <c r="D816">
        <f t="shared" si="25"/>
        <v>77.001509433962255</v>
      </c>
      <c r="G816" s="21">
        <v>-0.24486479999999999</v>
      </c>
      <c r="H816" s="21">
        <v>0.19077820000000001</v>
      </c>
    </row>
    <row r="817" spans="1:8" x14ac:dyDescent="0.15">
      <c r="A817" s="21">
        <v>1.591797E-2</v>
      </c>
      <c r="B817" s="21">
        <f t="shared" si="24"/>
        <v>5.5221949999999999E-2</v>
      </c>
      <c r="D817">
        <f t="shared" si="25"/>
        <v>22.816393081761003</v>
      </c>
      <c r="G817" s="21">
        <v>-7.2556129999999996E-2</v>
      </c>
      <c r="H817" s="21">
        <v>5.5221949999999999E-2</v>
      </c>
    </row>
    <row r="818" spans="1:8" x14ac:dyDescent="0.15">
      <c r="A818" s="21">
        <v>1.59375E-2</v>
      </c>
      <c r="B818" s="21">
        <f t="shared" si="24"/>
        <v>-8.1505419999999995E-2</v>
      </c>
      <c r="D818">
        <f t="shared" si="25"/>
        <v>-31.776918238993709</v>
      </c>
      <c r="G818" s="21">
        <v>0.1010506</v>
      </c>
      <c r="H818" s="21">
        <v>-8.1505419999999995E-2</v>
      </c>
    </row>
    <row r="819" spans="1:8" x14ac:dyDescent="0.15">
      <c r="A819" s="21">
        <v>1.5957030000000001E-2</v>
      </c>
      <c r="B819" s="21">
        <f t="shared" si="24"/>
        <v>-0.21282090000000001</v>
      </c>
      <c r="D819">
        <f t="shared" si="25"/>
        <v>-84.183490566037719</v>
      </c>
      <c r="G819" s="21">
        <v>0.26770349999999998</v>
      </c>
      <c r="H819" s="21">
        <v>-0.21282090000000001</v>
      </c>
    </row>
    <row r="820" spans="1:8" x14ac:dyDescent="0.15">
      <c r="A820" s="21">
        <v>1.5976560000000001E-2</v>
      </c>
      <c r="B820" s="21">
        <f t="shared" si="24"/>
        <v>-0.33545989999999998</v>
      </c>
      <c r="D820">
        <f t="shared" si="25"/>
        <v>-133.38157232704404</v>
      </c>
      <c r="G820" s="21">
        <v>0.42415340000000001</v>
      </c>
      <c r="H820" s="21">
        <v>-0.33545989999999998</v>
      </c>
    </row>
    <row r="821" spans="1:8" x14ac:dyDescent="0.15">
      <c r="A821" s="21">
        <v>1.5996090000000001E-2</v>
      </c>
      <c r="B821" s="21">
        <f t="shared" si="24"/>
        <v>-0.4486831</v>
      </c>
      <c r="D821">
        <f t="shared" si="25"/>
        <v>-178.86842767295596</v>
      </c>
      <c r="G821" s="21">
        <v>0.56880160000000002</v>
      </c>
      <c r="H821" s="21">
        <v>-0.4486831</v>
      </c>
    </row>
    <row r="822" spans="1:8" x14ac:dyDescent="0.15">
      <c r="A822" s="21">
        <v>1.6015620000000001E-2</v>
      </c>
      <c r="B822" s="21">
        <f t="shared" si="24"/>
        <v>-0.54738419999999999</v>
      </c>
      <c r="D822">
        <f t="shared" si="25"/>
        <v>-218.21786163522012</v>
      </c>
      <c r="G822" s="21">
        <v>0.69393280000000002</v>
      </c>
      <c r="H822" s="21">
        <v>-0.54738419999999999</v>
      </c>
    </row>
    <row r="823" spans="1:8" x14ac:dyDescent="0.15">
      <c r="A823" s="21">
        <v>1.603516E-2</v>
      </c>
      <c r="B823" s="21">
        <f t="shared" si="24"/>
        <v>-0.62768330000000006</v>
      </c>
      <c r="D823">
        <f t="shared" si="25"/>
        <v>-250.33896226415092</v>
      </c>
      <c r="G823" s="21">
        <v>0.7960779</v>
      </c>
      <c r="H823" s="21">
        <v>-0.62768330000000006</v>
      </c>
    </row>
    <row r="824" spans="1:8" x14ac:dyDescent="0.15">
      <c r="A824" s="21">
        <v>1.605469E-2</v>
      </c>
      <c r="B824" s="21">
        <f t="shared" si="24"/>
        <v>-0.68732930000000003</v>
      </c>
      <c r="D824">
        <f t="shared" si="25"/>
        <v>-274.40905660377354</v>
      </c>
      <c r="G824" s="21">
        <v>0.87262079999999997</v>
      </c>
      <c r="H824" s="21">
        <v>-0.68732930000000003</v>
      </c>
    </row>
    <row r="825" spans="1:8" x14ac:dyDescent="0.15">
      <c r="A825" s="21">
        <v>1.607422E-2</v>
      </c>
      <c r="B825" s="21">
        <f t="shared" si="24"/>
        <v>-0.7227268</v>
      </c>
      <c r="D825">
        <f t="shared" si="25"/>
        <v>-288.78040880503141</v>
      </c>
      <c r="G825" s="21">
        <v>0.91832170000000002</v>
      </c>
      <c r="H825" s="21">
        <v>-0.7227268</v>
      </c>
    </row>
    <row r="826" spans="1:8" x14ac:dyDescent="0.15">
      <c r="A826" s="21">
        <v>1.609375E-2</v>
      </c>
      <c r="B826" s="21">
        <f t="shared" si="24"/>
        <v>-0.73441820000000002</v>
      </c>
      <c r="D826">
        <f t="shared" si="25"/>
        <v>-293.6730817610063</v>
      </c>
      <c r="G826" s="21">
        <v>0.93388040000000005</v>
      </c>
      <c r="H826" s="21">
        <v>-0.73441820000000002</v>
      </c>
    </row>
    <row r="827" spans="1:8" x14ac:dyDescent="0.15">
      <c r="A827" s="21">
        <v>1.6113280000000001E-2</v>
      </c>
      <c r="B827" s="21">
        <f t="shared" si="24"/>
        <v>-0.72246650000000001</v>
      </c>
      <c r="D827">
        <f t="shared" si="25"/>
        <v>-288.99748427672955</v>
      </c>
      <c r="G827" s="21">
        <v>0.91901200000000005</v>
      </c>
      <c r="H827" s="21">
        <v>-0.72246650000000001</v>
      </c>
    </row>
    <row r="828" spans="1:8" x14ac:dyDescent="0.15">
      <c r="A828" s="21">
        <v>1.6132810000000001E-2</v>
      </c>
      <c r="B828" s="21">
        <f t="shared" si="24"/>
        <v>-0.68572739999999999</v>
      </c>
      <c r="D828">
        <f t="shared" si="25"/>
        <v>-274.55418238993713</v>
      </c>
      <c r="G828" s="21">
        <v>0.87308229999999998</v>
      </c>
      <c r="H828" s="21">
        <v>-0.68572739999999999</v>
      </c>
    </row>
    <row r="829" spans="1:8" x14ac:dyDescent="0.15">
      <c r="A829" s="21">
        <v>1.6152340000000001E-2</v>
      </c>
      <c r="B829" s="21">
        <f t="shared" si="24"/>
        <v>-0.62608359999999996</v>
      </c>
      <c r="D829">
        <f t="shared" si="25"/>
        <v>-250.97264150943397</v>
      </c>
      <c r="G829" s="21">
        <v>0.79809300000000005</v>
      </c>
      <c r="H829" s="21">
        <v>-0.62608359999999996</v>
      </c>
    </row>
    <row r="830" spans="1:8" x14ac:dyDescent="0.15">
      <c r="A830" s="21">
        <v>1.6171870000000001E-2</v>
      </c>
      <c r="B830" s="21">
        <f t="shared" si="24"/>
        <v>-0.54384299999999997</v>
      </c>
      <c r="D830">
        <f t="shared" si="25"/>
        <v>-218.07113207547172</v>
      </c>
      <c r="G830" s="21">
        <v>0.69346620000000003</v>
      </c>
      <c r="H830" s="21">
        <v>-0.54384299999999997</v>
      </c>
    </row>
    <row r="831" spans="1:8" x14ac:dyDescent="0.15">
      <c r="A831" s="21">
        <v>1.619141E-2</v>
      </c>
      <c r="B831" s="21">
        <f t="shared" si="24"/>
        <v>-0.44245230000000002</v>
      </c>
      <c r="D831">
        <f t="shared" si="25"/>
        <v>-177.67566037735847</v>
      </c>
      <c r="G831" s="21">
        <v>0.56500859999999997</v>
      </c>
      <c r="H831" s="21">
        <v>-0.44245230000000002</v>
      </c>
    </row>
    <row r="832" spans="1:8" x14ac:dyDescent="0.15">
      <c r="A832" s="21">
        <v>1.621094E-2</v>
      </c>
      <c r="B832" s="21">
        <f t="shared" si="24"/>
        <v>-0.32692450000000001</v>
      </c>
      <c r="D832">
        <f t="shared" si="25"/>
        <v>-131.58550314465407</v>
      </c>
      <c r="G832" s="21">
        <v>0.41844189999999998</v>
      </c>
      <c r="H832" s="21">
        <v>-0.32692450000000001</v>
      </c>
    </row>
    <row r="833" spans="1:8" x14ac:dyDescent="0.15">
      <c r="A833" s="21">
        <v>1.623047E-2</v>
      </c>
      <c r="B833" s="21">
        <f t="shared" si="24"/>
        <v>-0.19833580000000001</v>
      </c>
      <c r="D833">
        <f t="shared" si="25"/>
        <v>-80.013710691823903</v>
      </c>
      <c r="G833" s="21">
        <v>0.25444359999999999</v>
      </c>
      <c r="H833" s="21">
        <v>-0.19833580000000001</v>
      </c>
    </row>
    <row r="834" spans="1:8" x14ac:dyDescent="0.15">
      <c r="A834" s="21">
        <v>1.6250000000000001E-2</v>
      </c>
      <c r="B834" s="21">
        <f t="shared" ref="B834:B897" si="26">H834</f>
        <v>-6.3580680000000001E-2</v>
      </c>
      <c r="D834">
        <f t="shared" ref="D834:D897" si="27">G834*-1000/3.18</f>
        <v>-26.158676100628931</v>
      </c>
      <c r="G834" s="21">
        <v>8.3184590000000003E-2</v>
      </c>
      <c r="H834" s="21">
        <v>-6.3580680000000001E-2</v>
      </c>
    </row>
    <row r="835" spans="1:8" x14ac:dyDescent="0.15">
      <c r="A835" s="21">
        <v>1.6269530000000001E-2</v>
      </c>
      <c r="B835" s="21">
        <f t="shared" si="26"/>
        <v>7.1158280000000004E-2</v>
      </c>
      <c r="D835">
        <f t="shared" si="27"/>
        <v>27.812053459119493</v>
      </c>
      <c r="G835" s="21">
        <v>-8.844233E-2</v>
      </c>
      <c r="H835" s="21">
        <v>7.1158280000000004E-2</v>
      </c>
    </row>
    <row r="836" spans="1:8" x14ac:dyDescent="0.15">
      <c r="A836" s="21">
        <v>1.6289060000000001E-2</v>
      </c>
      <c r="B836" s="21">
        <f t="shared" si="26"/>
        <v>0.2042979</v>
      </c>
      <c r="D836">
        <f t="shared" si="27"/>
        <v>81.290566037735857</v>
      </c>
      <c r="G836" s="21">
        <v>-0.25850400000000001</v>
      </c>
      <c r="H836" s="21">
        <v>0.2042979</v>
      </c>
    </row>
    <row r="837" spans="1:8" x14ac:dyDescent="0.15">
      <c r="A837" s="21">
        <v>1.6308590000000001E-2</v>
      </c>
      <c r="B837" s="21">
        <f t="shared" si="26"/>
        <v>0.32899869999999998</v>
      </c>
      <c r="D837">
        <f t="shared" si="27"/>
        <v>131.33911949685532</v>
      </c>
      <c r="G837" s="21">
        <v>-0.41765839999999999</v>
      </c>
      <c r="H837" s="21">
        <v>0.32899869999999998</v>
      </c>
    </row>
    <row r="838" spans="1:8" x14ac:dyDescent="0.15">
      <c r="A838" s="21">
        <v>1.6328120000000002E-2</v>
      </c>
      <c r="B838" s="21">
        <f t="shared" si="26"/>
        <v>0.4419825</v>
      </c>
      <c r="D838">
        <f t="shared" si="27"/>
        <v>176.91940251572325</v>
      </c>
      <c r="G838" s="21">
        <v>-0.56260370000000004</v>
      </c>
      <c r="H838" s="21">
        <v>0.4419825</v>
      </c>
    </row>
    <row r="839" spans="1:8" x14ac:dyDescent="0.15">
      <c r="A839" s="21">
        <v>1.634766E-2</v>
      </c>
      <c r="B839" s="21">
        <f t="shared" si="26"/>
        <v>0.54159959999999996</v>
      </c>
      <c r="D839">
        <f t="shared" si="27"/>
        <v>217.06267295597485</v>
      </c>
      <c r="G839" s="21">
        <v>-0.69025930000000002</v>
      </c>
      <c r="H839" s="21">
        <v>0.54159959999999996</v>
      </c>
    </row>
    <row r="840" spans="1:8" x14ac:dyDescent="0.15">
      <c r="A840" s="21">
        <v>1.636719E-2</v>
      </c>
      <c r="B840" s="21">
        <f t="shared" si="26"/>
        <v>0.62157569999999995</v>
      </c>
      <c r="D840">
        <f t="shared" si="27"/>
        <v>249.30553459119497</v>
      </c>
      <c r="G840" s="21">
        <v>-0.79279160000000004</v>
      </c>
      <c r="H840" s="21">
        <v>0.62157569999999995</v>
      </c>
    </row>
    <row r="841" spans="1:8" x14ac:dyDescent="0.15">
      <c r="A841" s="21">
        <v>1.638672E-2</v>
      </c>
      <c r="B841" s="21">
        <f t="shared" si="26"/>
        <v>0.68048850000000005</v>
      </c>
      <c r="D841">
        <f t="shared" si="27"/>
        <v>273.28540880503141</v>
      </c>
      <c r="G841" s="21">
        <v>-0.86904760000000003</v>
      </c>
      <c r="H841" s="21">
        <v>0.68048850000000005</v>
      </c>
    </row>
    <row r="842" spans="1:8" x14ac:dyDescent="0.15">
      <c r="A842" s="21">
        <v>1.6406250000000001E-2</v>
      </c>
      <c r="B842" s="21">
        <f t="shared" si="26"/>
        <v>0.71823590000000004</v>
      </c>
      <c r="D842">
        <f t="shared" si="27"/>
        <v>288.64144654088051</v>
      </c>
      <c r="G842" s="21">
        <v>-0.91787980000000002</v>
      </c>
      <c r="H842" s="21">
        <v>0.71823590000000004</v>
      </c>
    </row>
    <row r="843" spans="1:8" x14ac:dyDescent="0.15">
      <c r="A843" s="21">
        <v>1.6425780000000001E-2</v>
      </c>
      <c r="B843" s="21">
        <f t="shared" si="26"/>
        <v>0.73290949999999999</v>
      </c>
      <c r="D843">
        <f t="shared" si="27"/>
        <v>294.70625786163521</v>
      </c>
      <c r="G843" s="21">
        <v>-0.9371659</v>
      </c>
      <c r="H843" s="21">
        <v>0.73290949999999999</v>
      </c>
    </row>
    <row r="844" spans="1:8" x14ac:dyDescent="0.15">
      <c r="A844" s="21">
        <v>1.6445310000000001E-2</v>
      </c>
      <c r="B844" s="21">
        <f t="shared" si="26"/>
        <v>0.72315680000000004</v>
      </c>
      <c r="D844">
        <f t="shared" si="27"/>
        <v>290.78566037735845</v>
      </c>
      <c r="G844" s="21">
        <v>-0.92469840000000003</v>
      </c>
      <c r="H844" s="21">
        <v>0.72315680000000004</v>
      </c>
    </row>
    <row r="845" spans="1:8" x14ac:dyDescent="0.15">
      <c r="A845" s="21">
        <v>1.6464840000000001E-2</v>
      </c>
      <c r="B845" s="21">
        <f t="shared" si="26"/>
        <v>0.68709659999999995</v>
      </c>
      <c r="D845">
        <f t="shared" si="27"/>
        <v>276.17893081761002</v>
      </c>
      <c r="G845" s="21">
        <v>-0.87824899999999995</v>
      </c>
      <c r="H845" s="21">
        <v>0.68709659999999995</v>
      </c>
    </row>
    <row r="846" spans="1:8" x14ac:dyDescent="0.15">
      <c r="A846" s="21">
        <v>1.6484370000000002E-2</v>
      </c>
      <c r="B846" s="21">
        <f t="shared" si="26"/>
        <v>0.6271679</v>
      </c>
      <c r="D846">
        <f t="shared" si="27"/>
        <v>252.28638364779874</v>
      </c>
      <c r="G846" s="21">
        <v>-0.8022707</v>
      </c>
      <c r="H846" s="21">
        <v>0.6271679</v>
      </c>
    </row>
    <row r="847" spans="1:8" x14ac:dyDescent="0.15">
      <c r="A847" s="21">
        <v>1.650391E-2</v>
      </c>
      <c r="B847" s="21">
        <f t="shared" si="26"/>
        <v>0.54741740000000005</v>
      </c>
      <c r="D847">
        <f t="shared" si="27"/>
        <v>220.34933962264151</v>
      </c>
      <c r="G847" s="21">
        <v>-0.70071090000000003</v>
      </c>
      <c r="H847" s="21">
        <v>0.54741740000000005</v>
      </c>
    </row>
    <row r="848" spans="1:8" x14ac:dyDescent="0.15">
      <c r="A848" s="21">
        <v>1.652344E-2</v>
      </c>
      <c r="B848" s="21">
        <f t="shared" si="26"/>
        <v>0.4491252</v>
      </c>
      <c r="D848">
        <f t="shared" si="27"/>
        <v>180.70166666666665</v>
      </c>
      <c r="G848" s="21">
        <v>-0.57463129999999996</v>
      </c>
      <c r="H848" s="21">
        <v>0.4491252</v>
      </c>
    </row>
    <row r="849" spans="1:8" x14ac:dyDescent="0.15">
      <c r="A849" s="21">
        <v>1.6542970000000001E-2</v>
      </c>
      <c r="B849" s="21">
        <f t="shared" si="26"/>
        <v>0.33544570000000001</v>
      </c>
      <c r="D849">
        <f t="shared" si="27"/>
        <v>134.99094339622641</v>
      </c>
      <c r="G849" s="21">
        <v>-0.42927120000000002</v>
      </c>
      <c r="H849" s="21">
        <v>0.33544570000000001</v>
      </c>
    </row>
    <row r="850" spans="1:8" x14ac:dyDescent="0.15">
      <c r="A850" s="21">
        <v>1.6562500000000001E-2</v>
      </c>
      <c r="B850" s="21">
        <f t="shared" si="26"/>
        <v>0.2092041</v>
      </c>
      <c r="D850">
        <f t="shared" si="27"/>
        <v>84.401792452830193</v>
      </c>
      <c r="G850" s="21">
        <v>-0.26839770000000002</v>
      </c>
      <c r="H850" s="21">
        <v>0.2092041</v>
      </c>
    </row>
    <row r="851" spans="1:8" x14ac:dyDescent="0.15">
      <c r="A851" s="21">
        <v>1.6582030000000001E-2</v>
      </c>
      <c r="B851" s="21">
        <f t="shared" si="26"/>
        <v>7.3548359999999993E-2</v>
      </c>
      <c r="D851">
        <f t="shared" si="27"/>
        <v>30.130735849056599</v>
      </c>
      <c r="G851" s="21">
        <v>-9.5815739999999996E-2</v>
      </c>
      <c r="H851" s="21">
        <v>7.3548359999999993E-2</v>
      </c>
    </row>
    <row r="852" spans="1:8" x14ac:dyDescent="0.15">
      <c r="A852" s="21">
        <v>1.6601560000000001E-2</v>
      </c>
      <c r="B852" s="21">
        <f t="shared" si="26"/>
        <v>-6.3338630000000007E-2</v>
      </c>
      <c r="D852">
        <f t="shared" si="27"/>
        <v>-24.494999999999997</v>
      </c>
      <c r="G852" s="21">
        <v>7.7894099999999994E-2</v>
      </c>
      <c r="H852" s="21">
        <v>-6.3338630000000007E-2</v>
      </c>
    </row>
    <row r="853" spans="1:8" x14ac:dyDescent="0.15">
      <c r="A853" s="21">
        <v>1.6621090000000002E-2</v>
      </c>
      <c r="B853" s="21">
        <f t="shared" si="26"/>
        <v>-0.1955132</v>
      </c>
      <c r="D853">
        <f t="shared" si="27"/>
        <v>-77.244528301886788</v>
      </c>
      <c r="G853" s="21">
        <v>0.24563760000000001</v>
      </c>
      <c r="H853" s="21">
        <v>-0.1955132</v>
      </c>
    </row>
    <row r="854" spans="1:8" x14ac:dyDescent="0.15">
      <c r="A854" s="21">
        <v>1.6640619999999998E-2</v>
      </c>
      <c r="B854" s="21">
        <f t="shared" si="26"/>
        <v>-0.3200345</v>
      </c>
      <c r="D854">
        <f t="shared" si="27"/>
        <v>-127.12833333333333</v>
      </c>
      <c r="G854" s="21">
        <v>0.40426810000000002</v>
      </c>
      <c r="H854" s="21">
        <v>-0.3200345</v>
      </c>
    </row>
    <row r="855" spans="1:8" x14ac:dyDescent="0.15">
      <c r="A855" s="21">
        <v>1.666016E-2</v>
      </c>
      <c r="B855" s="21">
        <f t="shared" si="26"/>
        <v>-0.43344650000000001</v>
      </c>
      <c r="D855">
        <f t="shared" si="27"/>
        <v>-172.61584905660376</v>
      </c>
      <c r="G855" s="21">
        <v>0.54891840000000003</v>
      </c>
      <c r="H855" s="21">
        <v>-0.43344650000000001</v>
      </c>
    </row>
    <row r="856" spans="1:8" x14ac:dyDescent="0.15">
      <c r="A856" s="21">
        <v>1.667969E-2</v>
      </c>
      <c r="B856" s="21">
        <f t="shared" si="26"/>
        <v>-0.53439919999999996</v>
      </c>
      <c r="D856">
        <f t="shared" si="27"/>
        <v>-212.99292452830187</v>
      </c>
      <c r="G856" s="21">
        <v>0.67731750000000002</v>
      </c>
      <c r="H856" s="21">
        <v>-0.53439919999999996</v>
      </c>
    </row>
    <row r="857" spans="1:8" x14ac:dyDescent="0.15">
      <c r="A857" s="21">
        <v>1.6699220000000001E-2</v>
      </c>
      <c r="B857" s="21">
        <f t="shared" si="26"/>
        <v>-0.61836020000000003</v>
      </c>
      <c r="D857">
        <f t="shared" si="27"/>
        <v>-246.57503144654086</v>
      </c>
      <c r="G857" s="21">
        <v>0.78410860000000004</v>
      </c>
      <c r="H857" s="21">
        <v>-0.61836020000000003</v>
      </c>
    </row>
    <row r="858" spans="1:8" x14ac:dyDescent="0.15">
      <c r="A858" s="21">
        <v>1.6718750000000001E-2</v>
      </c>
      <c r="B858" s="21">
        <f t="shared" si="26"/>
        <v>-0.6799307</v>
      </c>
      <c r="D858">
        <f t="shared" si="27"/>
        <v>-271.35000000000002</v>
      </c>
      <c r="G858" s="21">
        <v>0.86289300000000002</v>
      </c>
      <c r="H858" s="21">
        <v>-0.6799307</v>
      </c>
    </row>
    <row r="859" spans="1:8" x14ac:dyDescent="0.15">
      <c r="A859" s="21">
        <v>1.6738280000000001E-2</v>
      </c>
      <c r="B859" s="21">
        <f t="shared" si="26"/>
        <v>-0.71901150000000003</v>
      </c>
      <c r="D859">
        <f t="shared" si="27"/>
        <v>-287.27128930817611</v>
      </c>
      <c r="G859" s="21">
        <v>0.91352270000000002</v>
      </c>
      <c r="H859" s="21">
        <v>-0.71901150000000003</v>
      </c>
    </row>
    <row r="860" spans="1:8" x14ac:dyDescent="0.15">
      <c r="A860" s="21">
        <v>1.6757810000000001E-2</v>
      </c>
      <c r="B860" s="21">
        <f t="shared" si="26"/>
        <v>-0.73433959999999998</v>
      </c>
      <c r="D860">
        <f t="shared" si="27"/>
        <v>-293.58726415094338</v>
      </c>
      <c r="G860" s="21">
        <v>0.93360750000000003</v>
      </c>
      <c r="H860" s="21">
        <v>-0.73433959999999998</v>
      </c>
    </row>
    <row r="861" spans="1:8" x14ac:dyDescent="0.15">
      <c r="A861" s="21">
        <v>1.6777340000000002E-2</v>
      </c>
      <c r="B861" s="21">
        <f t="shared" si="26"/>
        <v>-0.72460749999999996</v>
      </c>
      <c r="D861">
        <f t="shared" si="27"/>
        <v>-289.75084905660378</v>
      </c>
      <c r="G861" s="21">
        <v>0.92140770000000005</v>
      </c>
      <c r="H861" s="21">
        <v>-0.72460749999999996</v>
      </c>
    </row>
    <row r="862" spans="1:8" x14ac:dyDescent="0.15">
      <c r="A862" s="21">
        <v>1.6796869999999998E-2</v>
      </c>
      <c r="B862" s="21">
        <f t="shared" si="26"/>
        <v>-0.69140740000000001</v>
      </c>
      <c r="D862">
        <f t="shared" si="27"/>
        <v>-276.80402515723267</v>
      </c>
      <c r="G862" s="21">
        <v>0.88023680000000004</v>
      </c>
      <c r="H862" s="21">
        <v>-0.69140740000000001</v>
      </c>
    </row>
    <row r="863" spans="1:8" x14ac:dyDescent="0.15">
      <c r="A863" s="21">
        <v>1.681641E-2</v>
      </c>
      <c r="B863" s="21">
        <f t="shared" si="26"/>
        <v>-0.63457419999999998</v>
      </c>
      <c r="D863">
        <f t="shared" si="27"/>
        <v>-254.36163522012578</v>
      </c>
      <c r="G863" s="21">
        <v>0.80886999999999998</v>
      </c>
      <c r="H863" s="21">
        <v>-0.63457419999999998</v>
      </c>
    </row>
    <row r="864" spans="1:8" x14ac:dyDescent="0.15">
      <c r="A864" s="21">
        <v>1.6835940000000001E-2</v>
      </c>
      <c r="B864" s="21">
        <f t="shared" si="26"/>
        <v>-0.55535789999999996</v>
      </c>
      <c r="D864">
        <f t="shared" si="27"/>
        <v>-222.68122641509433</v>
      </c>
      <c r="G864" s="21">
        <v>0.70812629999999999</v>
      </c>
      <c r="H864" s="21">
        <v>-0.55535789999999996</v>
      </c>
    </row>
    <row r="865" spans="1:8" x14ac:dyDescent="0.15">
      <c r="A865" s="21">
        <v>1.6855470000000001E-2</v>
      </c>
      <c r="B865" s="21">
        <f t="shared" si="26"/>
        <v>-0.45722669999999999</v>
      </c>
      <c r="D865">
        <f t="shared" si="27"/>
        <v>-183.50163522012579</v>
      </c>
      <c r="G865" s="21">
        <v>0.58353520000000003</v>
      </c>
      <c r="H865" s="21">
        <v>-0.45722669999999999</v>
      </c>
    </row>
    <row r="866" spans="1:8" x14ac:dyDescent="0.15">
      <c r="A866" s="21">
        <v>1.6875000000000001E-2</v>
      </c>
      <c r="B866" s="21">
        <f t="shared" si="26"/>
        <v>-0.34230880000000002</v>
      </c>
      <c r="D866">
        <f t="shared" si="27"/>
        <v>-137.55396226415095</v>
      </c>
      <c r="G866" s="21">
        <v>0.43742160000000002</v>
      </c>
      <c r="H866" s="21">
        <v>-0.34230880000000002</v>
      </c>
    </row>
    <row r="867" spans="1:8" x14ac:dyDescent="0.15">
      <c r="A867" s="21">
        <v>1.6894530000000001E-2</v>
      </c>
      <c r="B867" s="21">
        <f t="shared" si="26"/>
        <v>-0.21533289999999999</v>
      </c>
      <c r="D867">
        <f t="shared" si="27"/>
        <v>-86.848301886792456</v>
      </c>
      <c r="G867" s="21">
        <v>0.27617760000000002</v>
      </c>
      <c r="H867" s="21">
        <v>-0.21533289999999999</v>
      </c>
    </row>
    <row r="868" spans="1:8" x14ac:dyDescent="0.15">
      <c r="A868" s="21">
        <v>1.6914060000000002E-2</v>
      </c>
      <c r="B868" s="21">
        <f t="shared" si="26"/>
        <v>-8.1756510000000004E-2</v>
      </c>
      <c r="D868">
        <f t="shared" si="27"/>
        <v>-33.466163522012579</v>
      </c>
      <c r="G868" s="21">
        <v>0.1064224</v>
      </c>
      <c r="H868" s="21">
        <v>-8.1756510000000004E-2</v>
      </c>
    </row>
    <row r="869" spans="1:8" x14ac:dyDescent="0.15">
      <c r="A869" s="21">
        <v>1.6933589999999998E-2</v>
      </c>
      <c r="B869" s="21">
        <f t="shared" si="26"/>
        <v>5.4369279999999999E-2</v>
      </c>
      <c r="D869">
        <f t="shared" si="27"/>
        <v>21.213069182389937</v>
      </c>
      <c r="G869" s="21">
        <v>-6.745756E-2</v>
      </c>
      <c r="H869" s="21">
        <v>5.4369279999999999E-2</v>
      </c>
    </row>
    <row r="870" spans="1:8" x14ac:dyDescent="0.15">
      <c r="A870" s="21">
        <v>1.6953119999999999E-2</v>
      </c>
      <c r="B870" s="21">
        <f t="shared" si="26"/>
        <v>0.18708240000000001</v>
      </c>
      <c r="D870">
        <f t="shared" si="27"/>
        <v>74.404496855345911</v>
      </c>
      <c r="G870" s="21">
        <v>-0.23660629999999999</v>
      </c>
      <c r="H870" s="21">
        <v>0.18708240000000001</v>
      </c>
    </row>
    <row r="871" spans="1:8" x14ac:dyDescent="0.15">
      <c r="A871" s="21">
        <v>1.6972660000000001E-2</v>
      </c>
      <c r="B871" s="21">
        <f t="shared" si="26"/>
        <v>0.31278909999999999</v>
      </c>
      <c r="D871">
        <f t="shared" si="27"/>
        <v>124.83575471698111</v>
      </c>
      <c r="G871" s="21">
        <v>-0.39697769999999999</v>
      </c>
      <c r="H871" s="21">
        <v>0.31278909999999999</v>
      </c>
    </row>
    <row r="872" spans="1:8" x14ac:dyDescent="0.15">
      <c r="A872" s="21">
        <v>1.6992190000000001E-2</v>
      </c>
      <c r="B872" s="21">
        <f t="shared" si="26"/>
        <v>0.42860670000000001</v>
      </c>
      <c r="D872">
        <f t="shared" si="27"/>
        <v>171.56163522012579</v>
      </c>
      <c r="G872" s="21">
        <v>-0.545566</v>
      </c>
      <c r="H872" s="21">
        <v>0.42860670000000001</v>
      </c>
    </row>
    <row r="873" spans="1:8" x14ac:dyDescent="0.15">
      <c r="A873" s="21">
        <v>1.7011720000000001E-2</v>
      </c>
      <c r="B873" s="21">
        <f t="shared" si="26"/>
        <v>0.52943629999999997</v>
      </c>
      <c r="D873">
        <f t="shared" si="27"/>
        <v>212.21333333333331</v>
      </c>
      <c r="G873" s="21">
        <v>-0.67483839999999995</v>
      </c>
      <c r="H873" s="21">
        <v>0.52943629999999997</v>
      </c>
    </row>
    <row r="874" spans="1:8" x14ac:dyDescent="0.15">
      <c r="A874" s="21">
        <v>1.7031250000000001E-2</v>
      </c>
      <c r="B874" s="21">
        <f t="shared" si="26"/>
        <v>0.6123767</v>
      </c>
      <c r="D874">
        <f t="shared" si="27"/>
        <v>245.67</v>
      </c>
      <c r="G874" s="21">
        <v>-0.7812306</v>
      </c>
      <c r="H874" s="21">
        <v>0.6123767</v>
      </c>
    </row>
    <row r="875" spans="1:8" x14ac:dyDescent="0.15">
      <c r="A875" s="21">
        <v>1.7050780000000001E-2</v>
      </c>
      <c r="B875" s="21">
        <f t="shared" si="26"/>
        <v>0.67445250000000001</v>
      </c>
      <c r="D875">
        <f t="shared" si="27"/>
        <v>270.85427672955973</v>
      </c>
      <c r="G875" s="21">
        <v>-0.86131659999999999</v>
      </c>
      <c r="H875" s="21">
        <v>0.67445250000000001</v>
      </c>
    </row>
    <row r="876" spans="1:8" x14ac:dyDescent="0.15">
      <c r="A876" s="21">
        <v>1.7070310000000002E-2</v>
      </c>
      <c r="B876" s="21">
        <f t="shared" si="26"/>
        <v>0.71441549999999998</v>
      </c>
      <c r="D876">
        <f t="shared" si="27"/>
        <v>287.14399371069186</v>
      </c>
      <c r="G876" s="21">
        <v>-0.91311790000000004</v>
      </c>
      <c r="H876" s="21">
        <v>0.71441549999999998</v>
      </c>
    </row>
    <row r="877" spans="1:8" x14ac:dyDescent="0.15">
      <c r="A877" s="21">
        <v>1.7089839999999999E-2</v>
      </c>
      <c r="B877" s="21">
        <f t="shared" si="26"/>
        <v>0.73282959999999997</v>
      </c>
      <c r="D877">
        <f t="shared" si="27"/>
        <v>294.69194968553461</v>
      </c>
      <c r="G877" s="21">
        <v>-0.93712039999999996</v>
      </c>
      <c r="H877" s="21">
        <v>0.73282959999999997</v>
      </c>
    </row>
    <row r="878" spans="1:8" x14ac:dyDescent="0.15">
      <c r="A878" s="21">
        <v>1.7109369999999999E-2</v>
      </c>
      <c r="B878" s="21">
        <f t="shared" si="26"/>
        <v>0.72597440000000002</v>
      </c>
      <c r="D878">
        <f t="shared" si="27"/>
        <v>291.91267295597481</v>
      </c>
      <c r="G878" s="21">
        <v>-0.9282823</v>
      </c>
      <c r="H878" s="21">
        <v>0.72597440000000002</v>
      </c>
    </row>
    <row r="879" spans="1:8" x14ac:dyDescent="0.15">
      <c r="A879" s="21">
        <v>1.7128910000000001E-2</v>
      </c>
      <c r="B879" s="21">
        <f t="shared" si="26"/>
        <v>0.6931908</v>
      </c>
      <c r="D879">
        <f t="shared" si="27"/>
        <v>278.72540880503146</v>
      </c>
      <c r="G879" s="21">
        <v>-0.88634679999999999</v>
      </c>
      <c r="H879" s="21">
        <v>0.6931908</v>
      </c>
    </row>
    <row r="880" spans="1:8" x14ac:dyDescent="0.15">
      <c r="A880" s="21">
        <v>1.7148440000000001E-2</v>
      </c>
      <c r="B880" s="21">
        <f t="shared" si="26"/>
        <v>0.63736899999999996</v>
      </c>
      <c r="D880">
        <f t="shared" si="27"/>
        <v>256.45</v>
      </c>
      <c r="G880" s="21">
        <v>-0.81551099999999999</v>
      </c>
      <c r="H880" s="21">
        <v>0.63736899999999996</v>
      </c>
    </row>
    <row r="881" spans="1:8" x14ac:dyDescent="0.15">
      <c r="A881" s="21">
        <v>1.7167970000000001E-2</v>
      </c>
      <c r="B881" s="21">
        <f t="shared" si="26"/>
        <v>0.55891930000000001</v>
      </c>
      <c r="D881">
        <f t="shared" si="27"/>
        <v>224.90911949685534</v>
      </c>
      <c r="G881" s="21">
        <v>-0.71521100000000004</v>
      </c>
      <c r="H881" s="21">
        <v>0.55891930000000001</v>
      </c>
    </row>
    <row r="882" spans="1:8" x14ac:dyDescent="0.15">
      <c r="A882" s="21">
        <v>1.7187500000000001E-2</v>
      </c>
      <c r="B882" s="21">
        <f t="shared" si="26"/>
        <v>0.4626845</v>
      </c>
      <c r="D882">
        <f t="shared" si="27"/>
        <v>186.21968553459118</v>
      </c>
      <c r="G882" s="21">
        <v>-0.5921786</v>
      </c>
      <c r="H882" s="21">
        <v>0.4626845</v>
      </c>
    </row>
    <row r="883" spans="1:8" x14ac:dyDescent="0.15">
      <c r="A883" s="21">
        <v>1.7207030000000002E-2</v>
      </c>
      <c r="B883" s="21">
        <f t="shared" si="26"/>
        <v>0.35207080000000002</v>
      </c>
      <c r="D883">
        <f t="shared" si="27"/>
        <v>141.81286163522012</v>
      </c>
      <c r="G883" s="21">
        <v>-0.4509649</v>
      </c>
      <c r="H883" s="21">
        <v>0.35207080000000002</v>
      </c>
    </row>
    <row r="884" spans="1:8" x14ac:dyDescent="0.15">
      <c r="A884" s="21">
        <v>1.7226559999999998E-2</v>
      </c>
      <c r="B884" s="21">
        <f t="shared" si="26"/>
        <v>0.2259698</v>
      </c>
      <c r="D884">
        <f t="shared" si="27"/>
        <v>91.081069182389939</v>
      </c>
      <c r="G884" s="21">
        <v>-0.2896378</v>
      </c>
      <c r="H884" s="21">
        <v>0.2259698</v>
      </c>
    </row>
    <row r="885" spans="1:8" x14ac:dyDescent="0.15">
      <c r="A885" s="21">
        <v>1.7246089999999999E-2</v>
      </c>
      <c r="B885" s="21">
        <f t="shared" si="26"/>
        <v>9.1239769999999998E-2</v>
      </c>
      <c r="D885">
        <f t="shared" si="27"/>
        <v>37.289339622641506</v>
      </c>
      <c r="G885" s="21">
        <v>-0.11858009999999999</v>
      </c>
      <c r="H885" s="21">
        <v>9.1239769999999998E-2</v>
      </c>
    </row>
    <row r="886" spans="1:8" x14ac:dyDescent="0.15">
      <c r="A886" s="21">
        <v>1.7265619999999999E-2</v>
      </c>
      <c r="B886" s="21">
        <f t="shared" si="26"/>
        <v>-4.4816229999999999E-2</v>
      </c>
      <c r="D886">
        <f t="shared" si="27"/>
        <v>-16.952446540880501</v>
      </c>
      <c r="G886" s="21">
        <v>5.3908780000000003E-2</v>
      </c>
      <c r="H886" s="21">
        <v>-4.4816229999999999E-2</v>
      </c>
    </row>
    <row r="887" spans="1:8" x14ac:dyDescent="0.15">
      <c r="A887" s="21">
        <v>1.7285160000000001E-2</v>
      </c>
      <c r="B887" s="21">
        <f t="shared" si="26"/>
        <v>-0.17846490000000001</v>
      </c>
      <c r="D887">
        <f t="shared" si="27"/>
        <v>-70.516320754716972</v>
      </c>
      <c r="G887" s="21">
        <v>0.22424189999999999</v>
      </c>
      <c r="H887" s="21">
        <v>-0.17846490000000001</v>
      </c>
    </row>
    <row r="888" spans="1:8" x14ac:dyDescent="0.15">
      <c r="A888" s="21">
        <v>1.7304690000000001E-2</v>
      </c>
      <c r="B888" s="21">
        <f t="shared" si="26"/>
        <v>-0.30368319999999999</v>
      </c>
      <c r="D888">
        <f t="shared" si="27"/>
        <v>-120.62707547169809</v>
      </c>
      <c r="G888" s="21">
        <v>0.38359409999999999</v>
      </c>
      <c r="H888" s="21">
        <v>-0.30368319999999999</v>
      </c>
    </row>
    <row r="889" spans="1:8" x14ac:dyDescent="0.15">
      <c r="A889" s="21">
        <v>1.7324220000000001E-2</v>
      </c>
      <c r="B889" s="21">
        <f t="shared" si="26"/>
        <v>-0.41904590000000003</v>
      </c>
      <c r="D889">
        <f t="shared" si="27"/>
        <v>-166.81893081761004</v>
      </c>
      <c r="G889" s="21">
        <v>0.53048419999999996</v>
      </c>
      <c r="H889" s="21">
        <v>-0.41904590000000003</v>
      </c>
    </row>
    <row r="890" spans="1:8" x14ac:dyDescent="0.15">
      <c r="A890" s="21">
        <v>1.7343750000000002E-2</v>
      </c>
      <c r="B890" s="21">
        <f t="shared" si="26"/>
        <v>-0.5226537</v>
      </c>
      <c r="D890">
        <f t="shared" si="27"/>
        <v>-208.27100628930819</v>
      </c>
      <c r="G890" s="21">
        <v>0.66230180000000005</v>
      </c>
      <c r="H890" s="21">
        <v>-0.5226537</v>
      </c>
    </row>
    <row r="891" spans="1:8" x14ac:dyDescent="0.15">
      <c r="A891" s="21">
        <v>1.7363279999999998E-2</v>
      </c>
      <c r="B891" s="21">
        <f t="shared" si="26"/>
        <v>-0.60833130000000002</v>
      </c>
      <c r="D891">
        <f t="shared" si="27"/>
        <v>-242.51751572327044</v>
      </c>
      <c r="G891" s="21">
        <v>0.77120569999999999</v>
      </c>
      <c r="H891" s="21">
        <v>-0.60833130000000002</v>
      </c>
    </row>
    <row r="892" spans="1:8" x14ac:dyDescent="0.15">
      <c r="A892" s="21">
        <v>1.7382809999999999E-2</v>
      </c>
      <c r="B892" s="21">
        <f t="shared" si="26"/>
        <v>-0.67321660000000005</v>
      </c>
      <c r="D892">
        <f t="shared" si="27"/>
        <v>-268.68644654088052</v>
      </c>
      <c r="G892" s="21">
        <v>0.85442289999999999</v>
      </c>
      <c r="H892" s="21">
        <v>-0.67321660000000005</v>
      </c>
    </row>
    <row r="893" spans="1:8" x14ac:dyDescent="0.15">
      <c r="A893" s="21">
        <v>1.7402339999999999E-2</v>
      </c>
      <c r="B893" s="21">
        <f t="shared" si="26"/>
        <v>-0.71516170000000001</v>
      </c>
      <c r="D893">
        <f t="shared" si="27"/>
        <v>-285.74314465408804</v>
      </c>
      <c r="G893" s="21">
        <v>0.9086632</v>
      </c>
      <c r="H893" s="21">
        <v>-0.71516170000000001</v>
      </c>
    </row>
    <row r="894" spans="1:8" x14ac:dyDescent="0.15">
      <c r="A894" s="21">
        <v>1.7421869999999999E-2</v>
      </c>
      <c r="B894" s="21">
        <f t="shared" si="26"/>
        <v>-0.73310229999999998</v>
      </c>
      <c r="D894">
        <f t="shared" si="27"/>
        <v>-293.09503144654087</v>
      </c>
      <c r="G894" s="21">
        <v>0.93204220000000004</v>
      </c>
      <c r="H894" s="21">
        <v>-0.73310229999999998</v>
      </c>
    </row>
    <row r="895" spans="1:8" x14ac:dyDescent="0.15">
      <c r="A895" s="21">
        <v>1.7441410000000001E-2</v>
      </c>
      <c r="B895" s="21">
        <f t="shared" si="26"/>
        <v>-0.72754300000000005</v>
      </c>
      <c r="D895">
        <f t="shared" si="27"/>
        <v>-290.99610062893078</v>
      </c>
      <c r="G895" s="21">
        <v>0.92536759999999996</v>
      </c>
      <c r="H895" s="21">
        <v>-0.72754300000000005</v>
      </c>
    </row>
    <row r="896" spans="1:8" x14ac:dyDescent="0.15">
      <c r="A896" s="21">
        <v>1.7460940000000001E-2</v>
      </c>
      <c r="B896" s="21">
        <f t="shared" si="26"/>
        <v>-0.69739689999999999</v>
      </c>
      <c r="D896">
        <f t="shared" si="27"/>
        <v>-279.13330188679242</v>
      </c>
      <c r="G896" s="21">
        <v>0.88764390000000004</v>
      </c>
      <c r="H896" s="21">
        <v>-0.69739689999999999</v>
      </c>
    </row>
    <row r="897" spans="1:8" x14ac:dyDescent="0.15">
      <c r="A897" s="21">
        <v>1.7480470000000001E-2</v>
      </c>
      <c r="B897" s="21">
        <f t="shared" si="26"/>
        <v>-0.64346150000000002</v>
      </c>
      <c r="D897">
        <f t="shared" si="27"/>
        <v>-257.83632075471695</v>
      </c>
      <c r="G897" s="21">
        <v>0.81991950000000002</v>
      </c>
      <c r="H897" s="21">
        <v>-0.64346150000000002</v>
      </c>
    </row>
    <row r="898" spans="1:8" x14ac:dyDescent="0.15">
      <c r="A898" s="21">
        <v>1.7500000000000002E-2</v>
      </c>
      <c r="B898" s="21">
        <f t="shared" ref="B898:B961" si="28">H898</f>
        <v>-0.56733149999999999</v>
      </c>
      <c r="D898">
        <f t="shared" ref="D898:D961" si="29">G898*-1000/3.18</f>
        <v>-227.53635220125787</v>
      </c>
      <c r="G898" s="21">
        <v>0.72356560000000003</v>
      </c>
      <c r="H898" s="21">
        <v>-0.56733149999999999</v>
      </c>
    </row>
    <row r="899" spans="1:8" x14ac:dyDescent="0.15">
      <c r="A899" s="21">
        <v>1.7519529999999998E-2</v>
      </c>
      <c r="B899" s="21">
        <f t="shared" si="28"/>
        <v>-0.47087790000000002</v>
      </c>
      <c r="D899">
        <f t="shared" si="29"/>
        <v>-188.96437106918239</v>
      </c>
      <c r="G899" s="21">
        <v>0.60090670000000002</v>
      </c>
      <c r="H899" s="21">
        <v>-0.47087790000000002</v>
      </c>
    </row>
    <row r="900" spans="1:8" x14ac:dyDescent="0.15">
      <c r="A900" s="21">
        <v>1.7539059999999999E-2</v>
      </c>
      <c r="B900" s="21">
        <f t="shared" si="28"/>
        <v>-0.35811870000000001</v>
      </c>
      <c r="D900">
        <f t="shared" si="29"/>
        <v>-143.90877358490565</v>
      </c>
      <c r="G900" s="21">
        <v>0.45762989999999998</v>
      </c>
      <c r="H900" s="21">
        <v>-0.35811870000000001</v>
      </c>
    </row>
    <row r="901" spans="1:8" x14ac:dyDescent="0.15">
      <c r="A901" s="21">
        <v>1.7558589999999999E-2</v>
      </c>
      <c r="B901" s="21">
        <f t="shared" si="28"/>
        <v>-0.2324164</v>
      </c>
      <c r="D901">
        <f t="shared" si="29"/>
        <v>-93.662106918238976</v>
      </c>
      <c r="G901" s="21">
        <v>0.29784549999999999</v>
      </c>
      <c r="H901" s="21">
        <v>-0.2324164</v>
      </c>
    </row>
    <row r="902" spans="1:8" x14ac:dyDescent="0.15">
      <c r="A902" s="21">
        <v>1.7578119999999999E-2</v>
      </c>
      <c r="B902" s="21">
        <f t="shared" si="28"/>
        <v>-9.9237389999999995E-2</v>
      </c>
      <c r="D902">
        <f t="shared" si="29"/>
        <v>-40.399968553459118</v>
      </c>
      <c r="G902" s="21">
        <v>0.1284719</v>
      </c>
      <c r="H902" s="21">
        <v>-9.9237389999999995E-2</v>
      </c>
    </row>
    <row r="903" spans="1:8" x14ac:dyDescent="0.15">
      <c r="A903" s="21">
        <v>1.7597660000000001E-2</v>
      </c>
      <c r="B903" s="21">
        <f t="shared" si="28"/>
        <v>3.5700160000000002E-2</v>
      </c>
      <c r="D903">
        <f t="shared" si="29"/>
        <v>13.677213836477986</v>
      </c>
      <c r="G903" s="21">
        <v>-4.3493539999999997E-2</v>
      </c>
      <c r="H903" s="21">
        <v>3.5700160000000002E-2</v>
      </c>
    </row>
    <row r="904" spans="1:8" x14ac:dyDescent="0.15">
      <c r="A904" s="21">
        <v>1.7617190000000001E-2</v>
      </c>
      <c r="B904" s="21">
        <f t="shared" si="28"/>
        <v>0.1698829</v>
      </c>
      <c r="D904">
        <f t="shared" si="29"/>
        <v>67.654056603773583</v>
      </c>
      <c r="G904" s="21">
        <v>-0.2151399</v>
      </c>
      <c r="H904" s="21">
        <v>0.1698829</v>
      </c>
    </row>
    <row r="905" spans="1:8" x14ac:dyDescent="0.15">
      <c r="A905" s="21">
        <v>1.7636720000000002E-2</v>
      </c>
      <c r="B905" s="21">
        <f t="shared" si="28"/>
        <v>0.29742540000000001</v>
      </c>
      <c r="D905">
        <f t="shared" si="29"/>
        <v>118.76100628930816</v>
      </c>
      <c r="G905" s="21">
        <v>-0.37766</v>
      </c>
      <c r="H905" s="21">
        <v>0.29742540000000001</v>
      </c>
    </row>
    <row r="906" spans="1:8" x14ac:dyDescent="0.15">
      <c r="A906" s="21">
        <v>1.7656249999999998E-2</v>
      </c>
      <c r="B906" s="21">
        <f t="shared" si="28"/>
        <v>0.41374929999999999</v>
      </c>
      <c r="D906">
        <f t="shared" si="29"/>
        <v>165.48996855345908</v>
      </c>
      <c r="G906" s="21">
        <v>-0.52625809999999995</v>
      </c>
      <c r="H906" s="21">
        <v>0.41374929999999999</v>
      </c>
    </row>
    <row r="907" spans="1:8" x14ac:dyDescent="0.15">
      <c r="A907" s="21">
        <v>1.7675779999999999E-2</v>
      </c>
      <c r="B907" s="21">
        <f t="shared" si="28"/>
        <v>0.51745399999999997</v>
      </c>
      <c r="D907">
        <f t="shared" si="29"/>
        <v>207.48040880503143</v>
      </c>
      <c r="G907" s="21">
        <v>-0.65978769999999998</v>
      </c>
      <c r="H907" s="21">
        <v>0.51745399999999997</v>
      </c>
    </row>
    <row r="908" spans="1:8" x14ac:dyDescent="0.15">
      <c r="A908" s="21">
        <v>1.7695309999999999E-2</v>
      </c>
      <c r="B908" s="21">
        <f t="shared" si="28"/>
        <v>0.60280719999999999</v>
      </c>
      <c r="D908">
        <f t="shared" si="29"/>
        <v>241.86226415094336</v>
      </c>
      <c r="G908" s="21">
        <v>-0.76912199999999997</v>
      </c>
      <c r="H908" s="21">
        <v>0.60280719999999999</v>
      </c>
    </row>
    <row r="909" spans="1:8" x14ac:dyDescent="0.15">
      <c r="A909" s="21">
        <v>1.7714839999999999E-2</v>
      </c>
      <c r="B909" s="21">
        <f t="shared" si="28"/>
        <v>0.66711739999999997</v>
      </c>
      <c r="D909">
        <f t="shared" si="29"/>
        <v>267.85977987421381</v>
      </c>
      <c r="G909" s="21">
        <v>-0.8517941</v>
      </c>
      <c r="H909" s="21">
        <v>0.66711739999999997</v>
      </c>
    </row>
    <row r="910" spans="1:8" x14ac:dyDescent="0.15">
      <c r="A910" s="21">
        <v>1.7734380000000001E-2</v>
      </c>
      <c r="B910" s="21">
        <f t="shared" si="28"/>
        <v>0.71108590000000005</v>
      </c>
      <c r="D910">
        <f t="shared" si="29"/>
        <v>285.781320754717</v>
      </c>
      <c r="G910" s="21">
        <v>-0.90878460000000005</v>
      </c>
      <c r="H910" s="21">
        <v>0.71108590000000005</v>
      </c>
    </row>
    <row r="911" spans="1:8" x14ac:dyDescent="0.15">
      <c r="A911" s="21">
        <v>1.7753910000000001E-2</v>
      </c>
      <c r="B911" s="21">
        <f t="shared" si="28"/>
        <v>0.73210169999999997</v>
      </c>
      <c r="D911">
        <f t="shared" si="29"/>
        <v>294.32720125786165</v>
      </c>
      <c r="G911" s="21">
        <v>-0.93596049999999997</v>
      </c>
      <c r="H911" s="21">
        <v>0.73210169999999997</v>
      </c>
    </row>
    <row r="912" spans="1:8" x14ac:dyDescent="0.15">
      <c r="A912" s="21">
        <v>1.7773440000000001E-2</v>
      </c>
      <c r="B912" s="21">
        <f t="shared" si="28"/>
        <v>0.72853389999999996</v>
      </c>
      <c r="D912">
        <f t="shared" si="29"/>
        <v>293.00591194968553</v>
      </c>
      <c r="G912" s="21">
        <v>-0.9317588</v>
      </c>
      <c r="H912" s="21">
        <v>0.72853389999999996</v>
      </c>
    </row>
    <row r="913" spans="1:8" x14ac:dyDescent="0.15">
      <c r="A913" s="21">
        <v>1.7792970000000002E-2</v>
      </c>
      <c r="B913" s="21">
        <f t="shared" si="28"/>
        <v>0.69977400000000001</v>
      </c>
      <c r="D913">
        <f t="shared" si="29"/>
        <v>281.38911949685536</v>
      </c>
      <c r="G913" s="21">
        <v>-0.89481739999999999</v>
      </c>
      <c r="H913" s="21">
        <v>0.69977400000000001</v>
      </c>
    </row>
    <row r="914" spans="1:8" x14ac:dyDescent="0.15">
      <c r="A914" s="21">
        <v>1.7812499999999998E-2</v>
      </c>
      <c r="B914" s="21">
        <f t="shared" si="28"/>
        <v>0.64614579999999999</v>
      </c>
      <c r="D914">
        <f t="shared" si="29"/>
        <v>259.8339937106918</v>
      </c>
      <c r="G914" s="21">
        <v>-0.82627209999999995</v>
      </c>
      <c r="H914" s="21">
        <v>0.64614579999999999</v>
      </c>
    </row>
    <row r="915" spans="1:8" x14ac:dyDescent="0.15">
      <c r="A915" s="21">
        <v>1.7832029999999999E-2</v>
      </c>
      <c r="B915" s="21">
        <f t="shared" si="28"/>
        <v>0.57123760000000001</v>
      </c>
      <c r="D915">
        <f t="shared" si="29"/>
        <v>229.88886792452828</v>
      </c>
      <c r="G915" s="21">
        <v>-0.73104659999999999</v>
      </c>
      <c r="H915" s="21">
        <v>0.57123760000000001</v>
      </c>
    </row>
    <row r="916" spans="1:8" x14ac:dyDescent="0.15">
      <c r="A916" s="21">
        <v>1.7851559999999999E-2</v>
      </c>
      <c r="B916" s="21">
        <f t="shared" si="28"/>
        <v>0.47779450000000001</v>
      </c>
      <c r="D916">
        <f t="shared" si="29"/>
        <v>192.23940251572324</v>
      </c>
      <c r="G916" s="21">
        <v>-0.61132129999999996</v>
      </c>
      <c r="H916" s="21">
        <v>0.47779450000000001</v>
      </c>
    </row>
    <row r="917" spans="1:8" x14ac:dyDescent="0.15">
      <c r="A917" s="21">
        <v>1.7871089999999999E-2</v>
      </c>
      <c r="B917" s="21">
        <f t="shared" si="28"/>
        <v>0.36768529999999999</v>
      </c>
      <c r="D917">
        <f t="shared" si="29"/>
        <v>147.92823899371066</v>
      </c>
      <c r="G917" s="21">
        <v>-0.47041179999999999</v>
      </c>
      <c r="H917" s="21">
        <v>0.36768529999999999</v>
      </c>
    </row>
    <row r="918" spans="1:8" x14ac:dyDescent="0.15">
      <c r="A918" s="21">
        <v>1.7890630000000001E-2</v>
      </c>
      <c r="B918" s="21">
        <f t="shared" si="28"/>
        <v>0.24420939999999999</v>
      </c>
      <c r="D918">
        <f t="shared" si="29"/>
        <v>98.44522012578615</v>
      </c>
      <c r="G918" s="21">
        <v>-0.3130558</v>
      </c>
      <c r="H918" s="21">
        <v>0.24420939999999999</v>
      </c>
    </row>
    <row r="919" spans="1:8" x14ac:dyDescent="0.15">
      <c r="A919" s="21">
        <v>1.7910160000000001E-2</v>
      </c>
      <c r="B919" s="21">
        <f t="shared" si="28"/>
        <v>0.11055280000000001</v>
      </c>
      <c r="D919">
        <f t="shared" si="29"/>
        <v>44.889811320754717</v>
      </c>
      <c r="G919" s="21">
        <v>-0.1427496</v>
      </c>
      <c r="H919" s="21">
        <v>0.11055280000000001</v>
      </c>
    </row>
    <row r="920" spans="1:8" x14ac:dyDescent="0.15">
      <c r="A920" s="21">
        <v>1.7929690000000002E-2</v>
      </c>
      <c r="B920" s="21">
        <f t="shared" si="28"/>
        <v>-2.6681139999999999E-2</v>
      </c>
      <c r="D920">
        <f t="shared" si="29"/>
        <v>-9.8078364779874203</v>
      </c>
      <c r="G920" s="21">
        <v>3.1188919999999998E-2</v>
      </c>
      <c r="H920" s="21">
        <v>-2.6681139999999999E-2</v>
      </c>
    </row>
    <row r="921" spans="1:8" x14ac:dyDescent="0.15">
      <c r="A921" s="21">
        <v>1.7949219999999998E-2</v>
      </c>
      <c r="B921" s="21">
        <f t="shared" si="28"/>
        <v>-0.1599516</v>
      </c>
      <c r="D921">
        <f t="shared" si="29"/>
        <v>-62.982012578616349</v>
      </c>
      <c r="G921" s="21">
        <v>0.20028280000000001</v>
      </c>
      <c r="H921" s="21">
        <v>-0.1599516</v>
      </c>
    </row>
    <row r="922" spans="1:8" x14ac:dyDescent="0.15">
      <c r="A922" s="21">
        <v>1.7968749999999999E-2</v>
      </c>
      <c r="B922" s="21">
        <f t="shared" si="28"/>
        <v>-0.2869138</v>
      </c>
      <c r="D922">
        <f t="shared" si="29"/>
        <v>-113.92688679245282</v>
      </c>
      <c r="G922" s="21">
        <v>0.36228749999999998</v>
      </c>
      <c r="H922" s="21">
        <v>-0.2869138</v>
      </c>
    </row>
    <row r="923" spans="1:8" x14ac:dyDescent="0.15">
      <c r="A923" s="21">
        <v>1.7988279999999999E-2</v>
      </c>
      <c r="B923" s="21">
        <f t="shared" si="28"/>
        <v>-0.40406769999999997</v>
      </c>
      <c r="D923">
        <f t="shared" si="29"/>
        <v>-160.79990566037733</v>
      </c>
      <c r="G923" s="21">
        <v>0.51134369999999996</v>
      </c>
      <c r="H923" s="21">
        <v>-0.40406769999999997</v>
      </c>
    </row>
    <row r="924" spans="1:8" x14ac:dyDescent="0.15">
      <c r="A924" s="21">
        <v>1.8007809999999999E-2</v>
      </c>
      <c r="B924" s="21">
        <f t="shared" si="28"/>
        <v>-0.50822679999999998</v>
      </c>
      <c r="D924">
        <f t="shared" si="29"/>
        <v>-202.51031446540878</v>
      </c>
      <c r="G924" s="21">
        <v>0.64398279999999997</v>
      </c>
      <c r="H924" s="21">
        <v>-0.50822679999999998</v>
      </c>
    </row>
    <row r="925" spans="1:8" x14ac:dyDescent="0.15">
      <c r="A925" s="21">
        <v>1.8027339999999999E-2</v>
      </c>
      <c r="B925" s="21">
        <f t="shared" si="28"/>
        <v>-0.59734710000000002</v>
      </c>
      <c r="D925">
        <f t="shared" si="29"/>
        <v>-238.17949685534589</v>
      </c>
      <c r="G925" s="21">
        <v>0.75741080000000005</v>
      </c>
      <c r="H925" s="21">
        <v>-0.59734710000000002</v>
      </c>
    </row>
    <row r="926" spans="1:8" x14ac:dyDescent="0.15">
      <c r="A926" s="21">
        <v>1.8046880000000001E-2</v>
      </c>
      <c r="B926" s="21">
        <f t="shared" si="28"/>
        <v>-0.66509079999999998</v>
      </c>
      <c r="D926">
        <f t="shared" si="29"/>
        <v>-265.32496855345909</v>
      </c>
      <c r="G926" s="21">
        <v>0.84373339999999997</v>
      </c>
      <c r="H926" s="21">
        <v>-0.66509079999999998</v>
      </c>
    </row>
    <row r="927" spans="1:8" x14ac:dyDescent="0.15">
      <c r="A927" s="21">
        <v>1.8066410000000001E-2</v>
      </c>
      <c r="B927" s="21">
        <f t="shared" si="28"/>
        <v>-0.70989230000000003</v>
      </c>
      <c r="D927">
        <f t="shared" si="29"/>
        <v>-283.60254716981132</v>
      </c>
      <c r="G927" s="21">
        <v>0.90185610000000005</v>
      </c>
      <c r="H927" s="21">
        <v>-0.70989230000000003</v>
      </c>
    </row>
    <row r="928" spans="1:8" x14ac:dyDescent="0.15">
      <c r="A928" s="21">
        <v>1.8085939999999998E-2</v>
      </c>
      <c r="B928" s="21">
        <f t="shared" si="28"/>
        <v>-0.73201269999999996</v>
      </c>
      <c r="D928">
        <f t="shared" si="29"/>
        <v>-292.59657232704404</v>
      </c>
      <c r="G928" s="21">
        <v>0.93045710000000004</v>
      </c>
      <c r="H928" s="21">
        <v>-0.73201269999999996</v>
      </c>
    </row>
    <row r="929" spans="1:8" x14ac:dyDescent="0.15">
      <c r="A929" s="21">
        <v>1.8105469999999999E-2</v>
      </c>
      <c r="B929" s="21">
        <f t="shared" si="28"/>
        <v>-0.7283193</v>
      </c>
      <c r="D929">
        <f t="shared" si="29"/>
        <v>-291.18845911949683</v>
      </c>
      <c r="G929" s="21">
        <v>0.92597929999999995</v>
      </c>
      <c r="H929" s="21">
        <v>-0.7283193</v>
      </c>
    </row>
    <row r="930" spans="1:8" x14ac:dyDescent="0.15">
      <c r="A930" s="21">
        <v>1.8124999999999999E-2</v>
      </c>
      <c r="B930" s="21">
        <f t="shared" si="28"/>
        <v>-0.70121940000000005</v>
      </c>
      <c r="D930">
        <f t="shared" si="29"/>
        <v>-280.72191823899368</v>
      </c>
      <c r="G930" s="21">
        <v>0.89269569999999998</v>
      </c>
      <c r="H930" s="21">
        <v>-0.70121940000000005</v>
      </c>
    </row>
    <row r="931" spans="1:8" x14ac:dyDescent="0.15">
      <c r="A931" s="21">
        <v>1.8144529999999999E-2</v>
      </c>
      <c r="B931" s="21">
        <f t="shared" si="28"/>
        <v>-0.65141680000000002</v>
      </c>
      <c r="D931">
        <f t="shared" si="29"/>
        <v>-261.08405660377355</v>
      </c>
      <c r="G931" s="21">
        <v>0.83024730000000002</v>
      </c>
      <c r="H931" s="21">
        <v>-0.65141680000000002</v>
      </c>
    </row>
    <row r="932" spans="1:8" x14ac:dyDescent="0.15">
      <c r="A932" s="21">
        <v>1.8164059999999999E-2</v>
      </c>
      <c r="B932" s="21">
        <f t="shared" si="28"/>
        <v>-0.57737050000000001</v>
      </c>
      <c r="D932">
        <f t="shared" si="29"/>
        <v>-231.54238993710692</v>
      </c>
      <c r="G932" s="21">
        <v>0.73630479999999998</v>
      </c>
      <c r="H932" s="21">
        <v>-0.57737050000000001</v>
      </c>
    </row>
    <row r="933" spans="1:8" x14ac:dyDescent="0.15">
      <c r="A933" s="21">
        <v>1.8183589999999999E-2</v>
      </c>
      <c r="B933" s="21">
        <f t="shared" si="28"/>
        <v>-0.48392859999999999</v>
      </c>
      <c r="D933">
        <f t="shared" si="29"/>
        <v>-194.18352201257861</v>
      </c>
      <c r="G933" s="21">
        <v>0.61750360000000004</v>
      </c>
      <c r="H933" s="21">
        <v>-0.48392859999999999</v>
      </c>
    </row>
    <row r="934" spans="1:8" x14ac:dyDescent="0.15">
      <c r="A934" s="21">
        <v>1.8203130000000001E-2</v>
      </c>
      <c r="B934" s="21">
        <f t="shared" si="28"/>
        <v>-0.37349939999999998</v>
      </c>
      <c r="D934">
        <f t="shared" si="29"/>
        <v>-150.01968553459119</v>
      </c>
      <c r="G934" s="21">
        <v>0.4770626</v>
      </c>
      <c r="H934" s="21">
        <v>-0.37349939999999998</v>
      </c>
    </row>
    <row r="935" spans="1:8" x14ac:dyDescent="0.15">
      <c r="A935" s="21">
        <v>1.8222660000000002E-2</v>
      </c>
      <c r="B935" s="21">
        <f t="shared" si="28"/>
        <v>-0.2487103</v>
      </c>
      <c r="D935">
        <f t="shared" si="29"/>
        <v>-100.1695283018868</v>
      </c>
      <c r="G935" s="21">
        <v>0.31853910000000002</v>
      </c>
      <c r="H935" s="21">
        <v>-0.2487103</v>
      </c>
    </row>
    <row r="936" spans="1:8" x14ac:dyDescent="0.15">
      <c r="A936" s="21">
        <v>1.8242189999999998E-2</v>
      </c>
      <c r="B936" s="21">
        <f t="shared" si="28"/>
        <v>-0.11689339999999999</v>
      </c>
      <c r="D936">
        <f t="shared" si="29"/>
        <v>-47.485283018867918</v>
      </c>
      <c r="G936" s="21">
        <v>0.1510032</v>
      </c>
      <c r="H936" s="21">
        <v>-0.11689339999999999</v>
      </c>
    </row>
    <row r="937" spans="1:8" x14ac:dyDescent="0.15">
      <c r="A937" s="21">
        <v>1.8261719999999999E-2</v>
      </c>
      <c r="B937" s="21">
        <f t="shared" si="28"/>
        <v>1.8800279999999999E-2</v>
      </c>
      <c r="D937">
        <f t="shared" si="29"/>
        <v>6.9475377358490551</v>
      </c>
      <c r="G937" s="21">
        <v>-2.2093169999999999E-2</v>
      </c>
      <c r="H937" s="21">
        <v>1.8800279999999999E-2</v>
      </c>
    </row>
    <row r="938" spans="1:8" x14ac:dyDescent="0.15">
      <c r="A938" s="21">
        <v>1.8281249999999999E-2</v>
      </c>
      <c r="B938" s="21">
        <f t="shared" si="28"/>
        <v>0.1535019</v>
      </c>
      <c r="D938">
        <f t="shared" si="29"/>
        <v>61.001855345911942</v>
      </c>
      <c r="G938" s="21">
        <v>-0.19398589999999999</v>
      </c>
      <c r="H938" s="21">
        <v>0.1535019</v>
      </c>
    </row>
    <row r="939" spans="1:8" x14ac:dyDescent="0.15">
      <c r="A939" s="21">
        <v>1.8300779999999999E-2</v>
      </c>
      <c r="B939" s="21">
        <f t="shared" si="28"/>
        <v>0.28106520000000002</v>
      </c>
      <c r="D939">
        <f t="shared" si="29"/>
        <v>112.15591194968553</v>
      </c>
      <c r="G939" s="21">
        <v>-0.35665580000000002</v>
      </c>
      <c r="H939" s="21">
        <v>0.28106520000000002</v>
      </c>
    </row>
    <row r="940" spans="1:8" x14ac:dyDescent="0.15">
      <c r="A940" s="21">
        <v>1.8320309999999999E-2</v>
      </c>
      <c r="B940" s="21">
        <f t="shared" si="28"/>
        <v>0.39987539999999999</v>
      </c>
      <c r="D940">
        <f t="shared" si="29"/>
        <v>159.98018867924526</v>
      </c>
      <c r="G940" s="21">
        <v>-0.50873699999999999</v>
      </c>
      <c r="H940" s="21">
        <v>0.39987539999999999</v>
      </c>
    </row>
    <row r="941" spans="1:8" x14ac:dyDescent="0.15">
      <c r="A941" s="21">
        <v>1.833984E-2</v>
      </c>
      <c r="B941" s="21">
        <f t="shared" si="28"/>
        <v>0.50496350000000001</v>
      </c>
      <c r="D941">
        <f t="shared" si="29"/>
        <v>202.33477987421384</v>
      </c>
      <c r="G941" s="21">
        <v>-0.64342460000000001</v>
      </c>
      <c r="H941" s="21">
        <v>0.50496350000000001</v>
      </c>
    </row>
    <row r="942" spans="1:8" x14ac:dyDescent="0.15">
      <c r="A942" s="21">
        <v>1.8359380000000002E-2</v>
      </c>
      <c r="B942" s="21">
        <f t="shared" si="28"/>
        <v>0.59264890000000003</v>
      </c>
      <c r="D942">
        <f t="shared" si="29"/>
        <v>237.69628930817612</v>
      </c>
      <c r="G942" s="21">
        <v>-0.75587420000000005</v>
      </c>
      <c r="H942" s="21">
        <v>0.59264890000000003</v>
      </c>
    </row>
    <row r="943" spans="1:8" x14ac:dyDescent="0.15">
      <c r="A943" s="21">
        <v>1.8378909999999998E-2</v>
      </c>
      <c r="B943" s="21">
        <f t="shared" si="28"/>
        <v>0.66121240000000003</v>
      </c>
      <c r="D943">
        <f t="shared" si="29"/>
        <v>265.45091194968552</v>
      </c>
      <c r="G943" s="21">
        <v>-0.84413389999999999</v>
      </c>
      <c r="H943" s="21">
        <v>0.66121240000000003</v>
      </c>
    </row>
    <row r="944" spans="1:8" x14ac:dyDescent="0.15">
      <c r="A944" s="21">
        <v>1.8398439999999999E-2</v>
      </c>
      <c r="B944" s="21">
        <f t="shared" si="28"/>
        <v>0.70690580000000003</v>
      </c>
      <c r="D944">
        <f t="shared" si="29"/>
        <v>283.97987421383647</v>
      </c>
      <c r="G944" s="21">
        <v>-0.90305599999999997</v>
      </c>
      <c r="H944" s="21">
        <v>0.70690580000000003</v>
      </c>
    </row>
    <row r="945" spans="1:8" x14ac:dyDescent="0.15">
      <c r="A945" s="21">
        <v>1.8417969999999999E-2</v>
      </c>
      <c r="B945" s="21">
        <f t="shared" si="28"/>
        <v>0.73082970000000003</v>
      </c>
      <c r="D945">
        <f t="shared" si="29"/>
        <v>293.76625786163521</v>
      </c>
      <c r="G945" s="21">
        <v>-0.93417669999999997</v>
      </c>
      <c r="H945" s="21">
        <v>0.73082970000000003</v>
      </c>
    </row>
    <row r="946" spans="1:8" x14ac:dyDescent="0.15">
      <c r="A946" s="21">
        <v>1.8437499999999999E-2</v>
      </c>
      <c r="B946" s="21">
        <f t="shared" si="28"/>
        <v>0.73144640000000005</v>
      </c>
      <c r="D946">
        <f t="shared" si="29"/>
        <v>294.08682389937104</v>
      </c>
      <c r="G946" s="21">
        <v>-0.93519609999999997</v>
      </c>
      <c r="H946" s="21">
        <v>0.73144640000000005</v>
      </c>
    </row>
    <row r="947" spans="1:8" x14ac:dyDescent="0.15">
      <c r="A947" s="21">
        <v>1.8457029999999999E-2</v>
      </c>
      <c r="B947" s="21">
        <f t="shared" si="28"/>
        <v>0.70501360000000002</v>
      </c>
      <c r="D947">
        <f t="shared" si="29"/>
        <v>283.34996855345912</v>
      </c>
      <c r="G947" s="21">
        <v>-0.90105290000000005</v>
      </c>
      <c r="H947" s="21">
        <v>0.70501360000000002</v>
      </c>
    </row>
    <row r="948" spans="1:8" x14ac:dyDescent="0.15">
      <c r="A948" s="21">
        <v>1.847656E-2</v>
      </c>
      <c r="B948" s="21">
        <f t="shared" si="28"/>
        <v>0.65481900000000004</v>
      </c>
      <c r="D948">
        <f t="shared" si="29"/>
        <v>263.26911949685535</v>
      </c>
      <c r="G948" s="21">
        <v>-0.83719580000000005</v>
      </c>
      <c r="H948" s="21">
        <v>0.65481900000000004</v>
      </c>
    </row>
    <row r="949" spans="1:8" x14ac:dyDescent="0.15">
      <c r="A949" s="21">
        <v>1.849609E-2</v>
      </c>
      <c r="B949" s="21">
        <f t="shared" si="28"/>
        <v>0.58274119999999996</v>
      </c>
      <c r="D949">
        <f t="shared" si="29"/>
        <v>234.45836477987419</v>
      </c>
      <c r="G949" s="21">
        <v>-0.74557759999999995</v>
      </c>
      <c r="H949" s="21">
        <v>0.58274119999999996</v>
      </c>
    </row>
    <row r="950" spans="1:8" x14ac:dyDescent="0.15">
      <c r="A950" s="21">
        <v>1.8515630000000002E-2</v>
      </c>
      <c r="B950" s="21">
        <f t="shared" si="28"/>
        <v>0.49068220000000001</v>
      </c>
      <c r="D950">
        <f t="shared" si="29"/>
        <v>197.387106918239</v>
      </c>
      <c r="G950" s="21">
        <v>-0.627691</v>
      </c>
      <c r="H950" s="21">
        <v>0.49068220000000001</v>
      </c>
    </row>
    <row r="951" spans="1:8" x14ac:dyDescent="0.15">
      <c r="A951" s="21">
        <v>1.8535159999999998E-2</v>
      </c>
      <c r="B951" s="21">
        <f t="shared" si="28"/>
        <v>0.38339099999999998</v>
      </c>
      <c r="D951">
        <f t="shared" si="29"/>
        <v>154.31443396226413</v>
      </c>
      <c r="G951" s="21">
        <v>-0.49071989999999999</v>
      </c>
      <c r="H951" s="21">
        <v>0.38339099999999998</v>
      </c>
    </row>
    <row r="952" spans="1:8" x14ac:dyDescent="0.15">
      <c r="A952" s="21">
        <v>1.8554689999999999E-2</v>
      </c>
      <c r="B952" s="21">
        <f t="shared" si="28"/>
        <v>0.26124190000000003</v>
      </c>
      <c r="D952">
        <f t="shared" si="29"/>
        <v>105.25795597484276</v>
      </c>
      <c r="G952" s="21">
        <v>-0.33472030000000003</v>
      </c>
      <c r="H952" s="21">
        <v>0.26124190000000003</v>
      </c>
    </row>
    <row r="953" spans="1:8" x14ac:dyDescent="0.15">
      <c r="A953" s="21">
        <v>1.8574219999999999E-2</v>
      </c>
      <c r="B953" s="21">
        <f t="shared" si="28"/>
        <v>0.1281592</v>
      </c>
      <c r="D953">
        <f t="shared" si="29"/>
        <v>51.935283018867921</v>
      </c>
      <c r="G953" s="21">
        <v>-0.1651542</v>
      </c>
      <c r="H953" s="21">
        <v>0.1281592</v>
      </c>
    </row>
    <row r="954" spans="1:8" x14ac:dyDescent="0.15">
      <c r="A954" s="21">
        <v>1.8593749999999999E-2</v>
      </c>
      <c r="B954" s="21">
        <f t="shared" si="28"/>
        <v>-8.0581980000000008E-3</v>
      </c>
      <c r="D954">
        <f t="shared" si="29"/>
        <v>-2.3438198113207545</v>
      </c>
      <c r="G954" s="21">
        <v>7.4533469999999999E-3</v>
      </c>
      <c r="H954" s="21">
        <v>-8.0581980000000008E-3</v>
      </c>
    </row>
    <row r="955" spans="1:8" x14ac:dyDescent="0.15">
      <c r="A955" s="21">
        <v>1.8613279999999999E-2</v>
      </c>
      <c r="B955" s="21">
        <f t="shared" si="28"/>
        <v>-0.14308009999999999</v>
      </c>
      <c r="D955">
        <f t="shared" si="29"/>
        <v>-56.354968553459116</v>
      </c>
      <c r="G955" s="21">
        <v>0.1792088</v>
      </c>
      <c r="H955" s="21">
        <v>-0.14308009999999999</v>
      </c>
    </row>
    <row r="956" spans="1:8" x14ac:dyDescent="0.15">
      <c r="A956" s="21">
        <v>1.863281E-2</v>
      </c>
      <c r="B956" s="21">
        <f t="shared" si="28"/>
        <v>-0.27081569999999999</v>
      </c>
      <c r="D956">
        <f t="shared" si="29"/>
        <v>-107.46358490566037</v>
      </c>
      <c r="G956" s="21">
        <v>0.34173419999999999</v>
      </c>
      <c r="H956" s="21">
        <v>-0.27081569999999999</v>
      </c>
    </row>
    <row r="957" spans="1:8" x14ac:dyDescent="0.15">
      <c r="A957" s="21">
        <v>1.865234E-2</v>
      </c>
      <c r="B957" s="21">
        <f t="shared" si="28"/>
        <v>-0.38861250000000003</v>
      </c>
      <c r="D957">
        <f t="shared" si="29"/>
        <v>-154.65433962264149</v>
      </c>
      <c r="G957" s="21">
        <v>0.49180079999999998</v>
      </c>
      <c r="H957" s="21">
        <v>-0.38861250000000003</v>
      </c>
    </row>
    <row r="958" spans="1:8" x14ac:dyDescent="0.15">
      <c r="A958" s="21">
        <v>1.8671879999999998E-2</v>
      </c>
      <c r="B958" s="21">
        <f t="shared" si="28"/>
        <v>-0.49609779999999998</v>
      </c>
      <c r="D958">
        <f t="shared" si="29"/>
        <v>-197.82858490566039</v>
      </c>
      <c r="G958" s="21">
        <v>0.62909490000000001</v>
      </c>
      <c r="H958" s="21">
        <v>-0.49609779999999998</v>
      </c>
    </row>
    <row r="959" spans="1:8" x14ac:dyDescent="0.15">
      <c r="A959" s="21">
        <v>1.8691409999999999E-2</v>
      </c>
      <c r="B959" s="21">
        <f t="shared" si="28"/>
        <v>-0.58667800000000003</v>
      </c>
      <c r="D959">
        <f t="shared" si="29"/>
        <v>-233.93767295597482</v>
      </c>
      <c r="G959" s="21">
        <v>0.74392179999999997</v>
      </c>
      <c r="H959" s="21">
        <v>-0.58667800000000003</v>
      </c>
    </row>
    <row r="960" spans="1:8" x14ac:dyDescent="0.15">
      <c r="A960" s="21">
        <v>1.8710939999999999E-2</v>
      </c>
      <c r="B960" s="21">
        <f t="shared" si="28"/>
        <v>-0.65690470000000001</v>
      </c>
      <c r="D960">
        <f t="shared" si="29"/>
        <v>-262.1151257861635</v>
      </c>
      <c r="G960" s="21">
        <v>0.83352610000000005</v>
      </c>
      <c r="H960" s="21">
        <v>-0.65690470000000001</v>
      </c>
    </row>
    <row r="961" spans="1:8" x14ac:dyDescent="0.15">
      <c r="A961" s="21">
        <v>1.8730469999999999E-2</v>
      </c>
      <c r="B961" s="21">
        <f t="shared" si="28"/>
        <v>-0.70556620000000003</v>
      </c>
      <c r="D961">
        <f t="shared" si="29"/>
        <v>-281.93122641509433</v>
      </c>
      <c r="G961" s="21">
        <v>0.89654129999999999</v>
      </c>
      <c r="H961" s="21">
        <v>-0.70556620000000003</v>
      </c>
    </row>
    <row r="962" spans="1:8" x14ac:dyDescent="0.15">
      <c r="A962" s="21">
        <v>1.8749999999999999E-2</v>
      </c>
      <c r="B962" s="21">
        <f t="shared" ref="B962:B1025" si="30">H962</f>
        <v>-0.73001079999999996</v>
      </c>
      <c r="D962">
        <f t="shared" ref="D962:D1025" si="31">G962*-1000/3.18</f>
        <v>-291.87896226415091</v>
      </c>
      <c r="G962" s="21">
        <v>0.92817510000000003</v>
      </c>
      <c r="H962" s="21">
        <v>-0.73001079999999996</v>
      </c>
    </row>
    <row r="963" spans="1:8" x14ac:dyDescent="0.15">
      <c r="A963" s="21">
        <v>1.876953E-2</v>
      </c>
      <c r="B963" s="21">
        <f t="shared" si="30"/>
        <v>-0.73078469999999995</v>
      </c>
      <c r="D963">
        <f t="shared" si="31"/>
        <v>-292.27679245283019</v>
      </c>
      <c r="G963" s="21">
        <v>0.92944020000000005</v>
      </c>
      <c r="H963" s="21">
        <v>-0.73078469999999995</v>
      </c>
    </row>
    <row r="964" spans="1:8" x14ac:dyDescent="0.15">
      <c r="A964" s="21">
        <v>1.878906E-2</v>
      </c>
      <c r="B964" s="21">
        <f t="shared" si="30"/>
        <v>-0.70694950000000001</v>
      </c>
      <c r="D964">
        <f t="shared" si="31"/>
        <v>-282.89012578616348</v>
      </c>
      <c r="G964" s="21">
        <v>0.89959060000000002</v>
      </c>
      <c r="H964" s="21">
        <v>-0.70694950000000001</v>
      </c>
    </row>
    <row r="965" spans="1:8" x14ac:dyDescent="0.15">
      <c r="A965" s="21">
        <v>1.880859E-2</v>
      </c>
      <c r="B965" s="21">
        <f t="shared" si="30"/>
        <v>-0.65891</v>
      </c>
      <c r="D965">
        <f t="shared" si="31"/>
        <v>-264.0290251572327</v>
      </c>
      <c r="G965" s="21">
        <v>0.83961229999999998</v>
      </c>
      <c r="H965" s="21">
        <v>-0.65891</v>
      </c>
    </row>
    <row r="966" spans="1:8" x14ac:dyDescent="0.15">
      <c r="A966" s="21">
        <v>1.8828129999999998E-2</v>
      </c>
      <c r="B966" s="21">
        <f t="shared" si="30"/>
        <v>-0.58918839999999995</v>
      </c>
      <c r="D966">
        <f t="shared" si="31"/>
        <v>-236.32286163522011</v>
      </c>
      <c r="G966" s="21">
        <v>0.75150669999999997</v>
      </c>
      <c r="H966" s="21">
        <v>-0.58918839999999995</v>
      </c>
    </row>
    <row r="967" spans="1:8" x14ac:dyDescent="0.15">
      <c r="A967" s="21">
        <v>1.8847659999999999E-2</v>
      </c>
      <c r="B967" s="21">
        <f t="shared" si="30"/>
        <v>-0.49759019999999998</v>
      </c>
      <c r="D967">
        <f t="shared" si="31"/>
        <v>-199.57572327044025</v>
      </c>
      <c r="G967" s="21">
        <v>0.63465079999999996</v>
      </c>
      <c r="H967" s="21">
        <v>-0.49759019999999998</v>
      </c>
    </row>
    <row r="968" spans="1:8" x14ac:dyDescent="0.15">
      <c r="A968" s="21">
        <v>1.8867189999999999E-2</v>
      </c>
      <c r="B968" s="21">
        <f t="shared" si="30"/>
        <v>-0.38839689999999999</v>
      </c>
      <c r="D968">
        <f t="shared" si="31"/>
        <v>-156.00106918238993</v>
      </c>
      <c r="G968" s="21">
        <v>0.49608340000000001</v>
      </c>
      <c r="H968" s="21">
        <v>-0.38839689999999999</v>
      </c>
    </row>
    <row r="969" spans="1:8" x14ac:dyDescent="0.15">
      <c r="A969" s="21">
        <v>1.8886719999999999E-2</v>
      </c>
      <c r="B969" s="21">
        <f t="shared" si="30"/>
        <v>-0.26675110000000002</v>
      </c>
      <c r="D969">
        <f t="shared" si="31"/>
        <v>-107.47588050314465</v>
      </c>
      <c r="G969" s="21">
        <v>0.3417733</v>
      </c>
      <c r="H969" s="21">
        <v>-0.26675110000000002</v>
      </c>
    </row>
    <row r="970" spans="1:8" x14ac:dyDescent="0.15">
      <c r="A970" s="21">
        <v>1.8906249999999999E-2</v>
      </c>
      <c r="B970" s="21">
        <f t="shared" si="30"/>
        <v>-0.13479350000000001</v>
      </c>
      <c r="D970">
        <f t="shared" si="31"/>
        <v>-54.623490566037731</v>
      </c>
      <c r="G970" s="21">
        <v>0.17370269999999999</v>
      </c>
      <c r="H970" s="21">
        <v>-0.13479350000000001</v>
      </c>
    </row>
    <row r="971" spans="1:8" x14ac:dyDescent="0.15">
      <c r="A971" s="21">
        <v>1.892578E-2</v>
      </c>
      <c r="B971" s="21">
        <f t="shared" si="30"/>
        <v>6.5702109999999996E-4</v>
      </c>
      <c r="D971">
        <f t="shared" si="31"/>
        <v>-0.32689371069182388</v>
      </c>
      <c r="G971" s="21">
        <v>1.039522E-3</v>
      </c>
      <c r="H971" s="21">
        <v>6.5702109999999996E-4</v>
      </c>
    </row>
    <row r="972" spans="1:8" x14ac:dyDescent="0.15">
      <c r="A972" s="21">
        <v>1.894531E-2</v>
      </c>
      <c r="B972" s="21">
        <f t="shared" si="30"/>
        <v>0.134827</v>
      </c>
      <c r="D972">
        <f t="shared" si="31"/>
        <v>53.489056603773584</v>
      </c>
      <c r="G972" s="21">
        <v>-0.1700952</v>
      </c>
      <c r="H972" s="21">
        <v>0.134827</v>
      </c>
    </row>
    <row r="973" spans="1:8" x14ac:dyDescent="0.15">
      <c r="A973" s="21">
        <v>1.896484E-2</v>
      </c>
      <c r="B973" s="21">
        <f t="shared" si="30"/>
        <v>0.26511820000000003</v>
      </c>
      <c r="D973">
        <f t="shared" si="31"/>
        <v>105.77528301886791</v>
      </c>
      <c r="G973" s="21">
        <v>-0.33636539999999998</v>
      </c>
      <c r="H973" s="21">
        <v>0.26511820000000003</v>
      </c>
    </row>
    <row r="974" spans="1:8" x14ac:dyDescent="0.15">
      <c r="A974" s="21">
        <v>1.8984379999999999E-2</v>
      </c>
      <c r="B974" s="21">
        <f t="shared" si="30"/>
        <v>0.3848453</v>
      </c>
      <c r="D974">
        <f t="shared" si="31"/>
        <v>153.84509433962262</v>
      </c>
      <c r="G974" s="21">
        <v>-0.48922739999999998</v>
      </c>
      <c r="H974" s="21">
        <v>0.3848453</v>
      </c>
    </row>
    <row r="975" spans="1:8" x14ac:dyDescent="0.15">
      <c r="A975" s="21">
        <v>1.9003909999999999E-2</v>
      </c>
      <c r="B975" s="21">
        <f t="shared" si="30"/>
        <v>0.49145119999999998</v>
      </c>
      <c r="D975">
        <f t="shared" si="31"/>
        <v>196.79421383647795</v>
      </c>
      <c r="G975" s="21">
        <v>-0.62580559999999996</v>
      </c>
      <c r="H975" s="21">
        <v>0.49145119999999998</v>
      </c>
    </row>
    <row r="976" spans="1:8" x14ac:dyDescent="0.15">
      <c r="A976" s="21">
        <v>1.9023439999999999E-2</v>
      </c>
      <c r="B976" s="21">
        <f t="shared" si="30"/>
        <v>0.58251699999999995</v>
      </c>
      <c r="D976">
        <f t="shared" si="31"/>
        <v>233.56204402515723</v>
      </c>
      <c r="G976" s="21">
        <v>-0.74272729999999998</v>
      </c>
      <c r="H976" s="21">
        <v>0.58251699999999995</v>
      </c>
    </row>
    <row r="977" spans="1:8" x14ac:dyDescent="0.15">
      <c r="A977" s="21">
        <v>1.9042969999999999E-2</v>
      </c>
      <c r="B977" s="21">
        <f t="shared" si="30"/>
        <v>0.65274310000000002</v>
      </c>
      <c r="D977">
        <f t="shared" si="31"/>
        <v>261.89528301886793</v>
      </c>
      <c r="G977" s="21">
        <v>-0.83282699999999998</v>
      </c>
      <c r="H977" s="21">
        <v>0.65274310000000002</v>
      </c>
    </row>
    <row r="978" spans="1:8" x14ac:dyDescent="0.15">
      <c r="A978" s="21">
        <v>1.90625E-2</v>
      </c>
      <c r="B978" s="21">
        <f t="shared" si="30"/>
        <v>0.70202030000000004</v>
      </c>
      <c r="D978">
        <f t="shared" si="31"/>
        <v>281.95751572327038</v>
      </c>
      <c r="G978" s="21">
        <v>-0.89662489999999995</v>
      </c>
      <c r="H978" s="21">
        <v>0.70202030000000004</v>
      </c>
    </row>
    <row r="979" spans="1:8" x14ac:dyDescent="0.15">
      <c r="A979" s="21">
        <v>1.908203E-2</v>
      </c>
      <c r="B979" s="21">
        <f t="shared" si="30"/>
        <v>0.72955270000000005</v>
      </c>
      <c r="D979">
        <f t="shared" si="31"/>
        <v>293.24034591194965</v>
      </c>
      <c r="G979" s="21">
        <v>-0.93250429999999995</v>
      </c>
      <c r="H979" s="21">
        <v>0.72955270000000005</v>
      </c>
    </row>
    <row r="980" spans="1:8" x14ac:dyDescent="0.15">
      <c r="A980" s="21">
        <v>1.910156E-2</v>
      </c>
      <c r="B980" s="21">
        <f t="shared" si="30"/>
        <v>0.73219350000000005</v>
      </c>
      <c r="D980">
        <f t="shared" si="31"/>
        <v>294.26716981132074</v>
      </c>
      <c r="G980" s="21">
        <v>-0.93576959999999998</v>
      </c>
      <c r="H980" s="21">
        <v>0.73219350000000005</v>
      </c>
    </row>
    <row r="981" spans="1:8" x14ac:dyDescent="0.15">
      <c r="A981" s="21">
        <v>1.912109E-2</v>
      </c>
      <c r="B981" s="21">
        <f t="shared" si="30"/>
        <v>0.70971600000000001</v>
      </c>
      <c r="D981">
        <f t="shared" si="31"/>
        <v>285.29110062893085</v>
      </c>
      <c r="G981" s="21">
        <v>-0.90722570000000002</v>
      </c>
      <c r="H981" s="21">
        <v>0.70971600000000001</v>
      </c>
    </row>
    <row r="982" spans="1:8" x14ac:dyDescent="0.15">
      <c r="A982" s="21">
        <v>1.9140629999999999E-2</v>
      </c>
      <c r="B982" s="21">
        <f t="shared" si="30"/>
        <v>0.66245560000000003</v>
      </c>
      <c r="D982">
        <f t="shared" si="31"/>
        <v>266.42594339622639</v>
      </c>
      <c r="G982" s="21">
        <v>-0.8472345</v>
      </c>
      <c r="H982" s="21">
        <v>0.66245560000000003</v>
      </c>
    </row>
    <row r="983" spans="1:8" x14ac:dyDescent="0.15">
      <c r="A983" s="21">
        <v>1.9160159999999999E-2</v>
      </c>
      <c r="B983" s="21">
        <f t="shared" si="30"/>
        <v>0.59270560000000005</v>
      </c>
      <c r="D983">
        <f t="shared" si="31"/>
        <v>238.44647798742139</v>
      </c>
      <c r="G983" s="21">
        <v>-0.75825980000000004</v>
      </c>
      <c r="H983" s="21">
        <v>0.59270560000000005</v>
      </c>
    </row>
    <row r="984" spans="1:8" x14ac:dyDescent="0.15">
      <c r="A984" s="21">
        <v>1.9179689999999999E-2</v>
      </c>
      <c r="B984" s="21">
        <f t="shared" si="30"/>
        <v>0.5043337</v>
      </c>
      <c r="D984">
        <f t="shared" si="31"/>
        <v>202.92889937106918</v>
      </c>
      <c r="G984" s="21">
        <v>-0.6453139</v>
      </c>
      <c r="H984" s="21">
        <v>0.5043337</v>
      </c>
    </row>
    <row r="985" spans="1:8" x14ac:dyDescent="0.15">
      <c r="A985" s="21">
        <v>1.9199219999999999E-2</v>
      </c>
      <c r="B985" s="21">
        <f t="shared" si="30"/>
        <v>0.3985418</v>
      </c>
      <c r="D985">
        <f t="shared" si="31"/>
        <v>160.30694968553456</v>
      </c>
      <c r="G985" s="21">
        <v>-0.50977609999999995</v>
      </c>
      <c r="H985" s="21">
        <v>0.3985418</v>
      </c>
    </row>
    <row r="986" spans="1:8" x14ac:dyDescent="0.15">
      <c r="A986" s="21">
        <v>1.921875E-2</v>
      </c>
      <c r="B986" s="21">
        <f t="shared" si="30"/>
        <v>0.2776711</v>
      </c>
      <c r="D986">
        <f t="shared" si="31"/>
        <v>111.78779874213836</v>
      </c>
      <c r="G986" s="21">
        <v>-0.3554852</v>
      </c>
      <c r="H986" s="21">
        <v>0.2776711</v>
      </c>
    </row>
    <row r="987" spans="1:8" x14ac:dyDescent="0.15">
      <c r="A987" s="21">
        <v>1.923828E-2</v>
      </c>
      <c r="B987" s="21">
        <f t="shared" si="30"/>
        <v>0.1462369</v>
      </c>
      <c r="D987">
        <f t="shared" si="31"/>
        <v>59.224811320754718</v>
      </c>
      <c r="G987" s="21">
        <v>-0.1883349</v>
      </c>
      <c r="H987" s="21">
        <v>0.1462369</v>
      </c>
    </row>
    <row r="988" spans="1:8" x14ac:dyDescent="0.15">
      <c r="A988" s="21">
        <v>1.925781E-2</v>
      </c>
      <c r="B988" s="21">
        <f t="shared" si="30"/>
        <v>9.3617219999999994E-3</v>
      </c>
      <c r="D988">
        <f t="shared" si="31"/>
        <v>4.5277578616352203</v>
      </c>
      <c r="G988" s="21">
        <v>-1.4398269999999999E-2</v>
      </c>
      <c r="H988" s="21">
        <v>9.3617219999999994E-3</v>
      </c>
    </row>
    <row r="989" spans="1:8" x14ac:dyDescent="0.15">
      <c r="A989" s="21">
        <v>1.927734E-2</v>
      </c>
      <c r="B989" s="21">
        <f t="shared" si="30"/>
        <v>-0.1255744</v>
      </c>
      <c r="D989">
        <f t="shared" si="31"/>
        <v>-49.303647798742134</v>
      </c>
      <c r="G989" s="21">
        <v>0.1567856</v>
      </c>
      <c r="H989" s="21">
        <v>-0.1255744</v>
      </c>
    </row>
    <row r="990" spans="1:8" x14ac:dyDescent="0.15">
      <c r="A990" s="21">
        <v>1.9296879999999999E-2</v>
      </c>
      <c r="B990" s="21">
        <f t="shared" si="30"/>
        <v>-0.25427850000000002</v>
      </c>
      <c r="D990">
        <f t="shared" si="31"/>
        <v>-100.84729559748426</v>
      </c>
      <c r="G990" s="21">
        <v>0.32069439999999999</v>
      </c>
      <c r="H990" s="21">
        <v>-0.25427850000000002</v>
      </c>
    </row>
    <row r="991" spans="1:8" x14ac:dyDescent="0.15">
      <c r="A991" s="21">
        <v>1.9316409999999999E-2</v>
      </c>
      <c r="B991" s="21">
        <f t="shared" si="30"/>
        <v>-0.3745869</v>
      </c>
      <c r="D991">
        <f t="shared" si="31"/>
        <v>-149.09842767295598</v>
      </c>
      <c r="G991" s="21">
        <v>0.47413300000000003</v>
      </c>
      <c r="H991" s="21">
        <v>-0.3745869</v>
      </c>
    </row>
    <row r="992" spans="1:8" x14ac:dyDescent="0.15">
      <c r="A992" s="21">
        <v>1.9335939999999999E-2</v>
      </c>
      <c r="B992" s="21">
        <f t="shared" si="30"/>
        <v>-0.48240749999999999</v>
      </c>
      <c r="D992">
        <f t="shared" si="31"/>
        <v>-192.16883647798741</v>
      </c>
      <c r="G992" s="21">
        <v>0.61109690000000005</v>
      </c>
      <c r="H992" s="21">
        <v>-0.48240749999999999</v>
      </c>
    </row>
    <row r="993" spans="1:8" x14ac:dyDescent="0.15">
      <c r="A993" s="21">
        <v>1.935547E-2</v>
      </c>
      <c r="B993" s="21">
        <f t="shared" si="30"/>
        <v>-0.57555290000000003</v>
      </c>
      <c r="D993">
        <f t="shared" si="31"/>
        <v>-229.52911949685534</v>
      </c>
      <c r="G993" s="21">
        <v>0.72990259999999996</v>
      </c>
      <c r="H993" s="21">
        <v>-0.57555290000000003</v>
      </c>
    </row>
    <row r="994" spans="1:8" x14ac:dyDescent="0.15">
      <c r="A994" s="21">
        <v>1.9375E-2</v>
      </c>
      <c r="B994" s="21">
        <f t="shared" si="30"/>
        <v>-0.64968380000000003</v>
      </c>
      <c r="D994">
        <f t="shared" si="31"/>
        <v>-259.26232704402514</v>
      </c>
      <c r="G994" s="21">
        <v>0.82445420000000003</v>
      </c>
      <c r="H994" s="21">
        <v>-0.64968380000000003</v>
      </c>
    </row>
    <row r="995" spans="1:8" x14ac:dyDescent="0.15">
      <c r="A995" s="21">
        <v>1.939453E-2</v>
      </c>
      <c r="B995" s="21">
        <f t="shared" si="30"/>
        <v>-0.70043230000000001</v>
      </c>
      <c r="D995">
        <f t="shared" si="31"/>
        <v>-279.67053459119495</v>
      </c>
      <c r="G995" s="21">
        <v>0.88935229999999998</v>
      </c>
      <c r="H995" s="21">
        <v>-0.70043230000000001</v>
      </c>
    </row>
    <row r="996" spans="1:8" x14ac:dyDescent="0.15">
      <c r="A996" s="21">
        <v>1.941406E-2</v>
      </c>
      <c r="B996" s="21">
        <f t="shared" si="30"/>
        <v>-0.72867859999999995</v>
      </c>
      <c r="D996">
        <f t="shared" si="31"/>
        <v>-291.3556289308176</v>
      </c>
      <c r="G996" s="21">
        <v>0.92651090000000003</v>
      </c>
      <c r="H996" s="21">
        <v>-0.72867859999999995</v>
      </c>
    </row>
    <row r="997" spans="1:8" x14ac:dyDescent="0.15">
      <c r="A997" s="21">
        <v>1.9433590000000001E-2</v>
      </c>
      <c r="B997" s="21">
        <f t="shared" si="30"/>
        <v>-0.73273929999999998</v>
      </c>
      <c r="D997">
        <f t="shared" si="31"/>
        <v>-293.09037735849051</v>
      </c>
      <c r="G997" s="21">
        <v>0.93202739999999995</v>
      </c>
      <c r="H997" s="21">
        <v>-0.73273929999999998</v>
      </c>
    </row>
    <row r="998" spans="1:8" x14ac:dyDescent="0.15">
      <c r="A998" s="21">
        <v>1.9453129999999999E-2</v>
      </c>
      <c r="B998" s="21">
        <f t="shared" si="30"/>
        <v>-0.71138679999999999</v>
      </c>
      <c r="D998">
        <f t="shared" si="31"/>
        <v>-284.62528301886795</v>
      </c>
      <c r="G998" s="21">
        <v>0.90510840000000004</v>
      </c>
      <c r="H998" s="21">
        <v>-0.71138679999999999</v>
      </c>
    </row>
    <row r="999" spans="1:8" x14ac:dyDescent="0.15">
      <c r="A999" s="21">
        <v>1.9472659999999999E-2</v>
      </c>
      <c r="B999" s="21">
        <f t="shared" si="30"/>
        <v>-0.66732530000000001</v>
      </c>
      <c r="D999">
        <f t="shared" si="31"/>
        <v>-267.37122641509433</v>
      </c>
      <c r="G999" s="21">
        <v>0.85024049999999995</v>
      </c>
      <c r="H999" s="21">
        <v>-0.66732530000000001</v>
      </c>
    </row>
    <row r="1000" spans="1:8" x14ac:dyDescent="0.15">
      <c r="A1000" s="21">
        <v>1.949219E-2</v>
      </c>
      <c r="B1000" s="21">
        <f t="shared" si="30"/>
        <v>-0.59999230000000003</v>
      </c>
      <c r="D1000">
        <f t="shared" si="31"/>
        <v>-240.52732704402513</v>
      </c>
      <c r="G1000" s="21">
        <v>0.76487689999999997</v>
      </c>
      <c r="H1000" s="21">
        <v>-0.59999230000000003</v>
      </c>
    </row>
    <row r="1001" spans="1:8" x14ac:dyDescent="0.15">
      <c r="A1001" s="21">
        <v>1.951172E-2</v>
      </c>
      <c r="B1001" s="21">
        <f t="shared" si="30"/>
        <v>-0.51080939999999997</v>
      </c>
      <c r="D1001">
        <f t="shared" si="31"/>
        <v>-204.86349056603774</v>
      </c>
      <c r="G1001" s="21">
        <v>0.65146590000000004</v>
      </c>
      <c r="H1001" s="21">
        <v>-0.51080939999999997</v>
      </c>
    </row>
    <row r="1002" spans="1:8" x14ac:dyDescent="0.15">
      <c r="A1002" s="21">
        <v>1.953125E-2</v>
      </c>
      <c r="B1002" s="21">
        <f t="shared" si="30"/>
        <v>-0.40462219999999999</v>
      </c>
      <c r="D1002">
        <f t="shared" si="31"/>
        <v>-162.47198113207546</v>
      </c>
      <c r="G1002" s="21">
        <v>0.51666089999999998</v>
      </c>
      <c r="H1002" s="21">
        <v>-0.40462219999999999</v>
      </c>
    </row>
    <row r="1003" spans="1:8" x14ac:dyDescent="0.15">
      <c r="A1003" s="21">
        <v>1.955078E-2</v>
      </c>
      <c r="B1003" s="21">
        <f t="shared" si="30"/>
        <v>-0.28366370000000002</v>
      </c>
      <c r="D1003">
        <f t="shared" si="31"/>
        <v>-114.08345911949684</v>
      </c>
      <c r="G1003" s="21">
        <v>0.36278539999999998</v>
      </c>
      <c r="H1003" s="21">
        <v>-0.28366370000000002</v>
      </c>
    </row>
    <row r="1004" spans="1:8" x14ac:dyDescent="0.15">
      <c r="A1004" s="21">
        <v>1.957031E-2</v>
      </c>
      <c r="B1004" s="21">
        <f t="shared" si="30"/>
        <v>-0.15290960000000001</v>
      </c>
      <c r="D1004">
        <f t="shared" si="31"/>
        <v>-61.925125786163527</v>
      </c>
      <c r="G1004" s="21">
        <v>0.19692190000000001</v>
      </c>
      <c r="H1004" s="21">
        <v>-0.15290960000000001</v>
      </c>
    </row>
    <row r="1005" spans="1:8" x14ac:dyDescent="0.15">
      <c r="A1005" s="21">
        <v>1.9589840000000001E-2</v>
      </c>
      <c r="B1005" s="21">
        <f t="shared" si="30"/>
        <v>-1.8138520000000002E-2</v>
      </c>
      <c r="D1005">
        <f t="shared" si="31"/>
        <v>-7.9281540880503139</v>
      </c>
      <c r="G1005" s="21">
        <v>2.5211529999999999E-2</v>
      </c>
      <c r="H1005" s="21">
        <v>-1.8138520000000002E-2</v>
      </c>
    </row>
    <row r="1006" spans="1:8" x14ac:dyDescent="0.15">
      <c r="A1006" s="21">
        <v>1.9609379999999999E-2</v>
      </c>
      <c r="B1006" s="21">
        <f t="shared" si="30"/>
        <v>0.11740539999999999</v>
      </c>
      <c r="D1006">
        <f t="shared" si="31"/>
        <v>46.526006289308171</v>
      </c>
      <c r="G1006" s="21">
        <v>-0.14795269999999999</v>
      </c>
      <c r="H1006" s="21">
        <v>0.11740539999999999</v>
      </c>
    </row>
    <row r="1007" spans="1:8" x14ac:dyDescent="0.15">
      <c r="A1007" s="21">
        <v>1.9628909999999999E-2</v>
      </c>
      <c r="B1007" s="21">
        <f t="shared" si="30"/>
        <v>0.2478892</v>
      </c>
      <c r="D1007">
        <f t="shared" si="31"/>
        <v>98.740283018867927</v>
      </c>
      <c r="G1007" s="21">
        <v>-0.3139941</v>
      </c>
      <c r="H1007" s="21">
        <v>0.2478892</v>
      </c>
    </row>
    <row r="1008" spans="1:8" x14ac:dyDescent="0.15">
      <c r="A1008" s="21">
        <v>1.964844E-2</v>
      </c>
      <c r="B1008" s="21">
        <f t="shared" si="30"/>
        <v>0.36934220000000001</v>
      </c>
      <c r="D1008">
        <f t="shared" si="31"/>
        <v>147.62094339622641</v>
      </c>
      <c r="G1008" s="21">
        <v>-0.46943459999999998</v>
      </c>
      <c r="H1008" s="21">
        <v>0.36934220000000001</v>
      </c>
    </row>
    <row r="1009" spans="1:8" x14ac:dyDescent="0.15">
      <c r="A1009" s="21">
        <v>1.966797E-2</v>
      </c>
      <c r="B1009" s="21">
        <f t="shared" si="30"/>
        <v>0.47854079999999999</v>
      </c>
      <c r="D1009">
        <f t="shared" si="31"/>
        <v>191.61883647798743</v>
      </c>
      <c r="G1009" s="21">
        <v>-0.60934790000000005</v>
      </c>
      <c r="H1009" s="21">
        <v>0.47854079999999999</v>
      </c>
    </row>
    <row r="1010" spans="1:8" x14ac:dyDescent="0.15">
      <c r="A1010" s="21">
        <v>1.96875E-2</v>
      </c>
      <c r="B1010" s="21">
        <f t="shared" si="30"/>
        <v>0.57064130000000002</v>
      </c>
      <c r="D1010">
        <f t="shared" si="31"/>
        <v>228.70965408805029</v>
      </c>
      <c r="G1010" s="21">
        <v>-0.72729670000000002</v>
      </c>
      <c r="H1010" s="21">
        <v>0.57064130000000002</v>
      </c>
    </row>
    <row r="1011" spans="1:8" x14ac:dyDescent="0.15">
      <c r="A1011" s="21">
        <v>1.970703E-2</v>
      </c>
      <c r="B1011" s="21">
        <f t="shared" si="30"/>
        <v>0.64416099999999998</v>
      </c>
      <c r="D1011">
        <f t="shared" si="31"/>
        <v>258.58808176100626</v>
      </c>
      <c r="G1011" s="21">
        <v>-0.82231010000000004</v>
      </c>
      <c r="H1011" s="21">
        <v>0.64416099999999998</v>
      </c>
    </row>
    <row r="1012" spans="1:8" x14ac:dyDescent="0.15">
      <c r="A1012" s="21">
        <v>1.9726560000000001E-2</v>
      </c>
      <c r="B1012" s="21">
        <f t="shared" si="30"/>
        <v>0.696496</v>
      </c>
      <c r="D1012">
        <f t="shared" si="31"/>
        <v>279.73440251572322</v>
      </c>
      <c r="G1012" s="21">
        <v>-0.8895554</v>
      </c>
      <c r="H1012" s="21">
        <v>0.696496</v>
      </c>
    </row>
    <row r="1013" spans="1:8" x14ac:dyDescent="0.15">
      <c r="A1013" s="21">
        <v>1.9746090000000001E-2</v>
      </c>
      <c r="B1013" s="21">
        <f t="shared" si="30"/>
        <v>0.72640800000000005</v>
      </c>
      <c r="D1013">
        <f t="shared" si="31"/>
        <v>291.90742138364783</v>
      </c>
      <c r="G1013" s="21">
        <v>-0.92826560000000002</v>
      </c>
      <c r="H1013" s="21">
        <v>0.72640800000000005</v>
      </c>
    </row>
    <row r="1014" spans="1:8" x14ac:dyDescent="0.15">
      <c r="A1014" s="21">
        <v>1.9765629999999999E-2</v>
      </c>
      <c r="B1014" s="21">
        <f t="shared" si="30"/>
        <v>0.73358959999999995</v>
      </c>
      <c r="D1014">
        <f t="shared" si="31"/>
        <v>295.0001572327044</v>
      </c>
      <c r="G1014" s="21">
        <v>-0.9381005</v>
      </c>
      <c r="H1014" s="21">
        <v>0.73358959999999995</v>
      </c>
    </row>
    <row r="1015" spans="1:8" x14ac:dyDescent="0.15">
      <c r="A1015" s="21">
        <v>1.978516E-2</v>
      </c>
      <c r="B1015" s="21">
        <f t="shared" si="30"/>
        <v>0.71379970000000004</v>
      </c>
      <c r="D1015">
        <f t="shared" si="31"/>
        <v>286.93437106918236</v>
      </c>
      <c r="G1015" s="21">
        <v>-0.91245129999999997</v>
      </c>
      <c r="H1015" s="21">
        <v>0.71379970000000004</v>
      </c>
    </row>
    <row r="1016" spans="1:8" x14ac:dyDescent="0.15">
      <c r="A1016" s="21">
        <v>1.980469E-2</v>
      </c>
      <c r="B1016" s="21">
        <f t="shared" si="30"/>
        <v>0.66931719999999995</v>
      </c>
      <c r="D1016">
        <f t="shared" si="31"/>
        <v>269.17364779874208</v>
      </c>
      <c r="G1016" s="21">
        <v>-0.85597219999999996</v>
      </c>
      <c r="H1016" s="21">
        <v>0.66931719999999995</v>
      </c>
    </row>
    <row r="1017" spans="1:8" x14ac:dyDescent="0.15">
      <c r="A1017" s="21">
        <v>1.982422E-2</v>
      </c>
      <c r="B1017" s="21">
        <f t="shared" si="30"/>
        <v>0.60368489999999997</v>
      </c>
      <c r="D1017">
        <f t="shared" si="31"/>
        <v>242.93952830188678</v>
      </c>
      <c r="G1017" s="21">
        <v>-0.77254769999999995</v>
      </c>
      <c r="H1017" s="21">
        <v>0.60368489999999997</v>
      </c>
    </row>
    <row r="1018" spans="1:8" x14ac:dyDescent="0.15">
      <c r="A1018" s="21">
        <v>1.984375E-2</v>
      </c>
      <c r="B1018" s="21">
        <f t="shared" si="30"/>
        <v>0.51638689999999998</v>
      </c>
      <c r="D1018">
        <f t="shared" si="31"/>
        <v>207.73625786163518</v>
      </c>
      <c r="G1018" s="21">
        <v>-0.66060129999999995</v>
      </c>
      <c r="H1018" s="21">
        <v>0.51638689999999998</v>
      </c>
    </row>
    <row r="1019" spans="1:8" x14ac:dyDescent="0.15">
      <c r="A1019" s="21">
        <v>1.9863280000000001E-2</v>
      </c>
      <c r="B1019" s="21">
        <f t="shared" si="30"/>
        <v>0.41252369999999999</v>
      </c>
      <c r="D1019">
        <f t="shared" si="31"/>
        <v>166.07811320754718</v>
      </c>
      <c r="G1019" s="21">
        <v>-0.52812840000000005</v>
      </c>
      <c r="H1019" s="21">
        <v>0.41252369999999999</v>
      </c>
    </row>
    <row r="1020" spans="1:8" x14ac:dyDescent="0.15">
      <c r="A1020" s="21">
        <v>1.9882810000000001E-2</v>
      </c>
      <c r="B1020" s="21">
        <f t="shared" si="30"/>
        <v>0.2945006</v>
      </c>
      <c r="D1020">
        <f t="shared" si="31"/>
        <v>118.68201257861634</v>
      </c>
      <c r="G1020" s="21">
        <v>-0.37740879999999999</v>
      </c>
      <c r="H1020" s="21">
        <v>0.2945006</v>
      </c>
    </row>
    <row r="1021" spans="1:8" x14ac:dyDescent="0.15">
      <c r="A1021" s="21">
        <v>1.9902340000000001E-2</v>
      </c>
      <c r="B1021" s="21">
        <f t="shared" si="30"/>
        <v>0.16332289999999999</v>
      </c>
      <c r="D1021">
        <f t="shared" si="31"/>
        <v>66.039402515723268</v>
      </c>
      <c r="G1021" s="21">
        <v>-0.21000530000000001</v>
      </c>
      <c r="H1021" s="21">
        <v>0.16332289999999999</v>
      </c>
    </row>
    <row r="1022" spans="1:8" x14ac:dyDescent="0.15">
      <c r="A1022" s="21">
        <v>1.9921879999999999E-2</v>
      </c>
      <c r="B1022" s="21">
        <f t="shared" si="30"/>
        <v>2.7580759999999999E-2</v>
      </c>
      <c r="D1022">
        <f t="shared" si="31"/>
        <v>11.921113207547169</v>
      </c>
      <c r="G1022" s="21">
        <v>-3.7909140000000001E-2</v>
      </c>
      <c r="H1022" s="21">
        <v>2.7580759999999999E-2</v>
      </c>
    </row>
    <row r="1023" spans="1:8" x14ac:dyDescent="0.15">
      <c r="A1023" s="21">
        <v>1.994141E-2</v>
      </c>
      <c r="B1023" s="21">
        <f t="shared" si="30"/>
        <v>-0.1077943</v>
      </c>
      <c r="D1023">
        <f t="shared" si="31"/>
        <v>-42.218301886792453</v>
      </c>
      <c r="G1023" s="21">
        <v>0.13425419999999999</v>
      </c>
      <c r="H1023" s="21">
        <v>-0.1077943</v>
      </c>
    </row>
    <row r="1024" spans="1:8" x14ac:dyDescent="0.15">
      <c r="A1024" s="21">
        <v>1.996094E-2</v>
      </c>
      <c r="B1024" s="21">
        <f t="shared" si="30"/>
        <v>-0.2387861</v>
      </c>
      <c r="D1024">
        <f t="shared" si="31"/>
        <v>-94.648018867924534</v>
      </c>
      <c r="G1024" s="21">
        <v>0.30098069999999999</v>
      </c>
      <c r="H1024" s="21">
        <v>-0.2387861</v>
      </c>
    </row>
    <row r="1025" spans="1:8" x14ac:dyDescent="0.15">
      <c r="A1025" s="21">
        <v>1.998047E-2</v>
      </c>
      <c r="B1025" s="21">
        <f t="shared" si="30"/>
        <v>-0.35901280000000002</v>
      </c>
      <c r="D1025">
        <f t="shared" si="31"/>
        <v>-142.72091194968553</v>
      </c>
      <c r="G1025" s="21">
        <v>0.45385249999999999</v>
      </c>
      <c r="H1025" s="21">
        <v>-0.35901280000000002</v>
      </c>
    </row>
    <row r="1026" spans="1:8" x14ac:dyDescent="0.15">
      <c r="A1026" s="21">
        <v>0.02</v>
      </c>
      <c r="B1026" s="21">
        <f t="shared" ref="B1026:B1089" si="32">H1026</f>
        <v>-0.46886670000000003</v>
      </c>
      <c r="D1026">
        <f t="shared" ref="D1026:D1089" si="33">G1026*-1000/3.18</f>
        <v>-186.85924528301885</v>
      </c>
      <c r="G1026" s="21">
        <v>0.59421239999999997</v>
      </c>
      <c r="H1026" s="21">
        <v>-0.46886670000000003</v>
      </c>
    </row>
    <row r="1027" spans="1:8" x14ac:dyDescent="0.15">
      <c r="A1027" s="21">
        <v>2.0019530000000001E-2</v>
      </c>
      <c r="B1027" s="21">
        <f t="shared" si="32"/>
        <v>-0.56486309999999995</v>
      </c>
      <c r="D1027">
        <f t="shared" si="33"/>
        <v>-225.20553459119495</v>
      </c>
      <c r="G1027" s="21">
        <v>0.71615359999999995</v>
      </c>
      <c r="H1027" s="21">
        <v>-0.56486309999999995</v>
      </c>
    </row>
    <row r="1028" spans="1:8" x14ac:dyDescent="0.15">
      <c r="A1028" s="21">
        <v>2.0039060000000001E-2</v>
      </c>
      <c r="B1028" s="21">
        <f t="shared" si="32"/>
        <v>-0.64049690000000004</v>
      </c>
      <c r="D1028">
        <f t="shared" si="33"/>
        <v>-255.42867924528301</v>
      </c>
      <c r="G1028" s="21">
        <v>0.81226319999999996</v>
      </c>
      <c r="H1028" s="21">
        <v>-0.64049690000000004</v>
      </c>
    </row>
    <row r="1029" spans="1:8" x14ac:dyDescent="0.15">
      <c r="A1029" s="21">
        <v>2.0058590000000001E-2</v>
      </c>
      <c r="B1029" s="21">
        <f t="shared" si="32"/>
        <v>-0.69558609999999998</v>
      </c>
      <c r="D1029">
        <f t="shared" si="33"/>
        <v>-277.7812264150943</v>
      </c>
      <c r="G1029" s="21">
        <v>0.88334429999999997</v>
      </c>
      <c r="H1029" s="21">
        <v>-0.69558609999999998</v>
      </c>
    </row>
    <row r="1030" spans="1:8" x14ac:dyDescent="0.15">
      <c r="A1030" s="21">
        <v>2.0078120000000001E-2</v>
      </c>
      <c r="B1030" s="21">
        <f t="shared" si="32"/>
        <v>-0.72693010000000002</v>
      </c>
      <c r="D1030">
        <f t="shared" si="33"/>
        <v>-290.53468553459118</v>
      </c>
      <c r="G1030" s="21">
        <v>0.92390030000000001</v>
      </c>
      <c r="H1030" s="21">
        <v>-0.72693010000000002</v>
      </c>
    </row>
    <row r="1031" spans="1:8" x14ac:dyDescent="0.15">
      <c r="A1031" s="21">
        <v>2.009766E-2</v>
      </c>
      <c r="B1031" s="21">
        <f t="shared" si="32"/>
        <v>-0.73313700000000004</v>
      </c>
      <c r="D1031">
        <f t="shared" si="33"/>
        <v>-293.16487421383647</v>
      </c>
      <c r="G1031" s="21">
        <v>0.93226430000000005</v>
      </c>
      <c r="H1031" s="21">
        <v>-0.73313700000000004</v>
      </c>
    </row>
    <row r="1032" spans="1:8" x14ac:dyDescent="0.15">
      <c r="A1032" s="21">
        <v>2.011719E-2</v>
      </c>
      <c r="B1032" s="21">
        <f t="shared" si="32"/>
        <v>-0.71616389999999996</v>
      </c>
      <c r="D1032">
        <f t="shared" si="33"/>
        <v>-286.54188679245283</v>
      </c>
      <c r="G1032" s="21">
        <v>0.91120319999999999</v>
      </c>
      <c r="H1032" s="21">
        <v>-0.71616389999999996</v>
      </c>
    </row>
    <row r="1033" spans="1:8" x14ac:dyDescent="0.15">
      <c r="A1033" s="21">
        <v>2.013672E-2</v>
      </c>
      <c r="B1033" s="21">
        <f t="shared" si="32"/>
        <v>-0.67435330000000004</v>
      </c>
      <c r="D1033">
        <f t="shared" si="33"/>
        <v>-270.007106918239</v>
      </c>
      <c r="G1033" s="21">
        <v>0.85862260000000001</v>
      </c>
      <c r="H1033" s="21">
        <v>-0.67435330000000004</v>
      </c>
    </row>
    <row r="1034" spans="1:8" x14ac:dyDescent="0.15">
      <c r="A1034" s="21">
        <v>2.0156250000000001E-2</v>
      </c>
      <c r="B1034" s="21">
        <f t="shared" si="32"/>
        <v>-0.60970429999999998</v>
      </c>
      <c r="D1034">
        <f t="shared" si="33"/>
        <v>-244.39924528301887</v>
      </c>
      <c r="G1034" s="21">
        <v>0.77718960000000004</v>
      </c>
      <c r="H1034" s="21">
        <v>-0.60970429999999998</v>
      </c>
    </row>
    <row r="1035" spans="1:8" x14ac:dyDescent="0.15">
      <c r="A1035" s="21">
        <v>2.0175780000000001E-2</v>
      </c>
      <c r="B1035" s="21">
        <f t="shared" si="32"/>
        <v>-0.52451789999999998</v>
      </c>
      <c r="D1035">
        <f t="shared" si="33"/>
        <v>-210.36210691823899</v>
      </c>
      <c r="G1035" s="21">
        <v>0.66895150000000003</v>
      </c>
      <c r="H1035" s="21">
        <v>-0.52451789999999998</v>
      </c>
    </row>
    <row r="1036" spans="1:8" x14ac:dyDescent="0.15">
      <c r="A1036" s="21">
        <v>2.0195310000000001E-2</v>
      </c>
      <c r="B1036" s="21">
        <f t="shared" si="32"/>
        <v>-0.41980050000000002</v>
      </c>
      <c r="D1036">
        <f t="shared" si="33"/>
        <v>-168.41088050314465</v>
      </c>
      <c r="G1036" s="21">
        <v>0.53554659999999998</v>
      </c>
      <c r="H1036" s="21">
        <v>-0.41980050000000002</v>
      </c>
    </row>
    <row r="1037" spans="1:8" x14ac:dyDescent="0.15">
      <c r="A1037" s="21">
        <v>2.0214840000000001E-2</v>
      </c>
      <c r="B1037" s="21">
        <f t="shared" si="32"/>
        <v>-0.30059999999999998</v>
      </c>
      <c r="D1037">
        <f t="shared" si="33"/>
        <v>-120.9217924528302</v>
      </c>
      <c r="G1037" s="21">
        <v>0.38453130000000002</v>
      </c>
      <c r="H1037" s="21">
        <v>-0.30059999999999998</v>
      </c>
    </row>
    <row r="1038" spans="1:8" x14ac:dyDescent="0.15">
      <c r="A1038" s="21">
        <v>2.0234370000000002E-2</v>
      </c>
      <c r="B1038" s="21">
        <f t="shared" si="32"/>
        <v>-0.170734</v>
      </c>
      <c r="D1038">
        <f t="shared" si="33"/>
        <v>-69.027735849056597</v>
      </c>
      <c r="G1038" s="21">
        <v>0.21950819999999999</v>
      </c>
      <c r="H1038" s="21">
        <v>-0.170734</v>
      </c>
    </row>
    <row r="1039" spans="1:8" x14ac:dyDescent="0.15">
      <c r="A1039" s="21">
        <v>2.025391E-2</v>
      </c>
      <c r="B1039" s="21">
        <f t="shared" si="32"/>
        <v>-3.5167619999999997E-2</v>
      </c>
      <c r="D1039">
        <f t="shared" si="33"/>
        <v>-14.629955974842764</v>
      </c>
      <c r="G1039" s="21">
        <v>4.6523259999999997E-2</v>
      </c>
      <c r="H1039" s="21">
        <v>-3.5167619999999997E-2</v>
      </c>
    </row>
    <row r="1040" spans="1:8" x14ac:dyDescent="0.15">
      <c r="A1040" s="21">
        <v>2.027344E-2</v>
      </c>
      <c r="B1040" s="21">
        <f t="shared" si="32"/>
        <v>9.9600640000000004E-2</v>
      </c>
      <c r="D1040">
        <f t="shared" si="33"/>
        <v>39.35078616352201</v>
      </c>
      <c r="G1040" s="21">
        <v>-0.12513550000000001</v>
      </c>
      <c r="H1040" s="21">
        <v>9.9600640000000004E-2</v>
      </c>
    </row>
    <row r="1041" spans="1:8" x14ac:dyDescent="0.15">
      <c r="A1041" s="21">
        <v>2.029297E-2</v>
      </c>
      <c r="B1041" s="21">
        <f t="shared" si="32"/>
        <v>0.23069419999999999</v>
      </c>
      <c r="D1041">
        <f t="shared" si="33"/>
        <v>91.978584905660384</v>
      </c>
      <c r="G1041" s="21">
        <v>-0.29249190000000003</v>
      </c>
      <c r="H1041" s="21">
        <v>0.23069419999999999</v>
      </c>
    </row>
    <row r="1042" spans="1:8" x14ac:dyDescent="0.15">
      <c r="A1042" s="21">
        <v>2.0312500000000001E-2</v>
      </c>
      <c r="B1042" s="21">
        <f t="shared" si="32"/>
        <v>0.35348639999999998</v>
      </c>
      <c r="D1042">
        <f t="shared" si="33"/>
        <v>141.26968553459119</v>
      </c>
      <c r="G1042" s="21">
        <v>-0.44923760000000001</v>
      </c>
      <c r="H1042" s="21">
        <v>0.35348639999999998</v>
      </c>
    </row>
    <row r="1043" spans="1:8" x14ac:dyDescent="0.15">
      <c r="A1043" s="21">
        <v>2.0332030000000001E-2</v>
      </c>
      <c r="B1043" s="21">
        <f t="shared" si="32"/>
        <v>0.46379389999999998</v>
      </c>
      <c r="D1043">
        <f t="shared" si="33"/>
        <v>185.63471698113207</v>
      </c>
      <c r="G1043" s="21">
        <v>-0.59031840000000002</v>
      </c>
      <c r="H1043" s="21">
        <v>0.46379389999999998</v>
      </c>
    </row>
    <row r="1044" spans="1:8" x14ac:dyDescent="0.15">
      <c r="A1044" s="21">
        <v>2.0351560000000001E-2</v>
      </c>
      <c r="B1044" s="21">
        <f t="shared" si="32"/>
        <v>0.55996100000000004</v>
      </c>
      <c r="D1044">
        <f t="shared" si="33"/>
        <v>224.55874213836478</v>
      </c>
      <c r="G1044" s="21">
        <v>-0.71409679999999998</v>
      </c>
      <c r="H1044" s="21">
        <v>0.55996100000000004</v>
      </c>
    </row>
    <row r="1045" spans="1:8" x14ac:dyDescent="0.15">
      <c r="A1045" s="21">
        <v>2.0371090000000001E-2</v>
      </c>
      <c r="B1045" s="21">
        <f t="shared" si="32"/>
        <v>0.63639749999999995</v>
      </c>
      <c r="D1045">
        <f t="shared" si="33"/>
        <v>255.35116352201257</v>
      </c>
      <c r="G1045" s="21">
        <v>-0.81201670000000004</v>
      </c>
      <c r="H1045" s="21">
        <v>0.63639749999999995</v>
      </c>
    </row>
    <row r="1046" spans="1:8" x14ac:dyDescent="0.15">
      <c r="A1046" s="21">
        <v>2.0390620000000002E-2</v>
      </c>
      <c r="B1046" s="21">
        <f t="shared" si="32"/>
        <v>0.69068859999999999</v>
      </c>
      <c r="D1046">
        <f t="shared" si="33"/>
        <v>277.3222641509434</v>
      </c>
      <c r="G1046" s="21">
        <v>-0.88188480000000002</v>
      </c>
      <c r="H1046" s="21">
        <v>0.69068859999999999</v>
      </c>
    </row>
    <row r="1047" spans="1:8" x14ac:dyDescent="0.15">
      <c r="A1047" s="21">
        <v>2.041016E-2</v>
      </c>
      <c r="B1047" s="21">
        <f t="shared" si="32"/>
        <v>0.72408240000000001</v>
      </c>
      <c r="D1047">
        <f t="shared" si="33"/>
        <v>291.12132075471698</v>
      </c>
      <c r="G1047" s="21">
        <v>-0.92576579999999997</v>
      </c>
      <c r="H1047" s="21">
        <v>0.72408240000000001</v>
      </c>
    </row>
    <row r="1048" spans="1:8" x14ac:dyDescent="0.15">
      <c r="A1048" s="21">
        <v>2.042969E-2</v>
      </c>
      <c r="B1048" s="21">
        <f t="shared" si="32"/>
        <v>0.73328159999999998</v>
      </c>
      <c r="D1048">
        <f t="shared" si="33"/>
        <v>294.90588050314466</v>
      </c>
      <c r="G1048" s="21">
        <v>-0.93780070000000004</v>
      </c>
      <c r="H1048" s="21">
        <v>0.73328159999999998</v>
      </c>
    </row>
    <row r="1049" spans="1:8" x14ac:dyDescent="0.15">
      <c r="A1049" s="21">
        <v>2.0449220000000001E-2</v>
      </c>
      <c r="B1049" s="21">
        <f t="shared" si="32"/>
        <v>0.71723289999999995</v>
      </c>
      <c r="D1049">
        <f t="shared" si="33"/>
        <v>288.39836477987421</v>
      </c>
      <c r="G1049" s="21">
        <v>-0.9171068</v>
      </c>
      <c r="H1049" s="21">
        <v>0.71723289999999995</v>
      </c>
    </row>
    <row r="1050" spans="1:8" x14ac:dyDescent="0.15">
      <c r="A1050" s="21">
        <v>2.0468750000000001E-2</v>
      </c>
      <c r="B1050" s="21">
        <f t="shared" si="32"/>
        <v>0.67724240000000002</v>
      </c>
      <c r="D1050">
        <f t="shared" si="33"/>
        <v>272.39308176100627</v>
      </c>
      <c r="G1050" s="21">
        <v>-0.86621000000000004</v>
      </c>
      <c r="H1050" s="21">
        <v>0.67724240000000002</v>
      </c>
    </row>
    <row r="1051" spans="1:8" x14ac:dyDescent="0.15">
      <c r="A1051" s="21">
        <v>2.0488280000000001E-2</v>
      </c>
      <c r="B1051" s="21">
        <f t="shared" si="32"/>
        <v>0.61342019999999997</v>
      </c>
      <c r="D1051">
        <f t="shared" si="33"/>
        <v>246.7932075471698</v>
      </c>
      <c r="G1051" s="21">
        <v>-0.78480240000000001</v>
      </c>
      <c r="H1051" s="21">
        <v>0.61342019999999997</v>
      </c>
    </row>
    <row r="1052" spans="1:8" x14ac:dyDescent="0.15">
      <c r="A1052" s="21">
        <v>2.0507810000000001E-2</v>
      </c>
      <c r="B1052" s="21">
        <f t="shared" si="32"/>
        <v>0.52929579999999998</v>
      </c>
      <c r="D1052">
        <f t="shared" si="33"/>
        <v>213.01663522012575</v>
      </c>
      <c r="G1052" s="21">
        <v>-0.67739289999999996</v>
      </c>
      <c r="H1052" s="21">
        <v>0.52929579999999998</v>
      </c>
    </row>
    <row r="1053" spans="1:8" x14ac:dyDescent="0.15">
      <c r="A1053" s="21">
        <v>2.0527340000000002E-2</v>
      </c>
      <c r="B1053" s="21">
        <f t="shared" si="32"/>
        <v>0.42784889999999998</v>
      </c>
      <c r="D1053">
        <f t="shared" si="33"/>
        <v>172.26525157232703</v>
      </c>
      <c r="G1053" s="21">
        <v>-0.5478035</v>
      </c>
      <c r="H1053" s="21">
        <v>0.42784889999999998</v>
      </c>
    </row>
    <row r="1054" spans="1:8" x14ac:dyDescent="0.15">
      <c r="A1054" s="21">
        <v>2.0546869999999998E-2</v>
      </c>
      <c r="B1054" s="21">
        <f t="shared" si="32"/>
        <v>0.31045529999999999</v>
      </c>
      <c r="D1054">
        <f t="shared" si="33"/>
        <v>125.07597484276727</v>
      </c>
      <c r="G1054" s="21">
        <v>-0.39774159999999997</v>
      </c>
      <c r="H1054" s="21">
        <v>0.31045529999999999</v>
      </c>
    </row>
    <row r="1055" spans="1:8" x14ac:dyDescent="0.15">
      <c r="A1055" s="21">
        <v>2.056641E-2</v>
      </c>
      <c r="B1055" s="21">
        <f t="shared" si="32"/>
        <v>0.18146300000000001</v>
      </c>
      <c r="D1055">
        <f t="shared" si="33"/>
        <v>73.372610062893088</v>
      </c>
      <c r="G1055" s="21">
        <v>-0.2333249</v>
      </c>
      <c r="H1055" s="21">
        <v>0.18146300000000001</v>
      </c>
    </row>
    <row r="1056" spans="1:8" x14ac:dyDescent="0.15">
      <c r="A1056" s="21">
        <v>2.058594E-2</v>
      </c>
      <c r="B1056" s="21">
        <f t="shared" si="32"/>
        <v>4.5859240000000003E-2</v>
      </c>
      <c r="D1056">
        <f t="shared" si="33"/>
        <v>19.163600628930816</v>
      </c>
      <c r="G1056" s="21">
        <v>-6.0940250000000001E-2</v>
      </c>
      <c r="H1056" s="21">
        <v>4.5859240000000003E-2</v>
      </c>
    </row>
    <row r="1057" spans="1:8" x14ac:dyDescent="0.15">
      <c r="A1057" s="21">
        <v>2.0605470000000001E-2</v>
      </c>
      <c r="B1057" s="21">
        <f t="shared" si="32"/>
        <v>-9.0277930000000006E-2</v>
      </c>
      <c r="D1057">
        <f t="shared" si="33"/>
        <v>-35.193522012578619</v>
      </c>
      <c r="G1057" s="21">
        <v>0.1119154</v>
      </c>
      <c r="H1057" s="21">
        <v>-9.0277930000000006E-2</v>
      </c>
    </row>
    <row r="1058" spans="1:8" x14ac:dyDescent="0.15">
      <c r="A1058" s="21">
        <v>2.0625000000000001E-2</v>
      </c>
      <c r="B1058" s="21">
        <f t="shared" si="32"/>
        <v>-0.2208793</v>
      </c>
      <c r="D1058">
        <f t="shared" si="33"/>
        <v>-87.355345911949669</v>
      </c>
      <c r="G1058" s="21">
        <v>0.27778999999999998</v>
      </c>
      <c r="H1058" s="21">
        <v>-0.2208793</v>
      </c>
    </row>
    <row r="1059" spans="1:8" x14ac:dyDescent="0.15">
      <c r="A1059" s="21">
        <v>2.0644530000000001E-2</v>
      </c>
      <c r="B1059" s="21">
        <f t="shared" si="32"/>
        <v>-0.34353679999999998</v>
      </c>
      <c r="D1059">
        <f t="shared" si="33"/>
        <v>-136.53827044025158</v>
      </c>
      <c r="G1059" s="21">
        <v>0.43419170000000001</v>
      </c>
      <c r="H1059" s="21">
        <v>-0.34353679999999998</v>
      </c>
    </row>
    <row r="1060" spans="1:8" x14ac:dyDescent="0.15">
      <c r="A1060" s="21">
        <v>2.0664060000000001E-2</v>
      </c>
      <c r="B1060" s="21">
        <f t="shared" si="32"/>
        <v>-0.45528269999999998</v>
      </c>
      <c r="D1060">
        <f t="shared" si="33"/>
        <v>-181.34694968553458</v>
      </c>
      <c r="G1060" s="21">
        <v>0.57668330000000001</v>
      </c>
      <c r="H1060" s="21">
        <v>-0.45528269999999998</v>
      </c>
    </row>
    <row r="1061" spans="1:8" x14ac:dyDescent="0.15">
      <c r="A1061" s="21">
        <v>2.0683590000000002E-2</v>
      </c>
      <c r="B1061" s="21">
        <f t="shared" si="32"/>
        <v>-0.55246510000000004</v>
      </c>
      <c r="D1061">
        <f t="shared" si="33"/>
        <v>-220.2242767295597</v>
      </c>
      <c r="G1061" s="21">
        <v>0.70031319999999997</v>
      </c>
      <c r="H1061" s="21">
        <v>-0.55246510000000004</v>
      </c>
    </row>
    <row r="1062" spans="1:8" x14ac:dyDescent="0.15">
      <c r="A1062" s="21">
        <v>2.0703119999999998E-2</v>
      </c>
      <c r="B1062" s="21">
        <f t="shared" si="32"/>
        <v>-0.6318473</v>
      </c>
      <c r="D1062">
        <f t="shared" si="33"/>
        <v>-252.01418238993708</v>
      </c>
      <c r="G1062" s="21">
        <v>0.80140509999999998</v>
      </c>
      <c r="H1062" s="21">
        <v>-0.6318473</v>
      </c>
    </row>
    <row r="1063" spans="1:8" x14ac:dyDescent="0.15">
      <c r="A1063" s="21">
        <v>2.072266E-2</v>
      </c>
      <c r="B1063" s="21">
        <f t="shared" si="32"/>
        <v>-0.68889670000000003</v>
      </c>
      <c r="D1063">
        <f t="shared" si="33"/>
        <v>-274.9493081761006</v>
      </c>
      <c r="G1063" s="21">
        <v>0.87433879999999997</v>
      </c>
      <c r="H1063" s="21">
        <v>-0.68889670000000003</v>
      </c>
    </row>
    <row r="1064" spans="1:8" x14ac:dyDescent="0.15">
      <c r="A1064" s="21">
        <v>2.0742190000000001E-2</v>
      </c>
      <c r="B1064" s="21">
        <f t="shared" si="32"/>
        <v>-0.7228367</v>
      </c>
      <c r="D1064">
        <f t="shared" si="33"/>
        <v>-288.86908805031447</v>
      </c>
      <c r="G1064" s="21">
        <v>0.91860370000000002</v>
      </c>
      <c r="H1064" s="21">
        <v>-0.7228367</v>
      </c>
    </row>
    <row r="1065" spans="1:8" x14ac:dyDescent="0.15">
      <c r="A1065" s="21">
        <v>2.0761720000000001E-2</v>
      </c>
      <c r="B1065" s="21">
        <f t="shared" si="32"/>
        <v>-0.73377409999999998</v>
      </c>
      <c r="D1065">
        <f t="shared" si="33"/>
        <v>-293.45977987421384</v>
      </c>
      <c r="G1065" s="21">
        <v>0.93320210000000003</v>
      </c>
      <c r="H1065" s="21">
        <v>-0.73377409999999998</v>
      </c>
    </row>
    <row r="1066" spans="1:8" x14ac:dyDescent="0.15">
      <c r="A1066" s="21">
        <v>2.0781250000000001E-2</v>
      </c>
      <c r="B1066" s="21">
        <f t="shared" si="32"/>
        <v>-0.71926699999999999</v>
      </c>
      <c r="D1066">
        <f t="shared" si="33"/>
        <v>-287.69990566037734</v>
      </c>
      <c r="G1066" s="21">
        <v>0.91488570000000002</v>
      </c>
      <c r="H1066" s="21">
        <v>-0.71926699999999999</v>
      </c>
    </row>
    <row r="1067" spans="1:8" x14ac:dyDescent="0.15">
      <c r="A1067" s="21">
        <v>2.0800780000000001E-2</v>
      </c>
      <c r="B1067" s="21">
        <f t="shared" si="32"/>
        <v>-0.6808746</v>
      </c>
      <c r="D1067">
        <f t="shared" si="33"/>
        <v>-272.6512578616352</v>
      </c>
      <c r="G1067" s="21">
        <v>0.867031</v>
      </c>
      <c r="H1067" s="21">
        <v>-0.6808746</v>
      </c>
    </row>
    <row r="1068" spans="1:8" x14ac:dyDescent="0.15">
      <c r="A1068" s="21">
        <v>2.0820310000000002E-2</v>
      </c>
      <c r="B1068" s="21">
        <f t="shared" si="32"/>
        <v>-0.61964260000000004</v>
      </c>
      <c r="D1068">
        <f t="shared" si="33"/>
        <v>-248.36603773584903</v>
      </c>
      <c r="G1068" s="21">
        <v>0.78980399999999995</v>
      </c>
      <c r="H1068" s="21">
        <v>-0.61964260000000004</v>
      </c>
    </row>
    <row r="1069" spans="1:8" x14ac:dyDescent="0.15">
      <c r="A1069" s="21">
        <v>2.0839839999999998E-2</v>
      </c>
      <c r="B1069" s="21">
        <f t="shared" si="32"/>
        <v>-0.53567620000000005</v>
      </c>
      <c r="D1069">
        <f t="shared" si="33"/>
        <v>-214.80128930817608</v>
      </c>
      <c r="G1069" s="21">
        <v>0.68306809999999996</v>
      </c>
      <c r="H1069" s="21">
        <v>-0.53567620000000005</v>
      </c>
    </row>
    <row r="1070" spans="1:8" x14ac:dyDescent="0.15">
      <c r="A1070" s="21">
        <v>2.0859369999999999E-2</v>
      </c>
      <c r="B1070" s="21">
        <f t="shared" si="32"/>
        <v>-0.43378309999999998</v>
      </c>
      <c r="D1070">
        <f t="shared" si="33"/>
        <v>-174.12455974842769</v>
      </c>
      <c r="G1070" s="21">
        <v>0.55371610000000004</v>
      </c>
      <c r="H1070" s="21">
        <v>-0.43378309999999998</v>
      </c>
    </row>
    <row r="1071" spans="1:8" x14ac:dyDescent="0.15">
      <c r="A1071" s="21">
        <v>2.0878910000000001E-2</v>
      </c>
      <c r="B1071" s="21">
        <f t="shared" si="32"/>
        <v>-0.31656960000000001</v>
      </c>
      <c r="D1071">
        <f t="shared" si="33"/>
        <v>-127.2627358490566</v>
      </c>
      <c r="G1071" s="21">
        <v>0.40469549999999999</v>
      </c>
      <c r="H1071" s="21">
        <v>-0.31656960000000001</v>
      </c>
    </row>
    <row r="1072" spans="1:8" x14ac:dyDescent="0.15">
      <c r="A1072" s="21">
        <v>2.0898440000000001E-2</v>
      </c>
      <c r="B1072" s="21">
        <f t="shared" si="32"/>
        <v>-0.18768480000000001</v>
      </c>
      <c r="D1072">
        <f t="shared" si="33"/>
        <v>-75.767578616352196</v>
      </c>
      <c r="G1072" s="21">
        <v>0.24094090000000001</v>
      </c>
      <c r="H1072" s="21">
        <v>-0.18768480000000001</v>
      </c>
    </row>
    <row r="1073" spans="1:8" x14ac:dyDescent="0.15">
      <c r="A1073" s="21">
        <v>2.0917970000000001E-2</v>
      </c>
      <c r="B1073" s="21">
        <f t="shared" si="32"/>
        <v>-5.3638909999999998E-2</v>
      </c>
      <c r="D1073">
        <f t="shared" si="33"/>
        <v>-22.093594339622641</v>
      </c>
      <c r="G1073" s="21">
        <v>7.0257630000000001E-2</v>
      </c>
      <c r="H1073" s="21">
        <v>-5.3638909999999998E-2</v>
      </c>
    </row>
    <row r="1074" spans="1:8" x14ac:dyDescent="0.15">
      <c r="A1074" s="21">
        <v>2.0937500000000001E-2</v>
      </c>
      <c r="B1074" s="21">
        <f t="shared" si="32"/>
        <v>8.261317E-2</v>
      </c>
      <c r="D1074">
        <f t="shared" si="33"/>
        <v>32.619245283018863</v>
      </c>
      <c r="G1074" s="21">
        <v>-0.10372919999999999</v>
      </c>
      <c r="H1074" s="21">
        <v>8.261317E-2</v>
      </c>
    </row>
    <row r="1075" spans="1:8" x14ac:dyDescent="0.15">
      <c r="A1075" s="21">
        <v>2.0957030000000001E-2</v>
      </c>
      <c r="B1075" s="21">
        <f t="shared" si="32"/>
        <v>0.21493709999999999</v>
      </c>
      <c r="D1075">
        <f t="shared" si="33"/>
        <v>85.603018867924519</v>
      </c>
      <c r="G1075" s="21">
        <v>-0.2722176</v>
      </c>
      <c r="H1075" s="21">
        <v>0.21493709999999999</v>
      </c>
    </row>
    <row r="1076" spans="1:8" x14ac:dyDescent="0.15">
      <c r="A1076" s="21">
        <v>2.0976560000000002E-2</v>
      </c>
      <c r="B1076" s="21">
        <f t="shared" si="32"/>
        <v>0.33815000000000001</v>
      </c>
      <c r="D1076">
        <f t="shared" si="33"/>
        <v>135.04154088050313</v>
      </c>
      <c r="G1076" s="21">
        <v>-0.42943209999999998</v>
      </c>
      <c r="H1076" s="21">
        <v>0.33815000000000001</v>
      </c>
    </row>
    <row r="1077" spans="1:8" x14ac:dyDescent="0.15">
      <c r="A1077" s="21">
        <v>2.0996089999999999E-2</v>
      </c>
      <c r="B1077" s="21">
        <f t="shared" si="32"/>
        <v>0.4512834</v>
      </c>
      <c r="D1077">
        <f t="shared" si="33"/>
        <v>180.70254716981131</v>
      </c>
      <c r="G1077" s="21">
        <v>-0.57463410000000004</v>
      </c>
      <c r="H1077" s="21">
        <v>0.4512834</v>
      </c>
    </row>
    <row r="1078" spans="1:8" x14ac:dyDescent="0.15">
      <c r="A1078" s="21">
        <v>2.1015619999999999E-2</v>
      </c>
      <c r="B1078" s="21">
        <f t="shared" si="32"/>
        <v>0.54873280000000002</v>
      </c>
      <c r="D1078">
        <f t="shared" si="33"/>
        <v>219.95402515723271</v>
      </c>
      <c r="G1078" s="21">
        <v>-0.69945380000000001</v>
      </c>
      <c r="H1078" s="21">
        <v>0.54873280000000002</v>
      </c>
    </row>
    <row r="1079" spans="1:8" x14ac:dyDescent="0.15">
      <c r="A1079" s="21">
        <v>2.1035160000000001E-2</v>
      </c>
      <c r="B1079" s="21">
        <f t="shared" si="32"/>
        <v>0.62735529999999995</v>
      </c>
      <c r="D1079">
        <f t="shared" si="33"/>
        <v>251.67339622641506</v>
      </c>
      <c r="G1079" s="21">
        <v>-0.80032139999999996</v>
      </c>
      <c r="H1079" s="21">
        <v>0.62735529999999995</v>
      </c>
    </row>
    <row r="1080" spans="1:8" x14ac:dyDescent="0.15">
      <c r="A1080" s="21">
        <v>2.1054690000000001E-2</v>
      </c>
      <c r="B1080" s="21">
        <f t="shared" si="32"/>
        <v>0.68605240000000001</v>
      </c>
      <c r="D1080">
        <f t="shared" si="33"/>
        <v>275.53012578616352</v>
      </c>
      <c r="G1080" s="21">
        <v>-0.87618580000000001</v>
      </c>
      <c r="H1080" s="21">
        <v>0.68605240000000001</v>
      </c>
    </row>
    <row r="1081" spans="1:8" x14ac:dyDescent="0.15">
      <c r="A1081" s="21">
        <v>2.1074220000000001E-2</v>
      </c>
      <c r="B1081" s="21">
        <f t="shared" si="32"/>
        <v>0.7213948</v>
      </c>
      <c r="D1081">
        <f t="shared" si="33"/>
        <v>289.91081761006285</v>
      </c>
      <c r="G1081" s="21">
        <v>-0.92191639999999997</v>
      </c>
      <c r="H1081" s="21">
        <v>0.7213948</v>
      </c>
    </row>
    <row r="1082" spans="1:8" x14ac:dyDescent="0.15">
      <c r="A1082" s="21">
        <v>2.1093750000000001E-2</v>
      </c>
      <c r="B1082" s="21">
        <f t="shared" si="32"/>
        <v>0.73412230000000001</v>
      </c>
      <c r="D1082">
        <f t="shared" si="33"/>
        <v>295.21220125786164</v>
      </c>
      <c r="G1082" s="21">
        <v>-0.93877480000000002</v>
      </c>
      <c r="H1082" s="21">
        <v>0.73412230000000001</v>
      </c>
    </row>
    <row r="1083" spans="1:8" x14ac:dyDescent="0.15">
      <c r="A1083" s="21">
        <v>2.1113280000000002E-2</v>
      </c>
      <c r="B1083" s="21">
        <f t="shared" si="32"/>
        <v>0.72224129999999997</v>
      </c>
      <c r="D1083">
        <f t="shared" si="33"/>
        <v>290.41097484276725</v>
      </c>
      <c r="G1083" s="21">
        <v>-0.92350690000000002</v>
      </c>
      <c r="H1083" s="21">
        <v>0.72224129999999997</v>
      </c>
    </row>
    <row r="1084" spans="1:8" x14ac:dyDescent="0.15">
      <c r="A1084" s="21">
        <v>2.1132809999999998E-2</v>
      </c>
      <c r="B1084" s="21">
        <f t="shared" si="32"/>
        <v>0.68395269999999997</v>
      </c>
      <c r="D1084">
        <f t="shared" si="33"/>
        <v>274.98537735849055</v>
      </c>
      <c r="G1084" s="21">
        <v>-0.87445349999999999</v>
      </c>
      <c r="H1084" s="21">
        <v>0.68395269999999997</v>
      </c>
    </row>
    <row r="1085" spans="1:8" x14ac:dyDescent="0.15">
      <c r="A1085" s="21">
        <v>2.1152339999999999E-2</v>
      </c>
      <c r="B1085" s="21">
        <f t="shared" si="32"/>
        <v>0.62375060000000004</v>
      </c>
      <c r="D1085">
        <f t="shared" si="33"/>
        <v>251.05465408805028</v>
      </c>
      <c r="G1085" s="21">
        <v>-0.7983538</v>
      </c>
      <c r="H1085" s="21">
        <v>0.62375060000000004</v>
      </c>
    </row>
    <row r="1086" spans="1:8" x14ac:dyDescent="0.15">
      <c r="A1086" s="21">
        <v>2.1171869999999999E-2</v>
      </c>
      <c r="B1086" s="21">
        <f t="shared" si="32"/>
        <v>0.54225579999999995</v>
      </c>
      <c r="D1086">
        <f t="shared" si="33"/>
        <v>218.23160377358488</v>
      </c>
      <c r="G1086" s="21">
        <v>-0.6939765</v>
      </c>
      <c r="H1086" s="21">
        <v>0.54225579999999995</v>
      </c>
    </row>
    <row r="1087" spans="1:8" x14ac:dyDescent="0.15">
      <c r="A1087" s="21">
        <v>2.1191410000000001E-2</v>
      </c>
      <c r="B1087" s="21">
        <f t="shared" si="32"/>
        <v>0.4420714</v>
      </c>
      <c r="D1087">
        <f t="shared" si="33"/>
        <v>177.85622641509434</v>
      </c>
      <c r="G1087" s="21">
        <v>-0.56558280000000005</v>
      </c>
      <c r="H1087" s="21">
        <v>0.4420714</v>
      </c>
    </row>
    <row r="1088" spans="1:8" x14ac:dyDescent="0.15">
      <c r="A1088" s="21">
        <v>2.1210940000000001E-2</v>
      </c>
      <c r="B1088" s="21">
        <f t="shared" si="32"/>
        <v>0.32801160000000001</v>
      </c>
      <c r="D1088">
        <f t="shared" si="33"/>
        <v>132.16638364779874</v>
      </c>
      <c r="G1088" s="21">
        <v>-0.42028910000000003</v>
      </c>
      <c r="H1088" s="21">
        <v>0.32801160000000001</v>
      </c>
    </row>
    <row r="1089" spans="1:8" x14ac:dyDescent="0.15">
      <c r="A1089" s="21">
        <v>2.1230470000000001E-2</v>
      </c>
      <c r="B1089" s="21">
        <f t="shared" si="32"/>
        <v>0.1998172</v>
      </c>
      <c r="D1089">
        <f t="shared" si="33"/>
        <v>80.65544025157233</v>
      </c>
      <c r="G1089" s="21">
        <v>-0.2564843</v>
      </c>
      <c r="H1089" s="21">
        <v>0.1998172</v>
      </c>
    </row>
    <row r="1090" spans="1:8" x14ac:dyDescent="0.15">
      <c r="A1090" s="21">
        <v>2.1250000000000002E-2</v>
      </c>
      <c r="B1090" s="21">
        <f t="shared" ref="B1090:B1153" si="34">H1090</f>
        <v>6.3796980000000003E-2</v>
      </c>
      <c r="D1090">
        <f t="shared" ref="D1090:D1153" si="35">G1090*-1000/3.18</f>
        <v>26.296638364779874</v>
      </c>
      <c r="G1090" s="21">
        <v>-8.3623310000000006E-2</v>
      </c>
      <c r="H1090" s="21">
        <v>6.3796980000000003E-2</v>
      </c>
    </row>
    <row r="1091" spans="1:8" x14ac:dyDescent="0.15">
      <c r="A1091" s="21">
        <v>2.1269529999999998E-2</v>
      </c>
      <c r="B1091" s="21">
        <f t="shared" si="34"/>
        <v>-7.1590490000000007E-2</v>
      </c>
      <c r="D1091">
        <f t="shared" si="35"/>
        <v>-27.645207547169811</v>
      </c>
      <c r="G1091" s="21">
        <v>8.7911760000000005E-2</v>
      </c>
      <c r="H1091" s="21">
        <v>-7.1590490000000007E-2</v>
      </c>
    </row>
    <row r="1092" spans="1:8" x14ac:dyDescent="0.15">
      <c r="A1092" s="21">
        <v>2.1289059999999999E-2</v>
      </c>
      <c r="B1092" s="21">
        <f t="shared" si="34"/>
        <v>-0.203599</v>
      </c>
      <c r="D1092">
        <f t="shared" si="35"/>
        <v>-80.536100628930811</v>
      </c>
      <c r="G1092" s="21">
        <v>0.25610480000000002</v>
      </c>
      <c r="H1092" s="21">
        <v>-0.203599</v>
      </c>
    </row>
    <row r="1093" spans="1:8" x14ac:dyDescent="0.15">
      <c r="A1093" s="21">
        <v>2.1308589999999999E-2</v>
      </c>
      <c r="B1093" s="21">
        <f t="shared" si="34"/>
        <v>-0.32720660000000001</v>
      </c>
      <c r="D1093">
        <f t="shared" si="35"/>
        <v>-130.06899371069184</v>
      </c>
      <c r="G1093" s="21">
        <v>0.41361940000000003</v>
      </c>
      <c r="H1093" s="21">
        <v>-0.32720660000000001</v>
      </c>
    </row>
    <row r="1094" spans="1:8" x14ac:dyDescent="0.15">
      <c r="A1094" s="21">
        <v>2.1328119999999999E-2</v>
      </c>
      <c r="B1094" s="21">
        <f t="shared" si="34"/>
        <v>-0.44005179999999999</v>
      </c>
      <c r="D1094">
        <f t="shared" si="35"/>
        <v>-175.32267295597484</v>
      </c>
      <c r="G1094" s="21">
        <v>0.55752610000000002</v>
      </c>
      <c r="H1094" s="21">
        <v>-0.44005179999999999</v>
      </c>
    </row>
    <row r="1095" spans="1:8" x14ac:dyDescent="0.15">
      <c r="A1095" s="21">
        <v>2.1347660000000001E-2</v>
      </c>
      <c r="B1095" s="21">
        <f t="shared" si="34"/>
        <v>-0.54073830000000001</v>
      </c>
      <c r="D1095">
        <f t="shared" si="35"/>
        <v>-215.64641509433963</v>
      </c>
      <c r="G1095" s="21">
        <v>0.68575560000000002</v>
      </c>
      <c r="H1095" s="21">
        <v>-0.54073830000000001</v>
      </c>
    </row>
    <row r="1096" spans="1:8" x14ac:dyDescent="0.15">
      <c r="A1096" s="21">
        <v>2.1367190000000001E-2</v>
      </c>
      <c r="B1096" s="21">
        <f t="shared" si="34"/>
        <v>-0.62227900000000003</v>
      </c>
      <c r="D1096">
        <f t="shared" si="35"/>
        <v>-248.13204402515726</v>
      </c>
      <c r="G1096" s="21">
        <v>0.78905990000000004</v>
      </c>
      <c r="H1096" s="21">
        <v>-0.62227900000000003</v>
      </c>
    </row>
    <row r="1097" spans="1:8" x14ac:dyDescent="0.15">
      <c r="A1097" s="21">
        <v>2.1386720000000001E-2</v>
      </c>
      <c r="B1097" s="21">
        <f t="shared" si="34"/>
        <v>-0.6820486</v>
      </c>
      <c r="D1097">
        <f t="shared" si="35"/>
        <v>-272.24550314465409</v>
      </c>
      <c r="G1097" s="21">
        <v>0.86574070000000003</v>
      </c>
      <c r="H1097" s="21">
        <v>-0.6820486</v>
      </c>
    </row>
    <row r="1098" spans="1:8" x14ac:dyDescent="0.15">
      <c r="A1098" s="21">
        <v>2.1406250000000002E-2</v>
      </c>
      <c r="B1098" s="21">
        <f t="shared" si="34"/>
        <v>-0.71963569999999999</v>
      </c>
      <c r="D1098">
        <f t="shared" si="35"/>
        <v>-287.67688679245282</v>
      </c>
      <c r="G1098" s="21">
        <v>0.91481250000000003</v>
      </c>
      <c r="H1098" s="21">
        <v>-0.71963569999999999</v>
      </c>
    </row>
    <row r="1099" spans="1:8" x14ac:dyDescent="0.15">
      <c r="A1099" s="21">
        <v>2.1425779999999998E-2</v>
      </c>
      <c r="B1099" s="21">
        <f t="shared" si="34"/>
        <v>-0.73269090000000003</v>
      </c>
      <c r="D1099">
        <f t="shared" si="35"/>
        <v>-292.99481132075471</v>
      </c>
      <c r="G1099" s="21">
        <v>0.93172350000000004</v>
      </c>
      <c r="H1099" s="21">
        <v>-0.73269090000000003</v>
      </c>
    </row>
    <row r="1100" spans="1:8" x14ac:dyDescent="0.15">
      <c r="A1100" s="21">
        <v>2.1445309999999999E-2</v>
      </c>
      <c r="B1100" s="21">
        <f t="shared" si="34"/>
        <v>-0.72218610000000005</v>
      </c>
      <c r="D1100">
        <f t="shared" si="35"/>
        <v>-288.90440251572323</v>
      </c>
      <c r="G1100" s="21">
        <v>0.91871599999999998</v>
      </c>
      <c r="H1100" s="21">
        <v>-0.72218610000000005</v>
      </c>
    </row>
    <row r="1101" spans="1:8" x14ac:dyDescent="0.15">
      <c r="A1101" s="21">
        <v>2.1464839999999999E-2</v>
      </c>
      <c r="B1101" s="21">
        <f t="shared" si="34"/>
        <v>-0.68761709999999998</v>
      </c>
      <c r="D1101">
        <f t="shared" si="35"/>
        <v>-275.32314465408803</v>
      </c>
      <c r="G1101" s="21">
        <v>0.87552759999999996</v>
      </c>
      <c r="H1101" s="21">
        <v>-0.68761709999999998</v>
      </c>
    </row>
    <row r="1102" spans="1:8" x14ac:dyDescent="0.15">
      <c r="A1102" s="21">
        <v>2.1484380000000001E-2</v>
      </c>
      <c r="B1102" s="21">
        <f t="shared" si="34"/>
        <v>-0.62843720000000003</v>
      </c>
      <c r="D1102">
        <f t="shared" si="35"/>
        <v>-251.83292452830185</v>
      </c>
      <c r="G1102" s="21">
        <v>0.80082869999999995</v>
      </c>
      <c r="H1102" s="21">
        <v>-0.62843720000000003</v>
      </c>
    </row>
    <row r="1103" spans="1:8" x14ac:dyDescent="0.15">
      <c r="A1103" s="21">
        <v>2.1503910000000001E-2</v>
      </c>
      <c r="B1103" s="21">
        <f t="shared" si="34"/>
        <v>-0.54786120000000005</v>
      </c>
      <c r="D1103">
        <f t="shared" si="35"/>
        <v>-219.73713836477987</v>
      </c>
      <c r="G1103" s="21">
        <v>0.6987641</v>
      </c>
      <c r="H1103" s="21">
        <v>-0.54786120000000005</v>
      </c>
    </row>
    <row r="1104" spans="1:8" x14ac:dyDescent="0.15">
      <c r="A1104" s="21">
        <v>2.1523440000000001E-2</v>
      </c>
      <c r="B1104" s="21">
        <f t="shared" si="34"/>
        <v>-0.44809510000000002</v>
      </c>
      <c r="D1104">
        <f t="shared" si="35"/>
        <v>-179.8172327044025</v>
      </c>
      <c r="G1104" s="21">
        <v>0.57181879999999996</v>
      </c>
      <c r="H1104" s="21">
        <v>-0.44809510000000002</v>
      </c>
    </row>
    <row r="1105" spans="1:8" x14ac:dyDescent="0.15">
      <c r="A1105" s="21">
        <v>2.1542970000000002E-2</v>
      </c>
      <c r="B1105" s="21">
        <f t="shared" si="34"/>
        <v>-0.3324877</v>
      </c>
      <c r="D1105">
        <f t="shared" si="35"/>
        <v>-133.62141509433962</v>
      </c>
      <c r="G1105" s="21">
        <v>0.42491610000000002</v>
      </c>
      <c r="H1105" s="21">
        <v>-0.3324877</v>
      </c>
    </row>
    <row r="1106" spans="1:8" x14ac:dyDescent="0.15">
      <c r="A1106" s="21">
        <v>2.1562499999999998E-2</v>
      </c>
      <c r="B1106" s="21">
        <f t="shared" si="34"/>
        <v>-0.2055302</v>
      </c>
      <c r="D1106">
        <f t="shared" si="35"/>
        <v>-82.93512578616351</v>
      </c>
      <c r="G1106" s="21">
        <v>0.26373370000000002</v>
      </c>
      <c r="H1106" s="21">
        <v>-0.2055302</v>
      </c>
    </row>
    <row r="1107" spans="1:8" x14ac:dyDescent="0.15">
      <c r="A1107" s="21">
        <v>2.1582029999999999E-2</v>
      </c>
      <c r="B1107" s="21">
        <f t="shared" si="34"/>
        <v>-7.1014279999999999E-2</v>
      </c>
      <c r="D1107">
        <f t="shared" si="35"/>
        <v>-29.047490566037734</v>
      </c>
      <c r="G1107" s="21">
        <v>9.2371019999999998E-2</v>
      </c>
      <c r="H1107" s="21">
        <v>-7.1014279999999999E-2</v>
      </c>
    </row>
    <row r="1108" spans="1:8" x14ac:dyDescent="0.15">
      <c r="A1108" s="21">
        <v>2.1601559999999999E-2</v>
      </c>
      <c r="B1108" s="21">
        <f t="shared" si="34"/>
        <v>6.4874520000000005E-2</v>
      </c>
      <c r="D1108">
        <f t="shared" si="35"/>
        <v>25.359352201257863</v>
      </c>
      <c r="G1108" s="21">
        <v>-8.0642740000000004E-2</v>
      </c>
      <c r="H1108" s="21">
        <v>6.4874520000000005E-2</v>
      </c>
    </row>
    <row r="1109" spans="1:8" x14ac:dyDescent="0.15">
      <c r="A1109" s="21">
        <v>2.1621089999999999E-2</v>
      </c>
      <c r="B1109" s="21">
        <f t="shared" si="34"/>
        <v>0.1972785</v>
      </c>
      <c r="D1109">
        <f t="shared" si="35"/>
        <v>78.502327044025151</v>
      </c>
      <c r="G1109" s="21">
        <v>-0.24963740000000001</v>
      </c>
      <c r="H1109" s="21">
        <v>0.1972785</v>
      </c>
    </row>
    <row r="1110" spans="1:8" x14ac:dyDescent="0.15">
      <c r="A1110" s="21">
        <v>2.1640630000000001E-2</v>
      </c>
      <c r="B1110" s="21">
        <f t="shared" si="34"/>
        <v>0.32307659999999999</v>
      </c>
      <c r="D1110">
        <f t="shared" si="35"/>
        <v>129.09103773584906</v>
      </c>
      <c r="G1110" s="21">
        <v>-0.41050950000000003</v>
      </c>
      <c r="H1110" s="21">
        <v>0.32307659999999999</v>
      </c>
    </row>
    <row r="1111" spans="1:8" x14ac:dyDescent="0.15">
      <c r="A1111" s="21">
        <v>2.1660160000000001E-2</v>
      </c>
      <c r="B1111" s="21">
        <f t="shared" si="34"/>
        <v>0.43722949999999999</v>
      </c>
      <c r="D1111">
        <f t="shared" si="35"/>
        <v>174.9168867924528</v>
      </c>
      <c r="G1111" s="21">
        <v>-0.5562357</v>
      </c>
      <c r="H1111" s="21">
        <v>0.43722949999999999</v>
      </c>
    </row>
    <row r="1112" spans="1:8" x14ac:dyDescent="0.15">
      <c r="A1112" s="21">
        <v>2.1679690000000001E-2</v>
      </c>
      <c r="B1112" s="21">
        <f t="shared" si="34"/>
        <v>0.53668039999999995</v>
      </c>
      <c r="D1112">
        <f t="shared" si="35"/>
        <v>215.00547169811318</v>
      </c>
      <c r="G1112" s="21">
        <v>-0.68371740000000003</v>
      </c>
      <c r="H1112" s="21">
        <v>0.53668039999999995</v>
      </c>
    </row>
    <row r="1113" spans="1:8" x14ac:dyDescent="0.15">
      <c r="A1113" s="21">
        <v>2.1699220000000002E-2</v>
      </c>
      <c r="B1113" s="21">
        <f t="shared" si="34"/>
        <v>0.61882309999999996</v>
      </c>
      <c r="D1113">
        <f t="shared" si="35"/>
        <v>248.22025157232704</v>
      </c>
      <c r="G1113" s="21">
        <v>-0.78934040000000005</v>
      </c>
      <c r="H1113" s="21">
        <v>0.61882309999999996</v>
      </c>
    </row>
    <row r="1114" spans="1:8" x14ac:dyDescent="0.15">
      <c r="A1114" s="21">
        <v>2.1718749999999998E-2</v>
      </c>
      <c r="B1114" s="21">
        <f t="shared" si="34"/>
        <v>0.67918489999999998</v>
      </c>
      <c r="D1114">
        <f t="shared" si="35"/>
        <v>272.65962264150943</v>
      </c>
      <c r="G1114" s="21">
        <v>-0.86705759999999998</v>
      </c>
      <c r="H1114" s="21">
        <v>0.67918489999999998</v>
      </c>
    </row>
    <row r="1115" spans="1:8" x14ac:dyDescent="0.15">
      <c r="A1115" s="21">
        <v>2.1738279999999999E-2</v>
      </c>
      <c r="B1115" s="21">
        <f t="shared" si="34"/>
        <v>0.71742329999999999</v>
      </c>
      <c r="D1115">
        <f t="shared" si="35"/>
        <v>288.25490566037735</v>
      </c>
      <c r="G1115" s="21">
        <v>-0.91665059999999998</v>
      </c>
      <c r="H1115" s="21">
        <v>0.71742329999999999</v>
      </c>
    </row>
    <row r="1116" spans="1:8" x14ac:dyDescent="0.15">
      <c r="A1116" s="21">
        <v>2.1757809999999999E-2</v>
      </c>
      <c r="B1116" s="21">
        <f t="shared" si="34"/>
        <v>0.73380489999999998</v>
      </c>
      <c r="D1116">
        <f t="shared" si="35"/>
        <v>294.97018867924527</v>
      </c>
      <c r="G1116" s="21">
        <v>-0.93800519999999998</v>
      </c>
      <c r="H1116" s="21">
        <v>0.73380489999999998</v>
      </c>
    </row>
    <row r="1117" spans="1:8" x14ac:dyDescent="0.15">
      <c r="A1117" s="21">
        <v>2.1777339999999999E-2</v>
      </c>
      <c r="B1117" s="21">
        <f t="shared" si="34"/>
        <v>0.72493940000000001</v>
      </c>
      <c r="D1117">
        <f t="shared" si="35"/>
        <v>291.43188679245281</v>
      </c>
      <c r="G1117" s="21">
        <v>-0.92675339999999995</v>
      </c>
      <c r="H1117" s="21">
        <v>0.72493940000000001</v>
      </c>
    </row>
    <row r="1118" spans="1:8" x14ac:dyDescent="0.15">
      <c r="A1118" s="21">
        <v>2.1796880000000001E-2</v>
      </c>
      <c r="B1118" s="21">
        <f t="shared" si="34"/>
        <v>0.69081870000000001</v>
      </c>
      <c r="D1118">
        <f t="shared" si="35"/>
        <v>277.77584905660376</v>
      </c>
      <c r="G1118" s="21">
        <v>-0.88332719999999998</v>
      </c>
      <c r="H1118" s="21">
        <v>0.69081870000000001</v>
      </c>
    </row>
    <row r="1119" spans="1:8" x14ac:dyDescent="0.15">
      <c r="A1119" s="21">
        <v>2.1816410000000001E-2</v>
      </c>
      <c r="B1119" s="21">
        <f t="shared" si="34"/>
        <v>0.63316099999999997</v>
      </c>
      <c r="D1119">
        <f t="shared" si="35"/>
        <v>254.64103773584904</v>
      </c>
      <c r="G1119" s="21">
        <v>-0.80975850000000005</v>
      </c>
      <c r="H1119" s="21">
        <v>0.63316099999999997</v>
      </c>
    </row>
    <row r="1120" spans="1:8" x14ac:dyDescent="0.15">
      <c r="A1120" s="21">
        <v>2.1835940000000002E-2</v>
      </c>
      <c r="B1120" s="21">
        <f t="shared" si="34"/>
        <v>0.55334680000000003</v>
      </c>
      <c r="D1120">
        <f t="shared" si="35"/>
        <v>222.5925471698113</v>
      </c>
      <c r="G1120" s="21">
        <v>-0.70784429999999998</v>
      </c>
      <c r="H1120" s="21">
        <v>0.55334680000000003</v>
      </c>
    </row>
    <row r="1121" spans="1:8" x14ac:dyDescent="0.15">
      <c r="A1121" s="21">
        <v>2.1855469999999998E-2</v>
      </c>
      <c r="B1121" s="21">
        <f t="shared" si="34"/>
        <v>0.4560884</v>
      </c>
      <c r="D1121">
        <f t="shared" si="35"/>
        <v>183.56393081761004</v>
      </c>
      <c r="G1121" s="21">
        <v>-0.58373330000000001</v>
      </c>
      <c r="H1121" s="21">
        <v>0.4560884</v>
      </c>
    </row>
    <row r="1122" spans="1:8" x14ac:dyDescent="0.15">
      <c r="A1122" s="21">
        <v>2.1874999999999999E-2</v>
      </c>
      <c r="B1122" s="21">
        <f t="shared" si="34"/>
        <v>0.34352080000000002</v>
      </c>
      <c r="D1122">
        <f t="shared" si="35"/>
        <v>138.27154088050315</v>
      </c>
      <c r="G1122" s="21">
        <v>-0.43970350000000002</v>
      </c>
      <c r="H1122" s="21">
        <v>0.34352080000000002</v>
      </c>
    </row>
    <row r="1123" spans="1:8" x14ac:dyDescent="0.15">
      <c r="A1123" s="21">
        <v>2.1894529999999999E-2</v>
      </c>
      <c r="B1123" s="21">
        <f t="shared" si="34"/>
        <v>0.21710180000000001</v>
      </c>
      <c r="D1123">
        <f t="shared" si="35"/>
        <v>87.531352201257846</v>
      </c>
      <c r="G1123" s="21">
        <v>-0.27834969999999998</v>
      </c>
      <c r="H1123" s="21">
        <v>0.21710180000000001</v>
      </c>
    </row>
    <row r="1124" spans="1:8" x14ac:dyDescent="0.15">
      <c r="A1124" s="21">
        <v>2.1914059999999999E-2</v>
      </c>
      <c r="B1124" s="21">
        <f t="shared" si="34"/>
        <v>8.2755629999999997E-2</v>
      </c>
      <c r="D1124">
        <f t="shared" si="35"/>
        <v>33.845188679245283</v>
      </c>
      <c r="G1124" s="21">
        <v>-0.10762770000000001</v>
      </c>
      <c r="H1124" s="21">
        <v>8.2755629999999997E-2</v>
      </c>
    </row>
    <row r="1125" spans="1:8" x14ac:dyDescent="0.15">
      <c r="A1125" s="21">
        <v>2.1933589999999999E-2</v>
      </c>
      <c r="B1125" s="21">
        <f t="shared" si="34"/>
        <v>-5.4039539999999997E-2</v>
      </c>
      <c r="D1125">
        <f t="shared" si="35"/>
        <v>-20.824031446540882</v>
      </c>
      <c r="G1125" s="21">
        <v>6.6220420000000002E-2</v>
      </c>
      <c r="H1125" s="21">
        <v>-5.4039539999999997E-2</v>
      </c>
    </row>
    <row r="1126" spans="1:8" x14ac:dyDescent="0.15">
      <c r="A1126" s="21">
        <v>2.1953130000000001E-2</v>
      </c>
      <c r="B1126" s="21">
        <f t="shared" si="34"/>
        <v>-0.18715599999999999</v>
      </c>
      <c r="D1126">
        <f t="shared" si="35"/>
        <v>-73.999779874213829</v>
      </c>
      <c r="G1126" s="21">
        <v>0.23531930000000001</v>
      </c>
      <c r="H1126" s="21">
        <v>-0.18715599999999999</v>
      </c>
    </row>
    <row r="1127" spans="1:8" x14ac:dyDescent="0.15">
      <c r="A1127" s="21">
        <v>2.1972660000000001E-2</v>
      </c>
      <c r="B1127" s="21">
        <f t="shared" si="34"/>
        <v>-0.31182720000000003</v>
      </c>
      <c r="D1127">
        <f t="shared" si="35"/>
        <v>-123.95213836477987</v>
      </c>
      <c r="G1127" s="21">
        <v>0.39416780000000001</v>
      </c>
      <c r="H1127" s="21">
        <v>-0.31182720000000003</v>
      </c>
    </row>
    <row r="1128" spans="1:8" x14ac:dyDescent="0.15">
      <c r="A1128" s="21">
        <v>2.1992189999999998E-2</v>
      </c>
      <c r="B1128" s="21">
        <f t="shared" si="34"/>
        <v>-0.42666470000000001</v>
      </c>
      <c r="D1128">
        <f t="shared" si="35"/>
        <v>-170.04289308176101</v>
      </c>
      <c r="G1128" s="21">
        <v>0.54073640000000001</v>
      </c>
      <c r="H1128" s="21">
        <v>-0.42666470000000001</v>
      </c>
    </row>
    <row r="1129" spans="1:8" x14ac:dyDescent="0.15">
      <c r="A1129" s="21">
        <v>2.2011719999999999E-2</v>
      </c>
      <c r="B1129" s="21">
        <f t="shared" si="34"/>
        <v>-0.52823390000000003</v>
      </c>
      <c r="D1129">
        <f t="shared" si="35"/>
        <v>-210.62424528301887</v>
      </c>
      <c r="G1129" s="21">
        <v>0.66978510000000002</v>
      </c>
      <c r="H1129" s="21">
        <v>-0.52823390000000003</v>
      </c>
    </row>
    <row r="1130" spans="1:8" x14ac:dyDescent="0.15">
      <c r="A1130" s="21">
        <v>2.2031249999999999E-2</v>
      </c>
      <c r="B1130" s="21">
        <f t="shared" si="34"/>
        <v>-0.61250640000000001</v>
      </c>
      <c r="D1130">
        <f t="shared" si="35"/>
        <v>-244.36880503144653</v>
      </c>
      <c r="G1130" s="21">
        <v>0.77709280000000003</v>
      </c>
      <c r="H1130" s="21">
        <v>-0.61250640000000001</v>
      </c>
    </row>
    <row r="1131" spans="1:8" x14ac:dyDescent="0.15">
      <c r="A1131" s="21">
        <v>2.2050779999999999E-2</v>
      </c>
      <c r="B1131" s="21">
        <f t="shared" si="34"/>
        <v>-0.67589719999999998</v>
      </c>
      <c r="D1131">
        <f t="shared" si="35"/>
        <v>-269.84729559748428</v>
      </c>
      <c r="G1131" s="21">
        <v>0.85811440000000005</v>
      </c>
      <c r="H1131" s="21">
        <v>-0.67589719999999998</v>
      </c>
    </row>
    <row r="1132" spans="1:8" x14ac:dyDescent="0.15">
      <c r="A1132" s="21">
        <v>2.2070309999999999E-2</v>
      </c>
      <c r="B1132" s="21">
        <f t="shared" si="34"/>
        <v>-0.71618020000000004</v>
      </c>
      <c r="D1132">
        <f t="shared" si="35"/>
        <v>-286.16075471698116</v>
      </c>
      <c r="G1132" s="21">
        <v>0.9099912</v>
      </c>
      <c r="H1132" s="21">
        <v>-0.71618020000000004</v>
      </c>
    </row>
    <row r="1133" spans="1:8" x14ac:dyDescent="0.15">
      <c r="A1133" s="21">
        <v>2.2089839999999999E-2</v>
      </c>
      <c r="B1133" s="21">
        <f t="shared" si="34"/>
        <v>-0.73356540000000003</v>
      </c>
      <c r="D1133">
        <f t="shared" si="35"/>
        <v>-293.40066037735846</v>
      </c>
      <c r="G1133" s="21">
        <v>0.93301409999999996</v>
      </c>
      <c r="H1133" s="21">
        <v>-0.73356540000000003</v>
      </c>
    </row>
    <row r="1134" spans="1:8" x14ac:dyDescent="0.15">
      <c r="A1134" s="21">
        <v>2.2109380000000001E-2</v>
      </c>
      <c r="B1134" s="21">
        <f t="shared" si="34"/>
        <v>-0.72616230000000004</v>
      </c>
      <c r="D1134">
        <f t="shared" si="35"/>
        <v>-290.47635220125784</v>
      </c>
      <c r="G1134" s="21">
        <v>0.92371479999999995</v>
      </c>
      <c r="H1134" s="21">
        <v>-0.72616230000000004</v>
      </c>
    </row>
    <row r="1135" spans="1:8" x14ac:dyDescent="0.15">
      <c r="A1135" s="21">
        <v>2.2128910000000002E-2</v>
      </c>
      <c r="B1135" s="21">
        <f t="shared" si="34"/>
        <v>-0.69338379999999999</v>
      </c>
      <c r="D1135">
        <f t="shared" si="35"/>
        <v>-277.53144654088049</v>
      </c>
      <c r="G1135" s="21">
        <v>0.88254999999999995</v>
      </c>
      <c r="H1135" s="21">
        <v>-0.69338379999999999</v>
      </c>
    </row>
    <row r="1136" spans="1:8" x14ac:dyDescent="0.15">
      <c r="A1136" s="21">
        <v>2.2148439999999998E-2</v>
      </c>
      <c r="B1136" s="21">
        <f t="shared" si="34"/>
        <v>-0.63782930000000004</v>
      </c>
      <c r="D1136">
        <f t="shared" si="35"/>
        <v>-255.65679245283016</v>
      </c>
      <c r="G1136" s="21">
        <v>0.81298859999999995</v>
      </c>
      <c r="H1136" s="21">
        <v>-0.63782930000000004</v>
      </c>
    </row>
    <row r="1137" spans="1:8" x14ac:dyDescent="0.15">
      <c r="A1137" s="21">
        <v>2.2167969999999999E-2</v>
      </c>
      <c r="B1137" s="21">
        <f t="shared" si="34"/>
        <v>-0.56001679999999998</v>
      </c>
      <c r="D1137">
        <f t="shared" si="35"/>
        <v>-224.56069182389939</v>
      </c>
      <c r="G1137" s="21">
        <v>0.71410300000000004</v>
      </c>
      <c r="H1137" s="21">
        <v>-0.56001679999999998</v>
      </c>
    </row>
    <row r="1138" spans="1:8" x14ac:dyDescent="0.15">
      <c r="A1138" s="21">
        <v>2.2187499999999999E-2</v>
      </c>
      <c r="B1138" s="21">
        <f t="shared" si="34"/>
        <v>-0.46256730000000001</v>
      </c>
      <c r="D1138">
        <f t="shared" si="35"/>
        <v>-185.63503144654089</v>
      </c>
      <c r="G1138" s="21">
        <v>0.59031940000000005</v>
      </c>
      <c r="H1138" s="21">
        <v>-0.46256730000000001</v>
      </c>
    </row>
    <row r="1139" spans="1:8" x14ac:dyDescent="0.15">
      <c r="A1139" s="21">
        <v>2.2207029999999999E-2</v>
      </c>
      <c r="B1139" s="21">
        <f t="shared" si="34"/>
        <v>-0.34961490000000001</v>
      </c>
      <c r="D1139">
        <f t="shared" si="35"/>
        <v>-140.53801886792454</v>
      </c>
      <c r="G1139" s="21">
        <v>0.4469109</v>
      </c>
      <c r="H1139" s="21">
        <v>-0.34961490000000001</v>
      </c>
    </row>
    <row r="1140" spans="1:8" x14ac:dyDescent="0.15">
      <c r="A1140" s="21">
        <v>2.2226559999999999E-2</v>
      </c>
      <c r="B1140" s="21">
        <f t="shared" si="34"/>
        <v>-0.22314829999999999</v>
      </c>
      <c r="D1140">
        <f t="shared" si="35"/>
        <v>-89.94896226415095</v>
      </c>
      <c r="G1140" s="21">
        <v>0.28603770000000001</v>
      </c>
      <c r="H1140" s="21">
        <v>-0.22314829999999999</v>
      </c>
    </row>
    <row r="1141" spans="1:8" x14ac:dyDescent="0.15">
      <c r="A1141" s="21">
        <v>2.224609E-2</v>
      </c>
      <c r="B1141" s="21">
        <f t="shared" si="34"/>
        <v>-8.9224129999999999E-2</v>
      </c>
      <c r="D1141">
        <f t="shared" si="35"/>
        <v>-36.456257861635223</v>
      </c>
      <c r="G1141" s="21">
        <v>0.1159309</v>
      </c>
      <c r="H1141" s="21">
        <v>-8.9224129999999999E-2</v>
      </c>
    </row>
    <row r="1142" spans="1:8" x14ac:dyDescent="0.15">
      <c r="A1142" s="21">
        <v>2.2265630000000002E-2</v>
      </c>
      <c r="B1142" s="21">
        <f t="shared" si="34"/>
        <v>4.6612569999999999E-2</v>
      </c>
      <c r="D1142">
        <f t="shared" si="35"/>
        <v>18.064116352201257</v>
      </c>
      <c r="G1142" s="21">
        <v>-5.7443889999999997E-2</v>
      </c>
      <c r="H1142" s="21">
        <v>4.6612569999999999E-2</v>
      </c>
    </row>
    <row r="1143" spans="1:8" x14ac:dyDescent="0.15">
      <c r="A1143" s="21">
        <v>2.2285159999999998E-2</v>
      </c>
      <c r="B1143" s="21">
        <f t="shared" si="34"/>
        <v>0.18060509999999999</v>
      </c>
      <c r="D1143">
        <f t="shared" si="35"/>
        <v>71.806886792452829</v>
      </c>
      <c r="G1143" s="21">
        <v>-0.22834589999999999</v>
      </c>
      <c r="H1143" s="21">
        <v>0.18060509999999999</v>
      </c>
    </row>
    <row r="1144" spans="1:8" x14ac:dyDescent="0.15">
      <c r="A1144" s="21">
        <v>2.2304689999999999E-2</v>
      </c>
      <c r="B1144" s="21">
        <f t="shared" si="34"/>
        <v>0.30620160000000002</v>
      </c>
      <c r="D1144">
        <f t="shared" si="35"/>
        <v>122.12396226415093</v>
      </c>
      <c r="G1144" s="21">
        <v>-0.38835419999999998</v>
      </c>
      <c r="H1144" s="21">
        <v>0.30620160000000002</v>
      </c>
    </row>
    <row r="1145" spans="1:8" x14ac:dyDescent="0.15">
      <c r="A1145" s="21">
        <v>2.2324219999999999E-2</v>
      </c>
      <c r="B1145" s="21">
        <f t="shared" si="34"/>
        <v>0.42204019999999998</v>
      </c>
      <c r="D1145">
        <f t="shared" si="35"/>
        <v>168.89188679245282</v>
      </c>
      <c r="G1145" s="21">
        <v>-0.5370762</v>
      </c>
      <c r="H1145" s="21">
        <v>0.42204019999999998</v>
      </c>
    </row>
    <row r="1146" spans="1:8" x14ac:dyDescent="0.15">
      <c r="A1146" s="21">
        <v>2.2343749999999999E-2</v>
      </c>
      <c r="B1146" s="21">
        <f t="shared" si="34"/>
        <v>0.52513900000000002</v>
      </c>
      <c r="D1146">
        <f t="shared" si="35"/>
        <v>210.34710691823901</v>
      </c>
      <c r="G1146" s="21">
        <v>-0.66890380000000005</v>
      </c>
      <c r="H1146" s="21">
        <v>0.52513900000000002</v>
      </c>
    </row>
    <row r="1147" spans="1:8" x14ac:dyDescent="0.15">
      <c r="A1147" s="21">
        <v>2.2363279999999999E-2</v>
      </c>
      <c r="B1147" s="21">
        <f t="shared" si="34"/>
        <v>0.60854719999999995</v>
      </c>
      <c r="D1147">
        <f t="shared" si="35"/>
        <v>243.8835534591195</v>
      </c>
      <c r="G1147" s="21">
        <v>-0.77554970000000001</v>
      </c>
      <c r="H1147" s="21">
        <v>0.60854719999999995</v>
      </c>
    </row>
    <row r="1148" spans="1:8" x14ac:dyDescent="0.15">
      <c r="A1148" s="21">
        <v>2.238281E-2</v>
      </c>
      <c r="B1148" s="21">
        <f t="shared" si="34"/>
        <v>0.67221790000000003</v>
      </c>
      <c r="D1148">
        <f t="shared" si="35"/>
        <v>269.84622641509435</v>
      </c>
      <c r="G1148" s="21">
        <v>-0.85811099999999996</v>
      </c>
      <c r="H1148" s="21">
        <v>0.67221790000000003</v>
      </c>
    </row>
    <row r="1149" spans="1:8" x14ac:dyDescent="0.15">
      <c r="A1149" s="21">
        <v>2.240234E-2</v>
      </c>
      <c r="B1149" s="21">
        <f t="shared" si="34"/>
        <v>0.71443590000000001</v>
      </c>
      <c r="D1149">
        <f t="shared" si="35"/>
        <v>287.01295597484273</v>
      </c>
      <c r="G1149" s="21">
        <v>-0.91270119999999999</v>
      </c>
      <c r="H1149" s="21">
        <v>0.71443590000000001</v>
      </c>
    </row>
    <row r="1150" spans="1:8" x14ac:dyDescent="0.15">
      <c r="A1150" s="21">
        <v>2.2421880000000002E-2</v>
      </c>
      <c r="B1150" s="21">
        <f t="shared" si="34"/>
        <v>0.73273679999999997</v>
      </c>
      <c r="D1150">
        <f t="shared" si="35"/>
        <v>294.4757232704402</v>
      </c>
      <c r="G1150" s="21">
        <v>-0.93643279999999995</v>
      </c>
      <c r="H1150" s="21">
        <v>0.73273679999999997</v>
      </c>
    </row>
    <row r="1151" spans="1:8" x14ac:dyDescent="0.15">
      <c r="A1151" s="21">
        <v>2.2441409999999998E-2</v>
      </c>
      <c r="B1151" s="21">
        <f t="shared" si="34"/>
        <v>0.7277612</v>
      </c>
      <c r="D1151">
        <f t="shared" si="35"/>
        <v>292.54871069182389</v>
      </c>
      <c r="G1151" s="21">
        <v>-0.93030489999999999</v>
      </c>
      <c r="H1151" s="21">
        <v>0.7277612</v>
      </c>
    </row>
    <row r="1152" spans="1:8" x14ac:dyDescent="0.15">
      <c r="A1152" s="21">
        <v>2.2460939999999999E-2</v>
      </c>
      <c r="B1152" s="21">
        <f t="shared" si="34"/>
        <v>0.69690249999999998</v>
      </c>
      <c r="D1152">
        <f t="shared" si="35"/>
        <v>280.1417924528302</v>
      </c>
      <c r="G1152" s="21">
        <v>-0.8908509</v>
      </c>
      <c r="H1152" s="21">
        <v>0.69690249999999998</v>
      </c>
    </row>
    <row r="1153" spans="1:8" x14ac:dyDescent="0.15">
      <c r="A1153" s="21">
        <v>2.2480469999999999E-2</v>
      </c>
      <c r="B1153" s="21">
        <f t="shared" si="34"/>
        <v>0.64175079999999995</v>
      </c>
      <c r="D1153">
        <f t="shared" si="35"/>
        <v>258.15889937106914</v>
      </c>
      <c r="G1153" s="21">
        <v>-0.82094529999999999</v>
      </c>
      <c r="H1153" s="21">
        <v>0.64175079999999995</v>
      </c>
    </row>
    <row r="1154" spans="1:8" x14ac:dyDescent="0.15">
      <c r="A1154" s="21">
        <v>2.2499999999999999E-2</v>
      </c>
      <c r="B1154" s="21">
        <f t="shared" ref="B1154:B1217" si="36">H1154</f>
        <v>0.56588090000000002</v>
      </c>
      <c r="D1154">
        <f t="shared" ref="D1154:D1217" si="37">G1154*-1000/3.18</f>
        <v>227.69654088050314</v>
      </c>
      <c r="G1154" s="21">
        <v>-0.72407500000000002</v>
      </c>
      <c r="H1154" s="21">
        <v>0.56588090000000002</v>
      </c>
    </row>
    <row r="1155" spans="1:8" x14ac:dyDescent="0.15">
      <c r="A1155" s="21">
        <v>2.2519529999999999E-2</v>
      </c>
      <c r="B1155" s="21">
        <f t="shared" si="36"/>
        <v>0.47024739999999998</v>
      </c>
      <c r="D1155">
        <f t="shared" si="37"/>
        <v>189.13905660377355</v>
      </c>
      <c r="G1155" s="21">
        <v>-0.60146219999999995</v>
      </c>
      <c r="H1155" s="21">
        <v>0.47024739999999998</v>
      </c>
    </row>
    <row r="1156" spans="1:8" x14ac:dyDescent="0.15">
      <c r="A1156" s="21">
        <v>2.253906E-2</v>
      </c>
      <c r="B1156" s="21">
        <f t="shared" si="36"/>
        <v>0.35915130000000001</v>
      </c>
      <c r="D1156">
        <f t="shared" si="37"/>
        <v>144.61427672955975</v>
      </c>
      <c r="G1156" s="21">
        <v>-0.45987339999999999</v>
      </c>
      <c r="H1156" s="21">
        <v>0.35915130000000001</v>
      </c>
    </row>
    <row r="1157" spans="1:8" x14ac:dyDescent="0.15">
      <c r="A1157" s="21">
        <v>2.255859E-2</v>
      </c>
      <c r="B1157" s="21">
        <f t="shared" si="36"/>
        <v>0.23481640000000001</v>
      </c>
      <c r="D1157">
        <f t="shared" si="37"/>
        <v>94.706415094339619</v>
      </c>
      <c r="G1157" s="21">
        <v>-0.3011664</v>
      </c>
      <c r="H1157" s="21">
        <v>0.23481640000000001</v>
      </c>
    </row>
    <row r="1158" spans="1:8" x14ac:dyDescent="0.15">
      <c r="A1158" s="21">
        <v>2.2578129999999998E-2</v>
      </c>
      <c r="B1158" s="21">
        <f t="shared" si="36"/>
        <v>0.1002111</v>
      </c>
      <c r="D1158">
        <f t="shared" si="37"/>
        <v>40.750062893081761</v>
      </c>
      <c r="G1158" s="21">
        <v>-0.12958520000000001</v>
      </c>
      <c r="H1158" s="21">
        <v>0.1002111</v>
      </c>
    </row>
    <row r="1159" spans="1:8" x14ac:dyDescent="0.15">
      <c r="A1159" s="21">
        <v>2.2597659999999999E-2</v>
      </c>
      <c r="B1159" s="21">
        <f t="shared" si="36"/>
        <v>-3.554504E-2</v>
      </c>
      <c r="D1159">
        <f t="shared" si="37"/>
        <v>-13.337943396226414</v>
      </c>
      <c r="G1159" s="21">
        <v>4.241466E-2</v>
      </c>
      <c r="H1159" s="21">
        <v>-3.554504E-2</v>
      </c>
    </row>
    <row r="1160" spans="1:8" x14ac:dyDescent="0.15">
      <c r="A1160" s="21">
        <v>2.2617189999999999E-2</v>
      </c>
      <c r="B1160" s="21">
        <f t="shared" si="36"/>
        <v>-0.16833880000000001</v>
      </c>
      <c r="D1160">
        <f t="shared" si="37"/>
        <v>-66.475911949685539</v>
      </c>
      <c r="G1160" s="21">
        <v>0.21139340000000001</v>
      </c>
      <c r="H1160" s="21">
        <v>-0.16833880000000001</v>
      </c>
    </row>
    <row r="1161" spans="1:8" x14ac:dyDescent="0.15">
      <c r="A1161" s="21">
        <v>2.2636719999999999E-2</v>
      </c>
      <c r="B1161" s="21">
        <f t="shared" si="36"/>
        <v>-0.2956162</v>
      </c>
      <c r="D1161">
        <f t="shared" si="37"/>
        <v>-117.49996855345911</v>
      </c>
      <c r="G1161" s="21">
        <v>0.37364989999999998</v>
      </c>
      <c r="H1161" s="21">
        <v>-0.2956162</v>
      </c>
    </row>
    <row r="1162" spans="1:8" x14ac:dyDescent="0.15">
      <c r="A1162" s="21">
        <v>2.2656249999999999E-2</v>
      </c>
      <c r="B1162" s="21">
        <f t="shared" si="36"/>
        <v>-0.41168329999999997</v>
      </c>
      <c r="D1162">
        <f t="shared" si="37"/>
        <v>-163.91411949685534</v>
      </c>
      <c r="G1162" s="21">
        <v>0.52124689999999996</v>
      </c>
      <c r="H1162" s="21">
        <v>-0.41168329999999997</v>
      </c>
    </row>
    <row r="1163" spans="1:8" x14ac:dyDescent="0.15">
      <c r="A1163" s="21">
        <v>2.267578E-2</v>
      </c>
      <c r="B1163" s="21">
        <f t="shared" si="36"/>
        <v>-0.51540629999999998</v>
      </c>
      <c r="D1163">
        <f t="shared" si="37"/>
        <v>-205.5287106918239</v>
      </c>
      <c r="G1163" s="21">
        <v>0.65358130000000003</v>
      </c>
      <c r="H1163" s="21">
        <v>-0.51540629999999998</v>
      </c>
    </row>
    <row r="1164" spans="1:8" x14ac:dyDescent="0.15">
      <c r="A1164" s="21">
        <v>2.269531E-2</v>
      </c>
      <c r="B1164" s="21">
        <f t="shared" si="36"/>
        <v>-0.60256330000000002</v>
      </c>
      <c r="D1164">
        <f t="shared" si="37"/>
        <v>-240.35849056603774</v>
      </c>
      <c r="G1164" s="21">
        <v>0.76434000000000002</v>
      </c>
      <c r="H1164" s="21">
        <v>-0.60256330000000002</v>
      </c>
    </row>
    <row r="1165" spans="1:8" x14ac:dyDescent="0.15">
      <c r="A1165" s="21">
        <v>2.271484E-2</v>
      </c>
      <c r="B1165" s="21">
        <f t="shared" si="36"/>
        <v>-0.66773159999999998</v>
      </c>
      <c r="D1165">
        <f t="shared" si="37"/>
        <v>-266.52339622641506</v>
      </c>
      <c r="G1165" s="21">
        <v>0.84754439999999998</v>
      </c>
      <c r="H1165" s="21">
        <v>-0.66773159999999998</v>
      </c>
    </row>
    <row r="1166" spans="1:8" x14ac:dyDescent="0.15">
      <c r="A1166" s="21">
        <v>2.2734379999999998E-2</v>
      </c>
      <c r="B1166" s="21">
        <f t="shared" si="36"/>
        <v>-0.71166649999999998</v>
      </c>
      <c r="D1166">
        <f t="shared" si="37"/>
        <v>-284.4830817610063</v>
      </c>
      <c r="G1166" s="21">
        <v>0.90465620000000002</v>
      </c>
      <c r="H1166" s="21">
        <v>-0.71166649999999998</v>
      </c>
    </row>
    <row r="1167" spans="1:8" x14ac:dyDescent="0.15">
      <c r="A1167" s="21">
        <v>2.2753909999999999E-2</v>
      </c>
      <c r="B1167" s="21">
        <f t="shared" si="36"/>
        <v>-0.73197159999999994</v>
      </c>
      <c r="D1167">
        <f t="shared" si="37"/>
        <v>-292.64402515723265</v>
      </c>
      <c r="G1167" s="21">
        <v>0.93060799999999999</v>
      </c>
      <c r="H1167" s="21">
        <v>-0.73197159999999994</v>
      </c>
    </row>
    <row r="1168" spans="1:8" x14ac:dyDescent="0.15">
      <c r="A1168" s="21">
        <v>2.2773439999999999E-2</v>
      </c>
      <c r="B1168" s="21">
        <f t="shared" si="36"/>
        <v>-0.72726230000000003</v>
      </c>
      <c r="D1168">
        <f t="shared" si="37"/>
        <v>-290.83949685534589</v>
      </c>
      <c r="G1168" s="21">
        <v>0.92486959999999996</v>
      </c>
      <c r="H1168" s="21">
        <v>-0.72726230000000003</v>
      </c>
    </row>
    <row r="1169" spans="1:8" x14ac:dyDescent="0.15">
      <c r="A1169" s="21">
        <v>2.2792969999999999E-2</v>
      </c>
      <c r="B1169" s="21">
        <f t="shared" si="36"/>
        <v>-0.69930829999999999</v>
      </c>
      <c r="D1169">
        <f t="shared" si="37"/>
        <v>-279.96701257861633</v>
      </c>
      <c r="G1169" s="21">
        <v>0.89029510000000001</v>
      </c>
      <c r="H1169" s="21">
        <v>-0.69930829999999999</v>
      </c>
    </row>
    <row r="1170" spans="1:8" x14ac:dyDescent="0.15">
      <c r="A1170" s="21">
        <v>2.2812499999999999E-2</v>
      </c>
      <c r="B1170" s="21">
        <f t="shared" si="36"/>
        <v>-0.64639659999999999</v>
      </c>
      <c r="D1170">
        <f t="shared" si="37"/>
        <v>-258.89081761006292</v>
      </c>
      <c r="G1170" s="21">
        <v>0.82327280000000003</v>
      </c>
      <c r="H1170" s="21">
        <v>-0.64639659999999999</v>
      </c>
    </row>
    <row r="1171" spans="1:8" x14ac:dyDescent="0.15">
      <c r="A1171" s="21">
        <v>2.283203E-2</v>
      </c>
      <c r="B1171" s="21">
        <f t="shared" si="36"/>
        <v>-0.57076439999999995</v>
      </c>
      <c r="D1171">
        <f t="shared" si="37"/>
        <v>-228.77754716981127</v>
      </c>
      <c r="G1171" s="21">
        <v>0.72751259999999995</v>
      </c>
      <c r="H1171" s="21">
        <v>-0.57076439999999995</v>
      </c>
    </row>
    <row r="1172" spans="1:8" x14ac:dyDescent="0.15">
      <c r="A1172" s="21">
        <v>2.285156E-2</v>
      </c>
      <c r="B1172" s="21">
        <f t="shared" si="36"/>
        <v>-0.47656120000000002</v>
      </c>
      <c r="D1172">
        <f t="shared" si="37"/>
        <v>-191.21018867924528</v>
      </c>
      <c r="G1172" s="21">
        <v>0.60804840000000004</v>
      </c>
      <c r="H1172" s="21">
        <v>-0.47656120000000002</v>
      </c>
    </row>
    <row r="1173" spans="1:8" x14ac:dyDescent="0.15">
      <c r="A1173" s="21">
        <v>2.287109E-2</v>
      </c>
      <c r="B1173" s="21">
        <f t="shared" si="36"/>
        <v>-0.36442750000000002</v>
      </c>
      <c r="D1173">
        <f t="shared" si="37"/>
        <v>-146.32559748427673</v>
      </c>
      <c r="G1173" s="21">
        <v>0.46531539999999999</v>
      </c>
      <c r="H1173" s="21">
        <v>-0.36442750000000002</v>
      </c>
    </row>
    <row r="1174" spans="1:8" x14ac:dyDescent="0.15">
      <c r="A1174" s="21">
        <v>2.2890629999999999E-2</v>
      </c>
      <c r="B1174" s="21">
        <f t="shared" si="36"/>
        <v>-0.23937939999999999</v>
      </c>
      <c r="D1174">
        <f t="shared" si="37"/>
        <v>-96.476855345911943</v>
      </c>
      <c r="G1174" s="21">
        <v>0.30679640000000002</v>
      </c>
      <c r="H1174" s="21">
        <v>-0.23937939999999999</v>
      </c>
    </row>
    <row r="1175" spans="1:8" x14ac:dyDescent="0.15">
      <c r="A1175" s="21">
        <v>2.2910159999999999E-2</v>
      </c>
      <c r="B1175" s="21">
        <f t="shared" si="36"/>
        <v>-0.1072531</v>
      </c>
      <c r="D1175">
        <f t="shared" si="37"/>
        <v>-43.678773584905663</v>
      </c>
      <c r="G1175" s="21">
        <v>0.13889850000000001</v>
      </c>
      <c r="H1175" s="21">
        <v>-0.1072531</v>
      </c>
    </row>
    <row r="1176" spans="1:8" x14ac:dyDescent="0.15">
      <c r="A1176" s="21">
        <v>2.2929689999999999E-2</v>
      </c>
      <c r="B1176" s="21">
        <f t="shared" si="36"/>
        <v>2.9138270000000001E-2</v>
      </c>
      <c r="D1176">
        <f t="shared" si="37"/>
        <v>11.07098113207547</v>
      </c>
      <c r="G1176" s="21">
        <v>-3.5205720000000003E-2</v>
      </c>
      <c r="H1176" s="21">
        <v>2.9138270000000001E-2</v>
      </c>
    </row>
    <row r="1177" spans="1:8" x14ac:dyDescent="0.15">
      <c r="A1177" s="21">
        <v>2.2949219999999999E-2</v>
      </c>
      <c r="B1177" s="21">
        <f t="shared" si="36"/>
        <v>0.16339200000000001</v>
      </c>
      <c r="D1177">
        <f t="shared" si="37"/>
        <v>64.872264150943394</v>
      </c>
      <c r="G1177" s="21">
        <v>-0.2062938</v>
      </c>
      <c r="H1177" s="21">
        <v>0.16339200000000001</v>
      </c>
    </row>
    <row r="1178" spans="1:8" x14ac:dyDescent="0.15">
      <c r="A1178" s="21">
        <v>2.296875E-2</v>
      </c>
      <c r="B1178" s="21">
        <f t="shared" si="36"/>
        <v>0.2906493</v>
      </c>
      <c r="D1178">
        <f t="shared" si="37"/>
        <v>115.92902515723269</v>
      </c>
      <c r="G1178" s="21">
        <v>-0.36865429999999999</v>
      </c>
      <c r="H1178" s="21">
        <v>0.2906493</v>
      </c>
    </row>
    <row r="1179" spans="1:8" x14ac:dyDescent="0.15">
      <c r="A1179" s="21">
        <v>2.298828E-2</v>
      </c>
      <c r="B1179" s="21">
        <f t="shared" si="36"/>
        <v>0.40865249999999997</v>
      </c>
      <c r="D1179">
        <f t="shared" si="37"/>
        <v>163.40006289308172</v>
      </c>
      <c r="G1179" s="21">
        <v>-0.51961219999999997</v>
      </c>
      <c r="H1179" s="21">
        <v>0.40865249999999997</v>
      </c>
    </row>
    <row r="1180" spans="1:8" x14ac:dyDescent="0.15">
      <c r="A1180" s="21">
        <v>2.300781E-2</v>
      </c>
      <c r="B1180" s="21">
        <f t="shared" si="36"/>
        <v>0.51238470000000003</v>
      </c>
      <c r="D1180">
        <f t="shared" si="37"/>
        <v>205.16201257861636</v>
      </c>
      <c r="G1180" s="21">
        <v>-0.65241519999999997</v>
      </c>
      <c r="H1180" s="21">
        <v>0.51238470000000003</v>
      </c>
    </row>
    <row r="1181" spans="1:8" x14ac:dyDescent="0.15">
      <c r="A1181" s="21">
        <v>2.302734E-2</v>
      </c>
      <c r="B1181" s="21">
        <f t="shared" si="36"/>
        <v>0.5987285</v>
      </c>
      <c r="D1181">
        <f t="shared" si="37"/>
        <v>240.05506289308175</v>
      </c>
      <c r="G1181" s="21">
        <v>-0.76337509999999997</v>
      </c>
      <c r="H1181" s="21">
        <v>0.5987285</v>
      </c>
    </row>
    <row r="1182" spans="1:8" x14ac:dyDescent="0.15">
      <c r="A1182" s="21">
        <v>2.3046879999999999E-2</v>
      </c>
      <c r="B1182" s="21">
        <f t="shared" si="36"/>
        <v>0.66512320000000003</v>
      </c>
      <c r="D1182">
        <f t="shared" si="37"/>
        <v>266.9494339622641</v>
      </c>
      <c r="G1182" s="21">
        <v>-0.84889919999999996</v>
      </c>
      <c r="H1182" s="21">
        <v>0.66512320000000003</v>
      </c>
    </row>
    <row r="1183" spans="1:8" x14ac:dyDescent="0.15">
      <c r="A1183" s="21">
        <v>2.3066409999999999E-2</v>
      </c>
      <c r="B1183" s="21">
        <f t="shared" si="36"/>
        <v>0.70948710000000004</v>
      </c>
      <c r="D1183">
        <f t="shared" si="37"/>
        <v>285.0072327044025</v>
      </c>
      <c r="G1183" s="21">
        <v>-0.90632299999999999</v>
      </c>
      <c r="H1183" s="21">
        <v>0.70948710000000004</v>
      </c>
    </row>
    <row r="1184" spans="1:8" x14ac:dyDescent="0.15">
      <c r="A1184" s="21">
        <v>2.3085939999999999E-2</v>
      </c>
      <c r="B1184" s="21">
        <f t="shared" si="36"/>
        <v>0.73231979999999997</v>
      </c>
      <c r="D1184">
        <f t="shared" si="37"/>
        <v>294.45493710691824</v>
      </c>
      <c r="G1184" s="21">
        <v>-0.9363667</v>
      </c>
      <c r="H1184" s="21">
        <v>0.73231979999999997</v>
      </c>
    </row>
    <row r="1185" spans="1:8" x14ac:dyDescent="0.15">
      <c r="A1185" s="21">
        <v>2.3105469999999999E-2</v>
      </c>
      <c r="B1185" s="21">
        <f t="shared" si="36"/>
        <v>0.73030819999999996</v>
      </c>
      <c r="D1185">
        <f t="shared" si="37"/>
        <v>293.61783018867925</v>
      </c>
      <c r="G1185" s="21">
        <v>-0.93370470000000005</v>
      </c>
      <c r="H1185" s="21">
        <v>0.73030819999999996</v>
      </c>
    </row>
    <row r="1186" spans="1:8" x14ac:dyDescent="0.15">
      <c r="A1186" s="21">
        <v>2.3125E-2</v>
      </c>
      <c r="B1186" s="21">
        <f t="shared" si="36"/>
        <v>0.7017719</v>
      </c>
      <c r="D1186">
        <f t="shared" si="37"/>
        <v>282.10698113207548</v>
      </c>
      <c r="G1186" s="21">
        <v>-0.89710020000000001</v>
      </c>
      <c r="H1186" s="21">
        <v>0.7017719</v>
      </c>
    </row>
    <row r="1187" spans="1:8" x14ac:dyDescent="0.15">
      <c r="A1187" s="21">
        <v>2.314453E-2</v>
      </c>
      <c r="B1187" s="21">
        <f t="shared" si="36"/>
        <v>0.65015199999999995</v>
      </c>
      <c r="D1187">
        <f t="shared" si="37"/>
        <v>261.59229559748422</v>
      </c>
      <c r="G1187" s="21">
        <v>-0.83186349999999998</v>
      </c>
      <c r="H1187" s="21">
        <v>0.65015199999999995</v>
      </c>
    </row>
    <row r="1188" spans="1:8" x14ac:dyDescent="0.15">
      <c r="A1188" s="21">
        <v>2.316406E-2</v>
      </c>
      <c r="B1188" s="21">
        <f t="shared" si="36"/>
        <v>0.57659950000000004</v>
      </c>
      <c r="D1188">
        <f t="shared" si="37"/>
        <v>232.02311320754717</v>
      </c>
      <c r="G1188" s="21">
        <v>-0.73783350000000003</v>
      </c>
      <c r="H1188" s="21">
        <v>0.57659950000000004</v>
      </c>
    </row>
    <row r="1189" spans="1:8" x14ac:dyDescent="0.15">
      <c r="A1189" s="21">
        <v>2.318359E-2</v>
      </c>
      <c r="B1189" s="21">
        <f t="shared" si="36"/>
        <v>0.48361779999999999</v>
      </c>
      <c r="D1189">
        <f t="shared" si="37"/>
        <v>194.57119496855344</v>
      </c>
      <c r="G1189" s="21">
        <v>-0.61873639999999996</v>
      </c>
      <c r="H1189" s="21">
        <v>0.48361779999999999</v>
      </c>
    </row>
    <row r="1190" spans="1:8" x14ac:dyDescent="0.15">
      <c r="A1190" s="21">
        <v>2.3203129999999999E-2</v>
      </c>
      <c r="B1190" s="21">
        <f t="shared" si="36"/>
        <v>0.37473200000000001</v>
      </c>
      <c r="D1190">
        <f t="shared" si="37"/>
        <v>150.87644654088049</v>
      </c>
      <c r="G1190" s="21">
        <v>-0.47978710000000002</v>
      </c>
      <c r="H1190" s="21">
        <v>0.37473200000000001</v>
      </c>
    </row>
    <row r="1191" spans="1:8" x14ac:dyDescent="0.15">
      <c r="A1191" s="21">
        <v>2.3222659999999999E-2</v>
      </c>
      <c r="B1191" s="21">
        <f t="shared" si="36"/>
        <v>0.25147399999999998</v>
      </c>
      <c r="D1191">
        <f t="shared" si="37"/>
        <v>101.37235849056603</v>
      </c>
      <c r="G1191" s="21">
        <v>-0.32236409999999999</v>
      </c>
      <c r="H1191" s="21">
        <v>0.25147399999999998</v>
      </c>
    </row>
    <row r="1192" spans="1:8" x14ac:dyDescent="0.15">
      <c r="A1192" s="21">
        <v>2.3242189999999999E-2</v>
      </c>
      <c r="B1192" s="21">
        <f t="shared" si="36"/>
        <v>0.1186214</v>
      </c>
      <c r="D1192">
        <f t="shared" si="37"/>
        <v>48.182264150943396</v>
      </c>
      <c r="G1192" s="21">
        <v>-0.15321960000000001</v>
      </c>
      <c r="H1192" s="21">
        <v>0.1186214</v>
      </c>
    </row>
    <row r="1193" spans="1:8" x14ac:dyDescent="0.15">
      <c r="A1193" s="21">
        <v>2.326172E-2</v>
      </c>
      <c r="B1193" s="21">
        <f t="shared" si="36"/>
        <v>-1.8158589999999999E-2</v>
      </c>
      <c r="D1193">
        <f t="shared" si="37"/>
        <v>-6.4887767295597483</v>
      </c>
      <c r="G1193" s="21">
        <v>2.0634309999999999E-2</v>
      </c>
      <c r="H1193" s="21">
        <v>-1.8158589999999999E-2</v>
      </c>
    </row>
    <row r="1194" spans="1:8" x14ac:dyDescent="0.15">
      <c r="A1194" s="21">
        <v>2.328125E-2</v>
      </c>
      <c r="B1194" s="21">
        <f t="shared" si="36"/>
        <v>-0.15276429999999999</v>
      </c>
      <c r="D1194">
        <f t="shared" si="37"/>
        <v>-60.20713836477988</v>
      </c>
      <c r="G1194" s="21">
        <v>0.19145870000000001</v>
      </c>
      <c r="H1194" s="21">
        <v>-0.15276429999999999</v>
      </c>
    </row>
    <row r="1195" spans="1:8" x14ac:dyDescent="0.15">
      <c r="A1195" s="21">
        <v>2.330078E-2</v>
      </c>
      <c r="B1195" s="21">
        <f t="shared" si="36"/>
        <v>-0.27929730000000003</v>
      </c>
      <c r="D1195">
        <f t="shared" si="37"/>
        <v>-110.77830188679243</v>
      </c>
      <c r="G1195" s="21">
        <v>0.352275</v>
      </c>
      <c r="H1195" s="21">
        <v>-0.27929730000000003</v>
      </c>
    </row>
    <row r="1196" spans="1:8" x14ac:dyDescent="0.15">
      <c r="A1196" s="21">
        <v>2.332031E-2</v>
      </c>
      <c r="B1196" s="21">
        <f t="shared" si="36"/>
        <v>-0.3971075</v>
      </c>
      <c r="D1196">
        <f t="shared" si="37"/>
        <v>-158.20031446540881</v>
      </c>
      <c r="G1196" s="21">
        <v>0.503077</v>
      </c>
      <c r="H1196" s="21">
        <v>-0.3971075</v>
      </c>
    </row>
    <row r="1197" spans="1:8" x14ac:dyDescent="0.15">
      <c r="A1197" s="21">
        <v>2.3339840000000001E-2</v>
      </c>
      <c r="B1197" s="21">
        <f t="shared" si="36"/>
        <v>-0.50314150000000002</v>
      </c>
      <c r="D1197">
        <f t="shared" si="37"/>
        <v>-200.60987421383649</v>
      </c>
      <c r="G1197" s="21">
        <v>0.63793940000000005</v>
      </c>
      <c r="H1197" s="21">
        <v>-0.50314150000000002</v>
      </c>
    </row>
    <row r="1198" spans="1:8" x14ac:dyDescent="0.15">
      <c r="A1198" s="21">
        <v>2.3359379999999999E-2</v>
      </c>
      <c r="B1198" s="21">
        <f t="shared" si="36"/>
        <v>-0.59194939999999996</v>
      </c>
      <c r="D1198">
        <f t="shared" si="37"/>
        <v>-235.9519182389937</v>
      </c>
      <c r="G1198" s="21">
        <v>0.75032710000000002</v>
      </c>
      <c r="H1198" s="21">
        <v>-0.59194939999999996</v>
      </c>
    </row>
    <row r="1199" spans="1:8" x14ac:dyDescent="0.15">
      <c r="A1199" s="21">
        <v>2.3378909999999999E-2</v>
      </c>
      <c r="B1199" s="21">
        <f t="shared" si="36"/>
        <v>-0.66170459999999998</v>
      </c>
      <c r="D1199">
        <f t="shared" si="37"/>
        <v>-264.07044025157234</v>
      </c>
      <c r="G1199" s="21">
        <v>0.83974400000000005</v>
      </c>
      <c r="H1199" s="21">
        <v>-0.66170459999999998</v>
      </c>
    </row>
    <row r="1200" spans="1:8" x14ac:dyDescent="0.15">
      <c r="A1200" s="21">
        <v>2.339844E-2</v>
      </c>
      <c r="B1200" s="21">
        <f t="shared" si="36"/>
        <v>-0.70865990000000001</v>
      </c>
      <c r="D1200">
        <f t="shared" si="37"/>
        <v>-283.07220125786165</v>
      </c>
      <c r="G1200" s="21">
        <v>0.90016960000000001</v>
      </c>
      <c r="H1200" s="21">
        <v>-0.70865990000000001</v>
      </c>
    </row>
    <row r="1201" spans="1:8" x14ac:dyDescent="0.15">
      <c r="A1201" s="21">
        <v>2.341797E-2</v>
      </c>
      <c r="B1201" s="21">
        <f t="shared" si="36"/>
        <v>-0.73127710000000001</v>
      </c>
      <c r="D1201">
        <f t="shared" si="37"/>
        <v>-292.327106918239</v>
      </c>
      <c r="G1201" s="21">
        <v>0.92960019999999999</v>
      </c>
      <c r="H1201" s="21">
        <v>-0.73127710000000001</v>
      </c>
    </row>
    <row r="1202" spans="1:8" x14ac:dyDescent="0.15">
      <c r="A1202" s="21">
        <v>2.34375E-2</v>
      </c>
      <c r="B1202" s="21">
        <f t="shared" si="36"/>
        <v>-0.730379</v>
      </c>
      <c r="D1202">
        <f t="shared" si="37"/>
        <v>-292.09943396226413</v>
      </c>
      <c r="G1202" s="21">
        <v>0.92887620000000004</v>
      </c>
      <c r="H1202" s="21">
        <v>-0.730379</v>
      </c>
    </row>
    <row r="1203" spans="1:8" x14ac:dyDescent="0.15">
      <c r="A1203" s="21">
        <v>2.345703E-2</v>
      </c>
      <c r="B1203" s="21">
        <f t="shared" si="36"/>
        <v>-0.70433889999999999</v>
      </c>
      <c r="D1203">
        <f t="shared" si="37"/>
        <v>-281.76465408805029</v>
      </c>
      <c r="G1203" s="21">
        <v>0.89601160000000002</v>
      </c>
      <c r="H1203" s="21">
        <v>-0.70433889999999999</v>
      </c>
    </row>
    <row r="1204" spans="1:8" x14ac:dyDescent="0.15">
      <c r="A1204" s="21">
        <v>2.347656E-2</v>
      </c>
      <c r="B1204" s="21">
        <f t="shared" si="36"/>
        <v>-0.65501089999999995</v>
      </c>
      <c r="D1204">
        <f t="shared" si="37"/>
        <v>-262.40154088050315</v>
      </c>
      <c r="G1204" s="21">
        <v>0.83443690000000004</v>
      </c>
      <c r="H1204" s="21">
        <v>-0.65501089999999995</v>
      </c>
    </row>
    <row r="1205" spans="1:8" x14ac:dyDescent="0.15">
      <c r="A1205" s="21">
        <v>2.3496090000000001E-2</v>
      </c>
      <c r="B1205" s="21">
        <f t="shared" si="36"/>
        <v>-0.58334390000000003</v>
      </c>
      <c r="D1205">
        <f t="shared" si="37"/>
        <v>-233.85477987421385</v>
      </c>
      <c r="G1205" s="21">
        <v>0.74365820000000005</v>
      </c>
      <c r="H1205" s="21">
        <v>-0.58334390000000003</v>
      </c>
    </row>
    <row r="1206" spans="1:8" x14ac:dyDescent="0.15">
      <c r="A1206" s="21">
        <v>2.3515629999999999E-2</v>
      </c>
      <c r="B1206" s="21">
        <f t="shared" si="36"/>
        <v>-0.49030269999999998</v>
      </c>
      <c r="D1206">
        <f t="shared" si="37"/>
        <v>-196.59295597484277</v>
      </c>
      <c r="G1206" s="21">
        <v>0.62516559999999999</v>
      </c>
      <c r="H1206" s="21">
        <v>-0.49030269999999998</v>
      </c>
    </row>
    <row r="1207" spans="1:8" x14ac:dyDescent="0.15">
      <c r="A1207" s="21">
        <v>2.3535159999999999E-2</v>
      </c>
      <c r="B1207" s="21">
        <f t="shared" si="36"/>
        <v>-0.38110509999999997</v>
      </c>
      <c r="D1207">
        <f t="shared" si="37"/>
        <v>-153.0819496855346</v>
      </c>
      <c r="G1207" s="21">
        <v>0.48680060000000003</v>
      </c>
      <c r="H1207" s="21">
        <v>-0.38110509999999997</v>
      </c>
    </row>
    <row r="1208" spans="1:8" x14ac:dyDescent="0.15">
      <c r="A1208" s="21">
        <v>2.355469E-2</v>
      </c>
      <c r="B1208" s="21">
        <f t="shared" si="36"/>
        <v>-0.25765589999999999</v>
      </c>
      <c r="D1208">
        <f t="shared" si="37"/>
        <v>-103.72738993710691</v>
      </c>
      <c r="G1208" s="21">
        <v>0.32985310000000001</v>
      </c>
      <c r="H1208" s="21">
        <v>-0.25765589999999999</v>
      </c>
    </row>
    <row r="1209" spans="1:8" x14ac:dyDescent="0.15">
      <c r="A1209" s="21">
        <v>2.357422E-2</v>
      </c>
      <c r="B1209" s="21">
        <f t="shared" si="36"/>
        <v>-0.1247878</v>
      </c>
      <c r="D1209">
        <f t="shared" si="37"/>
        <v>-50.616572327044025</v>
      </c>
      <c r="G1209" s="21">
        <v>0.16096070000000001</v>
      </c>
      <c r="H1209" s="21">
        <v>-0.1247878</v>
      </c>
    </row>
    <row r="1210" spans="1:8" x14ac:dyDescent="0.15">
      <c r="A1210" s="21">
        <v>2.359375E-2</v>
      </c>
      <c r="B1210" s="21">
        <f t="shared" si="36"/>
        <v>1.0065589999999999E-2</v>
      </c>
      <c r="D1210">
        <f t="shared" si="37"/>
        <v>3.3813647798742141</v>
      </c>
      <c r="G1210" s="21">
        <v>-1.075274E-2</v>
      </c>
      <c r="H1210" s="21">
        <v>1.0065589999999999E-2</v>
      </c>
    </row>
    <row r="1211" spans="1:8" x14ac:dyDescent="0.15">
      <c r="A1211" s="21">
        <v>2.361328E-2</v>
      </c>
      <c r="B1211" s="21">
        <f t="shared" si="36"/>
        <v>0.144792</v>
      </c>
      <c r="D1211">
        <f t="shared" si="37"/>
        <v>57.552169811320759</v>
      </c>
      <c r="G1211" s="21">
        <v>-0.18301590000000001</v>
      </c>
      <c r="H1211" s="21">
        <v>0.144792</v>
      </c>
    </row>
    <row r="1212" spans="1:8" x14ac:dyDescent="0.15">
      <c r="A1212" s="21">
        <v>2.3632810000000001E-2</v>
      </c>
      <c r="B1212" s="21">
        <f t="shared" si="36"/>
        <v>0.27380549999999998</v>
      </c>
      <c r="D1212">
        <f t="shared" si="37"/>
        <v>109.23270440251572</v>
      </c>
      <c r="G1212" s="21">
        <v>-0.34736</v>
      </c>
      <c r="H1212" s="21">
        <v>0.27380549999999998</v>
      </c>
    </row>
    <row r="1213" spans="1:8" x14ac:dyDescent="0.15">
      <c r="A1213" s="21">
        <v>2.3652340000000001E-2</v>
      </c>
      <c r="B1213" s="21">
        <f t="shared" si="36"/>
        <v>0.3920805</v>
      </c>
      <c r="D1213">
        <f t="shared" si="37"/>
        <v>156.79012578616351</v>
      </c>
      <c r="G1213" s="21">
        <v>-0.4985926</v>
      </c>
      <c r="H1213" s="21">
        <v>0.3920805</v>
      </c>
    </row>
    <row r="1214" spans="1:8" x14ac:dyDescent="0.15">
      <c r="A1214" s="21">
        <v>2.3671879999999999E-2</v>
      </c>
      <c r="B1214" s="21">
        <f t="shared" si="36"/>
        <v>0.49889220000000001</v>
      </c>
      <c r="D1214">
        <f t="shared" si="37"/>
        <v>199.92754716981133</v>
      </c>
      <c r="G1214" s="21">
        <v>-0.63576960000000005</v>
      </c>
      <c r="H1214" s="21">
        <v>0.49889220000000001</v>
      </c>
    </row>
    <row r="1215" spans="1:8" x14ac:dyDescent="0.15">
      <c r="A1215" s="21">
        <v>2.369141E-2</v>
      </c>
      <c r="B1215" s="21">
        <f t="shared" si="36"/>
        <v>0.58825799999999995</v>
      </c>
      <c r="D1215">
        <f t="shared" si="37"/>
        <v>235.80512578616353</v>
      </c>
      <c r="G1215" s="21">
        <v>-0.74986030000000004</v>
      </c>
      <c r="H1215" s="21">
        <v>0.58825799999999995</v>
      </c>
    </row>
    <row r="1216" spans="1:8" x14ac:dyDescent="0.15">
      <c r="A1216" s="21">
        <v>2.371094E-2</v>
      </c>
      <c r="B1216" s="21">
        <f t="shared" si="36"/>
        <v>0.65668870000000001</v>
      </c>
      <c r="D1216">
        <f t="shared" si="37"/>
        <v>263.5622327044025</v>
      </c>
      <c r="G1216" s="21">
        <v>-0.83812790000000004</v>
      </c>
      <c r="H1216" s="21">
        <v>0.65668870000000001</v>
      </c>
    </row>
    <row r="1217" spans="1:8" x14ac:dyDescent="0.15">
      <c r="A1217" s="21">
        <v>2.373047E-2</v>
      </c>
      <c r="B1217" s="21">
        <f t="shared" si="36"/>
        <v>0.70461940000000001</v>
      </c>
      <c r="D1217">
        <f t="shared" si="37"/>
        <v>283.17921383647797</v>
      </c>
      <c r="G1217" s="21">
        <v>-0.90050989999999997</v>
      </c>
      <c r="H1217" s="21">
        <v>0.70461940000000001</v>
      </c>
    </row>
    <row r="1218" spans="1:8" x14ac:dyDescent="0.15">
      <c r="A1218" s="21">
        <v>2.375E-2</v>
      </c>
      <c r="B1218" s="21">
        <f t="shared" ref="B1218:B1281" si="38">H1218</f>
        <v>0.72942240000000003</v>
      </c>
      <c r="D1218">
        <f t="shared" ref="D1218:D1281" si="39">G1218*-1000/3.18</f>
        <v>293.21003144654082</v>
      </c>
      <c r="G1218" s="21">
        <v>-0.93240789999999996</v>
      </c>
      <c r="H1218" s="21">
        <v>0.72942240000000003</v>
      </c>
    </row>
    <row r="1219" spans="1:8" x14ac:dyDescent="0.15">
      <c r="A1219" s="21">
        <v>2.3769530000000001E-2</v>
      </c>
      <c r="B1219" s="21">
        <f t="shared" si="38"/>
        <v>0.73085049999999996</v>
      </c>
      <c r="D1219">
        <f t="shared" si="39"/>
        <v>293.91364779874215</v>
      </c>
      <c r="G1219" s="21">
        <v>-0.93464539999999996</v>
      </c>
      <c r="H1219" s="21">
        <v>0.73085049999999996</v>
      </c>
    </row>
    <row r="1220" spans="1:8" x14ac:dyDescent="0.15">
      <c r="A1220" s="21">
        <v>2.3789060000000001E-2</v>
      </c>
      <c r="B1220" s="21">
        <f t="shared" si="38"/>
        <v>0.70745060000000004</v>
      </c>
      <c r="D1220">
        <f t="shared" si="39"/>
        <v>284.45110062893082</v>
      </c>
      <c r="G1220" s="21">
        <v>-0.90455450000000004</v>
      </c>
      <c r="H1220" s="21">
        <v>0.70745060000000004</v>
      </c>
    </row>
    <row r="1221" spans="1:8" x14ac:dyDescent="0.15">
      <c r="A1221" s="21">
        <v>2.3808590000000001E-2</v>
      </c>
      <c r="B1221" s="21">
        <f t="shared" si="38"/>
        <v>0.65778950000000003</v>
      </c>
      <c r="D1221">
        <f t="shared" si="39"/>
        <v>264.50349056603773</v>
      </c>
      <c r="G1221" s="21">
        <v>-0.84112109999999995</v>
      </c>
      <c r="H1221" s="21">
        <v>0.65778950000000003</v>
      </c>
    </row>
    <row r="1222" spans="1:8" x14ac:dyDescent="0.15">
      <c r="A1222" s="21">
        <v>2.3828129999999999E-2</v>
      </c>
      <c r="B1222" s="21">
        <f t="shared" si="38"/>
        <v>0.58683949999999996</v>
      </c>
      <c r="D1222">
        <f t="shared" si="39"/>
        <v>236.2561006289308</v>
      </c>
      <c r="G1222" s="21">
        <v>-0.75129440000000003</v>
      </c>
      <c r="H1222" s="21">
        <v>0.58683949999999996</v>
      </c>
    </row>
    <row r="1223" spans="1:8" x14ac:dyDescent="0.15">
      <c r="A1223" s="21">
        <v>2.384766E-2</v>
      </c>
      <c r="B1223" s="21">
        <f t="shared" si="38"/>
        <v>0.49686330000000001</v>
      </c>
      <c r="D1223">
        <f t="shared" si="39"/>
        <v>200.00783018867924</v>
      </c>
      <c r="G1223" s="21">
        <v>-0.6360249</v>
      </c>
      <c r="H1223" s="21">
        <v>0.49686330000000001</v>
      </c>
    </row>
    <row r="1224" spans="1:8" x14ac:dyDescent="0.15">
      <c r="A1224" s="21">
        <v>2.386719E-2</v>
      </c>
      <c r="B1224" s="21">
        <f t="shared" si="38"/>
        <v>0.38928089999999999</v>
      </c>
      <c r="D1224">
        <f t="shared" si="39"/>
        <v>156.70534591194968</v>
      </c>
      <c r="G1224" s="21">
        <v>-0.49832300000000002</v>
      </c>
      <c r="H1224" s="21">
        <v>0.38928089999999999</v>
      </c>
    </row>
    <row r="1225" spans="1:8" x14ac:dyDescent="0.15">
      <c r="A1225" s="21">
        <v>2.388672E-2</v>
      </c>
      <c r="B1225" s="21">
        <f t="shared" si="38"/>
        <v>0.26843299999999998</v>
      </c>
      <c r="D1225">
        <f t="shared" si="39"/>
        <v>108.25245283018867</v>
      </c>
      <c r="G1225" s="21">
        <v>-0.34424280000000002</v>
      </c>
      <c r="H1225" s="21">
        <v>0.26843299999999998</v>
      </c>
    </row>
    <row r="1226" spans="1:8" x14ac:dyDescent="0.15">
      <c r="A1226" s="21">
        <v>2.390625E-2</v>
      </c>
      <c r="B1226" s="21">
        <f t="shared" si="38"/>
        <v>0.13643630000000001</v>
      </c>
      <c r="D1226">
        <f t="shared" si="39"/>
        <v>55.320723270440247</v>
      </c>
      <c r="G1226" s="21">
        <v>-0.17591989999999999</v>
      </c>
      <c r="H1226" s="21">
        <v>0.13643630000000001</v>
      </c>
    </row>
    <row r="1227" spans="1:8" x14ac:dyDescent="0.15">
      <c r="A1227" s="21">
        <v>2.3925780000000001E-2</v>
      </c>
      <c r="B1227" s="21">
        <f t="shared" si="38"/>
        <v>-4.9531399999999995E-4</v>
      </c>
      <c r="D1227">
        <f t="shared" si="39"/>
        <v>0.65296320754716985</v>
      </c>
      <c r="G1227" s="21">
        <v>-2.076423E-3</v>
      </c>
      <c r="H1227" s="21">
        <v>-4.9531399999999995E-4</v>
      </c>
    </row>
    <row r="1228" spans="1:8" x14ac:dyDescent="0.15">
      <c r="A1228" s="21">
        <v>2.3945310000000001E-2</v>
      </c>
      <c r="B1228" s="21">
        <f t="shared" si="38"/>
        <v>-0.13479060000000001</v>
      </c>
      <c r="D1228">
        <f t="shared" si="39"/>
        <v>-52.980943396226415</v>
      </c>
      <c r="G1228" s="21">
        <v>0.1684794</v>
      </c>
      <c r="H1228" s="21">
        <v>-0.13479060000000001</v>
      </c>
    </row>
    <row r="1229" spans="1:8" x14ac:dyDescent="0.15">
      <c r="A1229" s="21">
        <v>2.3964840000000001E-2</v>
      </c>
      <c r="B1229" s="21">
        <f t="shared" si="38"/>
        <v>-0.2635612</v>
      </c>
      <c r="D1229">
        <f t="shared" si="39"/>
        <v>-104.54374213836478</v>
      </c>
      <c r="G1229" s="21">
        <v>0.3324491</v>
      </c>
      <c r="H1229" s="21">
        <v>-0.2635612</v>
      </c>
    </row>
    <row r="1230" spans="1:8" x14ac:dyDescent="0.15">
      <c r="A1230" s="21">
        <v>2.398438E-2</v>
      </c>
      <c r="B1230" s="21">
        <f t="shared" si="38"/>
        <v>-0.38273249999999998</v>
      </c>
      <c r="D1230">
        <f t="shared" si="39"/>
        <v>-152.29811320754715</v>
      </c>
      <c r="G1230" s="21">
        <v>0.48430800000000002</v>
      </c>
      <c r="H1230" s="21">
        <v>-0.38273249999999998</v>
      </c>
    </row>
    <row r="1231" spans="1:8" x14ac:dyDescent="0.15">
      <c r="A1231" s="21">
        <v>2.400391E-2</v>
      </c>
      <c r="B1231" s="21">
        <f t="shared" si="38"/>
        <v>-0.48979030000000001</v>
      </c>
      <c r="D1231">
        <f t="shared" si="39"/>
        <v>-195.21128930817611</v>
      </c>
      <c r="G1231" s="21">
        <v>0.62077190000000004</v>
      </c>
      <c r="H1231" s="21">
        <v>-0.48979030000000001</v>
      </c>
    </row>
    <row r="1232" spans="1:8" x14ac:dyDescent="0.15">
      <c r="A1232" s="21">
        <v>2.402344E-2</v>
      </c>
      <c r="B1232" s="21">
        <f t="shared" si="38"/>
        <v>-0.58211690000000005</v>
      </c>
      <c r="D1232">
        <f t="shared" si="39"/>
        <v>-232.08877358490568</v>
      </c>
      <c r="G1232" s="21">
        <v>0.73804230000000004</v>
      </c>
      <c r="H1232" s="21">
        <v>-0.58211690000000005</v>
      </c>
    </row>
    <row r="1233" spans="1:8" x14ac:dyDescent="0.15">
      <c r="A1233" s="21">
        <v>2.404297E-2</v>
      </c>
      <c r="B1233" s="21">
        <f t="shared" si="38"/>
        <v>-0.65363839999999995</v>
      </c>
      <c r="D1233">
        <f t="shared" si="39"/>
        <v>-260.73103773584904</v>
      </c>
      <c r="G1233" s="21">
        <v>0.82912470000000005</v>
      </c>
      <c r="H1233" s="21">
        <v>-0.65363839999999995</v>
      </c>
    </row>
    <row r="1234" spans="1:8" x14ac:dyDescent="0.15">
      <c r="A1234" s="21">
        <v>2.4062500000000001E-2</v>
      </c>
      <c r="B1234" s="21">
        <f t="shared" si="38"/>
        <v>-0.7031231</v>
      </c>
      <c r="D1234">
        <f t="shared" si="39"/>
        <v>-280.87333333333333</v>
      </c>
      <c r="G1234" s="21">
        <v>0.8931772</v>
      </c>
      <c r="H1234" s="21">
        <v>-0.7031231</v>
      </c>
    </row>
    <row r="1235" spans="1:8" x14ac:dyDescent="0.15">
      <c r="A1235" s="21">
        <v>2.4082030000000001E-2</v>
      </c>
      <c r="B1235" s="21">
        <f t="shared" si="38"/>
        <v>-0.73008759999999995</v>
      </c>
      <c r="D1235">
        <f t="shared" si="39"/>
        <v>-291.9133962264151</v>
      </c>
      <c r="G1235" s="21">
        <v>0.92828460000000002</v>
      </c>
      <c r="H1235" s="21">
        <v>-0.73008759999999995</v>
      </c>
    </row>
    <row r="1236" spans="1:8" x14ac:dyDescent="0.15">
      <c r="A1236" s="21">
        <v>2.4101560000000001E-2</v>
      </c>
      <c r="B1236" s="21">
        <f t="shared" si="38"/>
        <v>-0.73172590000000004</v>
      </c>
      <c r="D1236">
        <f t="shared" si="39"/>
        <v>-292.54959119496851</v>
      </c>
      <c r="G1236" s="21">
        <v>0.93030769999999996</v>
      </c>
      <c r="H1236" s="21">
        <v>-0.73172590000000004</v>
      </c>
    </row>
    <row r="1237" spans="1:8" x14ac:dyDescent="0.15">
      <c r="A1237" s="21">
        <v>2.4121090000000001E-2</v>
      </c>
      <c r="B1237" s="21">
        <f t="shared" si="38"/>
        <v>-0.70950190000000002</v>
      </c>
      <c r="D1237">
        <f t="shared" si="39"/>
        <v>-283.86723270440251</v>
      </c>
      <c r="G1237" s="21">
        <v>0.90269779999999999</v>
      </c>
      <c r="H1237" s="21">
        <v>-0.70950190000000002</v>
      </c>
    </row>
    <row r="1238" spans="1:8" x14ac:dyDescent="0.15">
      <c r="A1238" s="21">
        <v>2.4140620000000002E-2</v>
      </c>
      <c r="B1238" s="21">
        <f t="shared" si="38"/>
        <v>-0.66365439999999998</v>
      </c>
      <c r="D1238">
        <f t="shared" si="39"/>
        <v>-265.85160377358488</v>
      </c>
      <c r="G1238" s="21">
        <v>0.8454081</v>
      </c>
      <c r="H1238" s="21">
        <v>-0.66365439999999998</v>
      </c>
    </row>
    <row r="1239" spans="1:8" x14ac:dyDescent="0.15">
      <c r="A1239" s="21">
        <v>2.416016E-2</v>
      </c>
      <c r="B1239" s="21">
        <f t="shared" si="38"/>
        <v>-0.59364629999999996</v>
      </c>
      <c r="D1239">
        <f t="shared" si="39"/>
        <v>-237.94279874213834</v>
      </c>
      <c r="G1239" s="21">
        <v>0.7566581</v>
      </c>
      <c r="H1239" s="21">
        <v>-0.59364629999999996</v>
      </c>
    </row>
    <row r="1240" spans="1:8" x14ac:dyDescent="0.15">
      <c r="A1240" s="21">
        <v>2.417969E-2</v>
      </c>
      <c r="B1240" s="21">
        <f t="shared" si="38"/>
        <v>-0.50366109999999997</v>
      </c>
      <c r="D1240">
        <f t="shared" si="39"/>
        <v>-202.06078616352201</v>
      </c>
      <c r="G1240" s="21">
        <v>0.64255329999999999</v>
      </c>
      <c r="H1240" s="21">
        <v>-0.50366109999999997</v>
      </c>
    </row>
    <row r="1241" spans="1:8" x14ac:dyDescent="0.15">
      <c r="A1241" s="21">
        <v>2.419922E-2</v>
      </c>
      <c r="B1241" s="21">
        <f t="shared" si="38"/>
        <v>-0.39633380000000001</v>
      </c>
      <c r="D1241">
        <f t="shared" si="39"/>
        <v>-159.170786163522</v>
      </c>
      <c r="G1241" s="21">
        <v>0.50616309999999998</v>
      </c>
      <c r="H1241" s="21">
        <v>-0.39633380000000001</v>
      </c>
    </row>
    <row r="1242" spans="1:8" x14ac:dyDescent="0.15">
      <c r="A1242" s="21">
        <v>2.4218750000000001E-2</v>
      </c>
      <c r="B1242" s="21">
        <f t="shared" si="38"/>
        <v>-0.27451550000000002</v>
      </c>
      <c r="D1242">
        <f t="shared" si="39"/>
        <v>-110.45679245283019</v>
      </c>
      <c r="G1242" s="21">
        <v>0.35125260000000003</v>
      </c>
      <c r="H1242" s="21">
        <v>-0.27451550000000002</v>
      </c>
    </row>
    <row r="1243" spans="1:8" x14ac:dyDescent="0.15">
      <c r="A1243" s="21">
        <v>2.4238280000000001E-2</v>
      </c>
      <c r="B1243" s="21">
        <f t="shared" si="38"/>
        <v>-0.1438769</v>
      </c>
      <c r="D1243">
        <f t="shared" si="39"/>
        <v>-58.290534591194962</v>
      </c>
      <c r="G1243" s="21">
        <v>0.1853639</v>
      </c>
      <c r="H1243" s="21">
        <v>-0.1438769</v>
      </c>
    </row>
    <row r="1244" spans="1:8" x14ac:dyDescent="0.15">
      <c r="A1244" s="21">
        <v>2.4257810000000001E-2</v>
      </c>
      <c r="B1244" s="21">
        <f t="shared" si="38"/>
        <v>-7.9292849999999995E-3</v>
      </c>
      <c r="D1244">
        <f t="shared" si="39"/>
        <v>-3.7886886792452823</v>
      </c>
      <c r="G1244" s="21">
        <v>1.204803E-2</v>
      </c>
      <c r="H1244" s="21">
        <v>-7.9292849999999995E-3</v>
      </c>
    </row>
    <row r="1245" spans="1:8" x14ac:dyDescent="0.15">
      <c r="A1245" s="21">
        <v>2.4277340000000001E-2</v>
      </c>
      <c r="B1245" s="21">
        <f t="shared" si="38"/>
        <v>0.12775500000000001</v>
      </c>
      <c r="D1245">
        <f t="shared" si="39"/>
        <v>50.59559748427673</v>
      </c>
      <c r="G1245" s="21">
        <v>-0.16089400000000001</v>
      </c>
      <c r="H1245" s="21">
        <v>0.12775500000000001</v>
      </c>
    </row>
    <row r="1246" spans="1:8" x14ac:dyDescent="0.15">
      <c r="A1246" s="21">
        <v>2.4296870000000002E-2</v>
      </c>
      <c r="B1246" s="21">
        <f t="shared" si="38"/>
        <v>0.25700519999999999</v>
      </c>
      <c r="D1246">
        <f t="shared" si="39"/>
        <v>102.41883647798741</v>
      </c>
      <c r="G1246" s="21">
        <v>-0.32569189999999998</v>
      </c>
      <c r="H1246" s="21">
        <v>0.25700519999999999</v>
      </c>
    </row>
    <row r="1247" spans="1:8" x14ac:dyDescent="0.15">
      <c r="A1247" s="21">
        <v>2.431641E-2</v>
      </c>
      <c r="B1247" s="21">
        <f t="shared" si="38"/>
        <v>0.37775300000000001</v>
      </c>
      <c r="D1247">
        <f t="shared" si="39"/>
        <v>151.07361635220127</v>
      </c>
      <c r="G1247" s="21">
        <v>-0.48041410000000001</v>
      </c>
      <c r="H1247" s="21">
        <v>0.37775300000000001</v>
      </c>
    </row>
    <row r="1248" spans="1:8" x14ac:dyDescent="0.15">
      <c r="A1248" s="21">
        <v>2.433594E-2</v>
      </c>
      <c r="B1248" s="21">
        <f t="shared" si="38"/>
        <v>0.4855968</v>
      </c>
      <c r="D1248">
        <f t="shared" si="39"/>
        <v>194.46971698113205</v>
      </c>
      <c r="G1248" s="21">
        <v>-0.61841369999999996</v>
      </c>
      <c r="H1248" s="21">
        <v>0.4855968</v>
      </c>
    </row>
    <row r="1249" spans="1:8" x14ac:dyDescent="0.15">
      <c r="A1249" s="21">
        <v>2.4355470000000001E-2</v>
      </c>
      <c r="B1249" s="21">
        <f t="shared" si="38"/>
        <v>0.57660219999999995</v>
      </c>
      <c r="D1249">
        <f t="shared" si="39"/>
        <v>231.12682389937106</v>
      </c>
      <c r="G1249" s="21">
        <v>-0.73498330000000001</v>
      </c>
      <c r="H1249" s="21">
        <v>0.57660219999999995</v>
      </c>
    </row>
    <row r="1250" spans="1:8" x14ac:dyDescent="0.15">
      <c r="A1250" s="21">
        <v>2.4375000000000001E-2</v>
      </c>
      <c r="B1250" s="21">
        <f t="shared" si="38"/>
        <v>0.64905710000000005</v>
      </c>
      <c r="D1250">
        <f t="shared" si="39"/>
        <v>260.46619496855345</v>
      </c>
      <c r="G1250" s="21">
        <v>-0.82828250000000003</v>
      </c>
      <c r="H1250" s="21">
        <v>0.64905710000000005</v>
      </c>
    </row>
    <row r="1251" spans="1:8" x14ac:dyDescent="0.15">
      <c r="A1251" s="21">
        <v>2.4394530000000001E-2</v>
      </c>
      <c r="B1251" s="21">
        <f t="shared" si="38"/>
        <v>0.69934169999999996</v>
      </c>
      <c r="D1251">
        <f t="shared" si="39"/>
        <v>280.8437106918239</v>
      </c>
      <c r="G1251" s="21">
        <v>-0.89308299999999996</v>
      </c>
      <c r="H1251" s="21">
        <v>0.69934169999999996</v>
      </c>
    </row>
    <row r="1252" spans="1:8" x14ac:dyDescent="0.15">
      <c r="A1252" s="21">
        <v>2.4414060000000001E-2</v>
      </c>
      <c r="B1252" s="21">
        <f t="shared" si="38"/>
        <v>0.72769170000000005</v>
      </c>
      <c r="D1252">
        <f t="shared" si="39"/>
        <v>292.49597484276728</v>
      </c>
      <c r="G1252" s="21">
        <v>-0.9301372</v>
      </c>
      <c r="H1252" s="21">
        <v>0.72769170000000005</v>
      </c>
    </row>
    <row r="1253" spans="1:8" x14ac:dyDescent="0.15">
      <c r="A1253" s="21">
        <v>2.4433590000000002E-2</v>
      </c>
      <c r="B1253" s="21">
        <f t="shared" si="38"/>
        <v>0.73295390000000005</v>
      </c>
      <c r="D1253">
        <f t="shared" si="39"/>
        <v>294.72864779874214</v>
      </c>
      <c r="G1253" s="21">
        <v>-0.93723710000000005</v>
      </c>
      <c r="H1253" s="21">
        <v>0.73295390000000005</v>
      </c>
    </row>
    <row r="1254" spans="1:8" x14ac:dyDescent="0.15">
      <c r="A1254" s="21">
        <v>2.4453119999999998E-2</v>
      </c>
      <c r="B1254" s="21">
        <f t="shared" si="38"/>
        <v>0.71112509999999995</v>
      </c>
      <c r="D1254">
        <f t="shared" si="39"/>
        <v>285.87421383647796</v>
      </c>
      <c r="G1254" s="21">
        <v>-0.90908</v>
      </c>
      <c r="H1254" s="21">
        <v>0.71112509999999995</v>
      </c>
    </row>
    <row r="1255" spans="1:8" x14ac:dyDescent="0.15">
      <c r="A1255" s="21">
        <v>2.447266E-2</v>
      </c>
      <c r="B1255" s="21">
        <f t="shared" si="38"/>
        <v>0.66525299999999998</v>
      </c>
      <c r="D1255">
        <f t="shared" si="39"/>
        <v>267.55</v>
      </c>
      <c r="G1255" s="21">
        <v>-0.85080900000000004</v>
      </c>
      <c r="H1255" s="21">
        <v>0.66525299999999998</v>
      </c>
    </row>
    <row r="1256" spans="1:8" x14ac:dyDescent="0.15">
      <c r="A1256" s="21">
        <v>2.449219E-2</v>
      </c>
      <c r="B1256" s="21">
        <f t="shared" si="38"/>
        <v>0.59744730000000001</v>
      </c>
      <c r="D1256">
        <f t="shared" si="39"/>
        <v>240.33940251572326</v>
      </c>
      <c r="G1256" s="21">
        <v>-0.76427929999999999</v>
      </c>
      <c r="H1256" s="21">
        <v>0.59744730000000001</v>
      </c>
    </row>
    <row r="1257" spans="1:8" x14ac:dyDescent="0.15">
      <c r="A1257" s="21">
        <v>2.4511720000000001E-2</v>
      </c>
      <c r="B1257" s="21">
        <f t="shared" si="38"/>
        <v>0.50914959999999998</v>
      </c>
      <c r="D1257">
        <f t="shared" si="39"/>
        <v>204.82147798742139</v>
      </c>
      <c r="G1257" s="21">
        <v>-0.65133229999999998</v>
      </c>
      <c r="H1257" s="21">
        <v>0.50914959999999998</v>
      </c>
    </row>
    <row r="1258" spans="1:8" x14ac:dyDescent="0.15">
      <c r="A1258" s="21">
        <v>2.4531250000000001E-2</v>
      </c>
      <c r="B1258" s="21">
        <f t="shared" si="38"/>
        <v>0.40514749999999999</v>
      </c>
      <c r="D1258">
        <f t="shared" si="39"/>
        <v>163.06786163522011</v>
      </c>
      <c r="G1258" s="21">
        <v>-0.51855580000000001</v>
      </c>
      <c r="H1258" s="21">
        <v>0.40514749999999999</v>
      </c>
    </row>
    <row r="1259" spans="1:8" x14ac:dyDescent="0.15">
      <c r="A1259" s="21">
        <v>2.4550780000000001E-2</v>
      </c>
      <c r="B1259" s="21">
        <f t="shared" si="38"/>
        <v>0.28532089999999999</v>
      </c>
      <c r="D1259">
        <f t="shared" si="39"/>
        <v>114.84364779874213</v>
      </c>
      <c r="G1259" s="21">
        <v>-0.36520279999999999</v>
      </c>
      <c r="H1259" s="21">
        <v>0.28532089999999999</v>
      </c>
    </row>
    <row r="1260" spans="1:8" x14ac:dyDescent="0.15">
      <c r="A1260" s="21">
        <v>2.4570310000000001E-2</v>
      </c>
      <c r="B1260" s="21">
        <f t="shared" si="38"/>
        <v>0.15337410000000001</v>
      </c>
      <c r="D1260">
        <f t="shared" si="39"/>
        <v>62.001855345911942</v>
      </c>
      <c r="G1260" s="21">
        <v>-0.19716590000000001</v>
      </c>
      <c r="H1260" s="21">
        <v>0.15337410000000001</v>
      </c>
    </row>
    <row r="1261" spans="1:8" x14ac:dyDescent="0.15">
      <c r="A1261" s="21">
        <v>2.4589840000000002E-2</v>
      </c>
      <c r="B1261" s="21">
        <f t="shared" si="38"/>
        <v>1.756715E-2</v>
      </c>
      <c r="D1261">
        <f t="shared" si="39"/>
        <v>7.8171006289308176</v>
      </c>
      <c r="G1261" s="21">
        <v>-2.4858379999999999E-2</v>
      </c>
      <c r="H1261" s="21">
        <v>1.756715E-2</v>
      </c>
    </row>
    <row r="1262" spans="1:8" x14ac:dyDescent="0.15">
      <c r="A1262" s="21">
        <v>2.4609369999999998E-2</v>
      </c>
      <c r="B1262" s="21">
        <f t="shared" si="38"/>
        <v>-0.1179125</v>
      </c>
      <c r="D1262">
        <f t="shared" si="39"/>
        <v>-46.356446540880498</v>
      </c>
      <c r="G1262" s="21">
        <v>0.1474135</v>
      </c>
      <c r="H1262" s="21">
        <v>-0.1179125</v>
      </c>
    </row>
    <row r="1263" spans="1:8" x14ac:dyDescent="0.15">
      <c r="A1263" s="21">
        <v>2.462891E-2</v>
      </c>
      <c r="B1263" s="21">
        <f t="shared" si="38"/>
        <v>-0.24705340000000001</v>
      </c>
      <c r="D1263">
        <f t="shared" si="39"/>
        <v>-97.991540880503138</v>
      </c>
      <c r="G1263" s="21">
        <v>0.31161309999999998</v>
      </c>
      <c r="H1263" s="21">
        <v>-0.24705340000000001</v>
      </c>
    </row>
    <row r="1264" spans="1:8" x14ac:dyDescent="0.15">
      <c r="A1264" s="21">
        <v>2.4648440000000001E-2</v>
      </c>
      <c r="B1264" s="21">
        <f t="shared" si="38"/>
        <v>-0.36674220000000002</v>
      </c>
      <c r="D1264">
        <f t="shared" si="39"/>
        <v>-145.95333333333332</v>
      </c>
      <c r="G1264" s="21">
        <v>0.46413159999999998</v>
      </c>
      <c r="H1264" s="21">
        <v>-0.36674220000000002</v>
      </c>
    </row>
    <row r="1265" spans="1:8" x14ac:dyDescent="0.15">
      <c r="A1265" s="21">
        <v>2.4667970000000001E-2</v>
      </c>
      <c r="B1265" s="21">
        <f t="shared" si="38"/>
        <v>-0.47686420000000002</v>
      </c>
      <c r="D1265">
        <f t="shared" si="39"/>
        <v>-190.12600628930815</v>
      </c>
      <c r="G1265" s="21">
        <v>0.60460069999999999</v>
      </c>
      <c r="H1265" s="21">
        <v>-0.47686420000000002</v>
      </c>
    </row>
    <row r="1266" spans="1:8" x14ac:dyDescent="0.15">
      <c r="A1266" s="21">
        <v>2.4687500000000001E-2</v>
      </c>
      <c r="B1266" s="21">
        <f t="shared" si="38"/>
        <v>-0.57148900000000002</v>
      </c>
      <c r="D1266">
        <f t="shared" si="39"/>
        <v>-227.89248427672956</v>
      </c>
      <c r="G1266" s="21">
        <v>0.72469810000000001</v>
      </c>
      <c r="H1266" s="21">
        <v>-0.57148900000000002</v>
      </c>
    </row>
    <row r="1267" spans="1:8" x14ac:dyDescent="0.15">
      <c r="A1267" s="21">
        <v>2.4707030000000001E-2</v>
      </c>
      <c r="B1267" s="21">
        <f t="shared" si="38"/>
        <v>-0.64590449999999999</v>
      </c>
      <c r="D1267">
        <f t="shared" si="39"/>
        <v>-257.65955974842768</v>
      </c>
      <c r="G1267" s="21">
        <v>0.81935740000000001</v>
      </c>
      <c r="H1267" s="21">
        <v>-0.64590449999999999</v>
      </c>
    </row>
    <row r="1268" spans="1:8" x14ac:dyDescent="0.15">
      <c r="A1268" s="21">
        <v>2.4726560000000002E-2</v>
      </c>
      <c r="B1268" s="21">
        <f t="shared" si="38"/>
        <v>-0.69842369999999998</v>
      </c>
      <c r="D1268">
        <f t="shared" si="39"/>
        <v>-278.98176100628933</v>
      </c>
      <c r="G1268" s="21">
        <v>0.88716200000000001</v>
      </c>
      <c r="H1268" s="21">
        <v>-0.69842369999999998</v>
      </c>
    </row>
    <row r="1269" spans="1:8" x14ac:dyDescent="0.15">
      <c r="A1269" s="21">
        <v>2.4746089999999998E-2</v>
      </c>
      <c r="B1269" s="21">
        <f t="shared" si="38"/>
        <v>-0.72737529999999995</v>
      </c>
      <c r="D1269">
        <f t="shared" si="39"/>
        <v>-290.84911949685528</v>
      </c>
      <c r="G1269" s="21">
        <v>0.92490019999999995</v>
      </c>
      <c r="H1269" s="21">
        <v>-0.72737529999999995</v>
      </c>
    </row>
    <row r="1270" spans="1:8" x14ac:dyDescent="0.15">
      <c r="A1270" s="21">
        <v>2.4765619999999999E-2</v>
      </c>
      <c r="B1270" s="21">
        <f t="shared" si="38"/>
        <v>-0.73290940000000004</v>
      </c>
      <c r="D1270">
        <f t="shared" si="39"/>
        <v>-293.13682389937105</v>
      </c>
      <c r="G1270" s="21">
        <v>0.93217510000000003</v>
      </c>
      <c r="H1270" s="21">
        <v>-0.73290940000000004</v>
      </c>
    </row>
    <row r="1271" spans="1:8" x14ac:dyDescent="0.15">
      <c r="A1271" s="21">
        <v>2.4785160000000001E-2</v>
      </c>
      <c r="B1271" s="21">
        <f t="shared" si="38"/>
        <v>-0.71414699999999998</v>
      </c>
      <c r="D1271">
        <f t="shared" si="39"/>
        <v>-285.73871069182388</v>
      </c>
      <c r="G1271" s="21">
        <v>0.90864909999999999</v>
      </c>
      <c r="H1271" s="21">
        <v>-0.71414699999999998</v>
      </c>
    </row>
    <row r="1272" spans="1:8" x14ac:dyDescent="0.15">
      <c r="A1272" s="21">
        <v>2.4804690000000001E-2</v>
      </c>
      <c r="B1272" s="21">
        <f t="shared" si="38"/>
        <v>-0.67088219999999998</v>
      </c>
      <c r="D1272">
        <f t="shared" si="39"/>
        <v>-268.6994968553459</v>
      </c>
      <c r="G1272" s="21">
        <v>0.85446440000000001</v>
      </c>
      <c r="H1272" s="21">
        <v>-0.67088219999999998</v>
      </c>
    </row>
    <row r="1273" spans="1:8" x14ac:dyDescent="0.15">
      <c r="A1273" s="21">
        <v>2.4824220000000001E-2</v>
      </c>
      <c r="B1273" s="21">
        <f t="shared" si="38"/>
        <v>-0.60480299999999998</v>
      </c>
      <c r="D1273">
        <f t="shared" si="39"/>
        <v>-242.52132075471692</v>
      </c>
      <c r="G1273" s="21">
        <v>0.77121779999999995</v>
      </c>
      <c r="H1273" s="21">
        <v>-0.60480299999999998</v>
      </c>
    </row>
    <row r="1274" spans="1:8" x14ac:dyDescent="0.15">
      <c r="A1274" s="21">
        <v>2.4843750000000001E-2</v>
      </c>
      <c r="B1274" s="21">
        <f t="shared" si="38"/>
        <v>-0.51724460000000005</v>
      </c>
      <c r="D1274">
        <f t="shared" si="39"/>
        <v>-207.52374213836478</v>
      </c>
      <c r="G1274" s="21">
        <v>0.65992550000000005</v>
      </c>
      <c r="H1274" s="21">
        <v>-0.51724460000000005</v>
      </c>
    </row>
    <row r="1275" spans="1:8" x14ac:dyDescent="0.15">
      <c r="A1275" s="21">
        <v>2.4863280000000001E-2</v>
      </c>
      <c r="B1275" s="21">
        <f t="shared" si="38"/>
        <v>-0.41144560000000002</v>
      </c>
      <c r="D1275">
        <f t="shared" si="39"/>
        <v>-165.18786163522012</v>
      </c>
      <c r="G1275" s="21">
        <v>0.52529740000000003</v>
      </c>
      <c r="H1275" s="21">
        <v>-0.41144560000000002</v>
      </c>
    </row>
    <row r="1276" spans="1:8" x14ac:dyDescent="0.15">
      <c r="A1276" s="21">
        <v>2.4882810000000002E-2</v>
      </c>
      <c r="B1276" s="21">
        <f t="shared" si="38"/>
        <v>-0.29122880000000001</v>
      </c>
      <c r="D1276">
        <f t="shared" si="39"/>
        <v>-117.24955974842767</v>
      </c>
      <c r="G1276" s="21">
        <v>0.37285360000000001</v>
      </c>
      <c r="H1276" s="21">
        <v>-0.29122880000000001</v>
      </c>
    </row>
    <row r="1277" spans="1:8" x14ac:dyDescent="0.15">
      <c r="A1277" s="21">
        <v>2.4902339999999999E-2</v>
      </c>
      <c r="B1277" s="21">
        <f t="shared" si="38"/>
        <v>-0.1607633</v>
      </c>
      <c r="D1277">
        <f t="shared" si="39"/>
        <v>-65.146446540880504</v>
      </c>
      <c r="G1277" s="21">
        <v>0.20716570000000001</v>
      </c>
      <c r="H1277" s="21">
        <v>-0.1607633</v>
      </c>
    </row>
    <row r="1278" spans="1:8" x14ac:dyDescent="0.15">
      <c r="A1278" s="21">
        <v>2.4921869999999999E-2</v>
      </c>
      <c r="B1278" s="21">
        <f t="shared" si="38"/>
        <v>-2.5938800000000001E-2</v>
      </c>
      <c r="D1278">
        <f t="shared" si="39"/>
        <v>-11.119040880503144</v>
      </c>
      <c r="G1278" s="21">
        <v>3.5358550000000002E-2</v>
      </c>
      <c r="H1278" s="21">
        <v>-2.5938800000000001E-2</v>
      </c>
    </row>
    <row r="1279" spans="1:8" x14ac:dyDescent="0.15">
      <c r="A1279" s="21">
        <v>2.4941410000000001E-2</v>
      </c>
      <c r="B1279" s="21">
        <f t="shared" si="38"/>
        <v>0.10917399999999999</v>
      </c>
      <c r="D1279">
        <f t="shared" si="39"/>
        <v>43.145691823899369</v>
      </c>
      <c r="G1279" s="21">
        <v>-0.1372033</v>
      </c>
      <c r="H1279" s="21">
        <v>0.10917399999999999</v>
      </c>
    </row>
    <row r="1280" spans="1:8" x14ac:dyDescent="0.15">
      <c r="A1280" s="21">
        <v>2.4960940000000001E-2</v>
      </c>
      <c r="B1280" s="21">
        <f t="shared" si="38"/>
        <v>0.24020230000000001</v>
      </c>
      <c r="D1280">
        <f t="shared" si="39"/>
        <v>95.669150943396218</v>
      </c>
      <c r="G1280" s="21">
        <v>-0.3042279</v>
      </c>
      <c r="H1280" s="21">
        <v>0.24020230000000001</v>
      </c>
    </row>
    <row r="1281" spans="1:8" x14ac:dyDescent="0.15">
      <c r="A1281" s="21">
        <v>2.4980470000000001E-2</v>
      </c>
      <c r="B1281" s="21">
        <f t="shared" si="38"/>
        <v>0.36194159999999997</v>
      </c>
      <c r="D1281">
        <f t="shared" si="39"/>
        <v>144.44628930817609</v>
      </c>
      <c r="G1281" s="21">
        <v>-0.4593392</v>
      </c>
      <c r="H1281" s="21">
        <v>0.36194159999999997</v>
      </c>
    </row>
    <row r="1282" spans="1:8" x14ac:dyDescent="0.15">
      <c r="A1282" s="21">
        <v>2.5000000000000001E-2</v>
      </c>
      <c r="B1282" s="21">
        <f t="shared" ref="B1282:B1345" si="40">H1282</f>
        <v>0.47221069999999998</v>
      </c>
      <c r="D1282">
        <f t="shared" ref="D1282:D1345" si="41">G1282*-1000/3.18</f>
        <v>188.99522012578618</v>
      </c>
      <c r="G1282" s="21">
        <v>-0.60100480000000001</v>
      </c>
      <c r="H1282" s="21">
        <v>0.47221069999999998</v>
      </c>
    </row>
    <row r="1283" spans="1:8" x14ac:dyDescent="0.15">
      <c r="A1283" s="21">
        <v>2.5019530000000002E-2</v>
      </c>
      <c r="B1283" s="21">
        <f t="shared" si="40"/>
        <v>0.5665403</v>
      </c>
      <c r="D1283">
        <f t="shared" si="41"/>
        <v>227.07735849056601</v>
      </c>
      <c r="G1283" s="21">
        <v>-0.72210600000000003</v>
      </c>
      <c r="H1283" s="21">
        <v>0.5665403</v>
      </c>
    </row>
    <row r="1284" spans="1:8" x14ac:dyDescent="0.15">
      <c r="A1284" s="21">
        <v>2.5039059999999998E-2</v>
      </c>
      <c r="B1284" s="21">
        <f t="shared" si="40"/>
        <v>0.64014179999999998</v>
      </c>
      <c r="D1284">
        <f t="shared" si="41"/>
        <v>256.74081761006289</v>
      </c>
      <c r="G1284" s="21">
        <v>-0.81643580000000004</v>
      </c>
      <c r="H1284" s="21">
        <v>0.64014179999999998</v>
      </c>
    </row>
    <row r="1285" spans="1:8" x14ac:dyDescent="0.15">
      <c r="A1285" s="21">
        <v>2.5058589999999999E-2</v>
      </c>
      <c r="B1285" s="21">
        <f t="shared" si="40"/>
        <v>0.69352840000000004</v>
      </c>
      <c r="D1285">
        <f t="shared" si="41"/>
        <v>278.55641509433963</v>
      </c>
      <c r="G1285" s="21">
        <v>-0.88580939999999997</v>
      </c>
      <c r="H1285" s="21">
        <v>0.69352840000000004</v>
      </c>
    </row>
    <row r="1286" spans="1:8" x14ac:dyDescent="0.15">
      <c r="A1286" s="21">
        <v>2.5078119999999999E-2</v>
      </c>
      <c r="B1286" s="21">
        <f t="shared" si="40"/>
        <v>0.72536780000000001</v>
      </c>
      <c r="D1286">
        <f t="shared" si="41"/>
        <v>291.50569182389938</v>
      </c>
      <c r="G1286" s="21">
        <v>-0.92698809999999998</v>
      </c>
      <c r="H1286" s="21">
        <v>0.72536780000000001</v>
      </c>
    </row>
    <row r="1287" spans="1:8" x14ac:dyDescent="0.15">
      <c r="A1287" s="21">
        <v>2.5097660000000001E-2</v>
      </c>
      <c r="B1287" s="21">
        <f t="shared" si="40"/>
        <v>0.73298200000000002</v>
      </c>
      <c r="D1287">
        <f t="shared" si="41"/>
        <v>294.59213836477988</v>
      </c>
      <c r="G1287" s="21">
        <v>-0.93680300000000005</v>
      </c>
      <c r="H1287" s="21">
        <v>0.73298200000000002</v>
      </c>
    </row>
    <row r="1288" spans="1:8" x14ac:dyDescent="0.15">
      <c r="A1288" s="21">
        <v>2.5117190000000001E-2</v>
      </c>
      <c r="B1288" s="21">
        <f t="shared" si="40"/>
        <v>0.7158603</v>
      </c>
      <c r="D1288">
        <f t="shared" si="41"/>
        <v>287.79194968553452</v>
      </c>
      <c r="G1288" s="21">
        <v>-0.91517839999999995</v>
      </c>
      <c r="H1288" s="21">
        <v>0.7158603</v>
      </c>
    </row>
    <row r="1289" spans="1:8" x14ac:dyDescent="0.15">
      <c r="A1289" s="21">
        <v>2.5136720000000001E-2</v>
      </c>
      <c r="B1289" s="21">
        <f t="shared" si="40"/>
        <v>0.67327000000000004</v>
      </c>
      <c r="D1289">
        <f t="shared" si="41"/>
        <v>270.6680503144654</v>
      </c>
      <c r="G1289" s="21">
        <v>-0.86072439999999995</v>
      </c>
      <c r="H1289" s="21">
        <v>0.67327000000000004</v>
      </c>
    </row>
    <row r="1290" spans="1:8" x14ac:dyDescent="0.15">
      <c r="A1290" s="21">
        <v>2.5156250000000002E-2</v>
      </c>
      <c r="B1290" s="21">
        <f t="shared" si="40"/>
        <v>0.60738380000000003</v>
      </c>
      <c r="D1290">
        <f t="shared" si="41"/>
        <v>244.33455974842764</v>
      </c>
      <c r="G1290" s="21">
        <v>-0.77698389999999995</v>
      </c>
      <c r="H1290" s="21">
        <v>0.60738380000000003</v>
      </c>
    </row>
    <row r="1291" spans="1:8" x14ac:dyDescent="0.15">
      <c r="A1291" s="21">
        <v>2.5175779999999998E-2</v>
      </c>
      <c r="B1291" s="21">
        <f t="shared" si="40"/>
        <v>0.52193970000000001</v>
      </c>
      <c r="D1291">
        <f t="shared" si="41"/>
        <v>210.02789308176099</v>
      </c>
      <c r="G1291" s="21">
        <v>-0.6678887</v>
      </c>
      <c r="H1291" s="21">
        <v>0.52193970000000001</v>
      </c>
    </row>
    <row r="1292" spans="1:8" x14ac:dyDescent="0.15">
      <c r="A1292" s="21">
        <v>2.5195309999999999E-2</v>
      </c>
      <c r="B1292" s="21">
        <f t="shared" si="40"/>
        <v>0.41897509999999999</v>
      </c>
      <c r="D1292">
        <f t="shared" si="41"/>
        <v>168.53245283018865</v>
      </c>
      <c r="G1292" s="21">
        <v>-0.5359332</v>
      </c>
      <c r="H1292" s="21">
        <v>0.41897509999999999</v>
      </c>
    </row>
    <row r="1293" spans="1:8" x14ac:dyDescent="0.15">
      <c r="A1293" s="21">
        <v>2.5214839999999999E-2</v>
      </c>
      <c r="B1293" s="21">
        <f t="shared" si="40"/>
        <v>0.30140430000000001</v>
      </c>
      <c r="D1293">
        <f t="shared" si="41"/>
        <v>121.37729559748428</v>
      </c>
      <c r="G1293" s="21">
        <v>-0.38597979999999998</v>
      </c>
      <c r="H1293" s="21">
        <v>0.30140430000000001</v>
      </c>
    </row>
    <row r="1294" spans="1:8" x14ac:dyDescent="0.15">
      <c r="A1294" s="21">
        <v>2.5234369999999999E-2</v>
      </c>
      <c r="B1294" s="21">
        <f t="shared" si="40"/>
        <v>0.1721887</v>
      </c>
      <c r="D1294">
        <f t="shared" si="41"/>
        <v>69.531603773584905</v>
      </c>
      <c r="G1294" s="21">
        <v>-0.22111049999999999</v>
      </c>
      <c r="H1294" s="21">
        <v>0.1721887</v>
      </c>
    </row>
    <row r="1295" spans="1:8" x14ac:dyDescent="0.15">
      <c r="A1295" s="21">
        <v>2.5253910000000001E-2</v>
      </c>
      <c r="B1295" s="21">
        <f t="shared" si="40"/>
        <v>3.5678000000000001E-2</v>
      </c>
      <c r="D1295">
        <f t="shared" si="41"/>
        <v>14.871830188679244</v>
      </c>
      <c r="G1295" s="21">
        <v>-4.7292420000000002E-2</v>
      </c>
      <c r="H1295" s="21">
        <v>3.5678000000000001E-2</v>
      </c>
    </row>
    <row r="1296" spans="1:8" x14ac:dyDescent="0.15">
      <c r="A1296" s="21">
        <v>2.5273440000000001E-2</v>
      </c>
      <c r="B1296" s="21">
        <f t="shared" si="40"/>
        <v>-0.1001918</v>
      </c>
      <c r="D1296">
        <f t="shared" si="41"/>
        <v>-39.253805031446539</v>
      </c>
      <c r="G1296" s="21">
        <v>0.1248271</v>
      </c>
      <c r="H1296" s="21">
        <v>-0.1001918</v>
      </c>
    </row>
    <row r="1297" spans="1:8" x14ac:dyDescent="0.15">
      <c r="A1297" s="21">
        <v>2.5292970000000001E-2</v>
      </c>
      <c r="B1297" s="21">
        <f t="shared" si="40"/>
        <v>-0.2303376</v>
      </c>
      <c r="D1297">
        <f t="shared" si="41"/>
        <v>-91.276257861635202</v>
      </c>
      <c r="G1297" s="21">
        <v>0.29025849999999997</v>
      </c>
      <c r="H1297" s="21">
        <v>-0.2303376</v>
      </c>
    </row>
    <row r="1298" spans="1:8" x14ac:dyDescent="0.15">
      <c r="A1298" s="21">
        <v>2.5312500000000002E-2</v>
      </c>
      <c r="B1298" s="21">
        <f t="shared" si="40"/>
        <v>-0.35243659999999999</v>
      </c>
      <c r="D1298">
        <f t="shared" si="41"/>
        <v>-140.29264150943396</v>
      </c>
      <c r="G1298" s="21">
        <v>0.44613059999999999</v>
      </c>
      <c r="H1298" s="21">
        <v>-0.35243659999999999</v>
      </c>
    </row>
    <row r="1299" spans="1:8" x14ac:dyDescent="0.15">
      <c r="A1299" s="21">
        <v>2.5332029999999998E-2</v>
      </c>
      <c r="B1299" s="21">
        <f t="shared" si="40"/>
        <v>-0.46300599999999997</v>
      </c>
      <c r="D1299">
        <f t="shared" si="41"/>
        <v>-184.60805031446537</v>
      </c>
      <c r="G1299" s="21">
        <v>0.58705359999999995</v>
      </c>
      <c r="H1299" s="21">
        <v>-0.46300599999999997</v>
      </c>
    </row>
    <row r="1300" spans="1:8" x14ac:dyDescent="0.15">
      <c r="A1300" s="21">
        <v>2.5351559999999999E-2</v>
      </c>
      <c r="B1300" s="21">
        <f t="shared" si="40"/>
        <v>-0.55955619999999995</v>
      </c>
      <c r="D1300">
        <f t="shared" si="41"/>
        <v>-223.19742138364776</v>
      </c>
      <c r="G1300" s="21">
        <v>0.70976779999999995</v>
      </c>
      <c r="H1300" s="21">
        <v>-0.55955619999999995</v>
      </c>
    </row>
    <row r="1301" spans="1:8" x14ac:dyDescent="0.15">
      <c r="A1301" s="21">
        <v>2.5371089999999999E-2</v>
      </c>
      <c r="B1301" s="21">
        <f t="shared" si="40"/>
        <v>-0.63743740000000004</v>
      </c>
      <c r="D1301">
        <f t="shared" si="41"/>
        <v>-254.287106918239</v>
      </c>
      <c r="G1301" s="21">
        <v>0.80863300000000005</v>
      </c>
      <c r="H1301" s="21">
        <v>-0.63743740000000004</v>
      </c>
    </row>
    <row r="1302" spans="1:8" x14ac:dyDescent="0.15">
      <c r="A1302" s="21">
        <v>2.5390619999999999E-2</v>
      </c>
      <c r="B1302" s="21">
        <f t="shared" si="40"/>
        <v>-0.69257650000000004</v>
      </c>
      <c r="D1302">
        <f t="shared" si="41"/>
        <v>-276.51805031446543</v>
      </c>
      <c r="G1302" s="21">
        <v>0.87932739999999998</v>
      </c>
      <c r="H1302" s="21">
        <v>-0.69257650000000004</v>
      </c>
    </row>
    <row r="1303" spans="1:8" x14ac:dyDescent="0.15">
      <c r="A1303" s="21">
        <v>2.5410160000000001E-2</v>
      </c>
      <c r="B1303" s="21">
        <f t="shared" si="40"/>
        <v>-0.72532770000000002</v>
      </c>
      <c r="D1303">
        <f t="shared" si="41"/>
        <v>-289.98871069182388</v>
      </c>
      <c r="G1303" s="21">
        <v>0.92216410000000004</v>
      </c>
      <c r="H1303" s="21">
        <v>-0.72532770000000002</v>
      </c>
    </row>
    <row r="1304" spans="1:8" x14ac:dyDescent="0.15">
      <c r="A1304" s="21">
        <v>2.5429690000000001E-2</v>
      </c>
      <c r="B1304" s="21">
        <f t="shared" si="40"/>
        <v>-0.73403439999999998</v>
      </c>
      <c r="D1304">
        <f t="shared" si="41"/>
        <v>-293.57886792452825</v>
      </c>
      <c r="G1304" s="21">
        <v>0.93358079999999999</v>
      </c>
      <c r="H1304" s="21">
        <v>-0.73403439999999998</v>
      </c>
    </row>
    <row r="1305" spans="1:8" x14ac:dyDescent="0.15">
      <c r="A1305" s="21">
        <v>2.5449220000000002E-2</v>
      </c>
      <c r="B1305" s="21">
        <f t="shared" si="40"/>
        <v>-0.71788810000000003</v>
      </c>
      <c r="D1305">
        <f t="shared" si="41"/>
        <v>-287.20075471698107</v>
      </c>
      <c r="G1305" s="21">
        <v>0.91329839999999995</v>
      </c>
      <c r="H1305" s="21">
        <v>-0.71788810000000003</v>
      </c>
    </row>
    <row r="1306" spans="1:8" x14ac:dyDescent="0.15">
      <c r="A1306" s="21">
        <v>2.5468749999999998E-2</v>
      </c>
      <c r="B1306" s="21">
        <f t="shared" si="40"/>
        <v>-0.6783612</v>
      </c>
      <c r="D1306">
        <f t="shared" si="41"/>
        <v>-271.69842767295597</v>
      </c>
      <c r="G1306" s="21">
        <v>0.86400100000000002</v>
      </c>
      <c r="H1306" s="21">
        <v>-0.6783612</v>
      </c>
    </row>
    <row r="1307" spans="1:8" x14ac:dyDescent="0.15">
      <c r="A1307" s="21">
        <v>2.5488279999999999E-2</v>
      </c>
      <c r="B1307" s="21">
        <f t="shared" si="40"/>
        <v>-0.61454419999999998</v>
      </c>
      <c r="D1307">
        <f t="shared" si="41"/>
        <v>-246.32566037735847</v>
      </c>
      <c r="G1307" s="21">
        <v>0.7833156</v>
      </c>
      <c r="H1307" s="21">
        <v>-0.61454419999999998</v>
      </c>
    </row>
    <row r="1308" spans="1:8" x14ac:dyDescent="0.15">
      <c r="A1308" s="21">
        <v>2.5507809999999999E-2</v>
      </c>
      <c r="B1308" s="21">
        <f t="shared" si="40"/>
        <v>-0.5291882</v>
      </c>
      <c r="D1308">
        <f t="shared" si="41"/>
        <v>-212.28459119496856</v>
      </c>
      <c r="G1308" s="21">
        <v>0.67506500000000003</v>
      </c>
      <c r="H1308" s="21">
        <v>-0.5291882</v>
      </c>
    </row>
    <row r="1309" spans="1:8" x14ac:dyDescent="0.15">
      <c r="A1309" s="21">
        <v>2.5527339999999999E-2</v>
      </c>
      <c r="B1309" s="21">
        <f t="shared" si="40"/>
        <v>-0.42679289999999998</v>
      </c>
      <c r="D1309">
        <f t="shared" si="41"/>
        <v>-171.38157232704401</v>
      </c>
      <c r="G1309" s="21">
        <v>0.54499339999999996</v>
      </c>
      <c r="H1309" s="21">
        <v>-0.42679289999999998</v>
      </c>
    </row>
    <row r="1310" spans="1:8" x14ac:dyDescent="0.15">
      <c r="A1310" s="21">
        <v>2.5546880000000001E-2</v>
      </c>
      <c r="B1310" s="21">
        <f t="shared" si="40"/>
        <v>-0.30796839999999998</v>
      </c>
      <c r="D1310">
        <f t="shared" si="41"/>
        <v>-123.83047169811319</v>
      </c>
      <c r="G1310" s="21">
        <v>0.39378089999999999</v>
      </c>
      <c r="H1310" s="21">
        <v>-0.30796839999999998</v>
      </c>
    </row>
    <row r="1311" spans="1:8" x14ac:dyDescent="0.15">
      <c r="A1311" s="21">
        <v>2.5566410000000001E-2</v>
      </c>
      <c r="B1311" s="21">
        <f t="shared" si="40"/>
        <v>-0.1781808</v>
      </c>
      <c r="D1311">
        <f t="shared" si="41"/>
        <v>-72.078647798742139</v>
      </c>
      <c r="G1311" s="21">
        <v>0.2292101</v>
      </c>
      <c r="H1311" s="21">
        <v>-0.1781808</v>
      </c>
    </row>
    <row r="1312" spans="1:8" x14ac:dyDescent="0.15">
      <c r="A1312" s="21">
        <v>2.5585940000000001E-2</v>
      </c>
      <c r="B1312" s="21">
        <f t="shared" si="40"/>
        <v>-4.4250680000000001E-2</v>
      </c>
      <c r="D1312">
        <f t="shared" si="41"/>
        <v>-18.446433962264152</v>
      </c>
      <c r="G1312" s="21">
        <v>5.8659660000000002E-2</v>
      </c>
      <c r="H1312" s="21">
        <v>-4.4250680000000001E-2</v>
      </c>
    </row>
    <row r="1313" spans="1:8" x14ac:dyDescent="0.15">
      <c r="A1313" s="21">
        <v>2.5605470000000002E-2</v>
      </c>
      <c r="B1313" s="21">
        <f t="shared" si="40"/>
        <v>9.1559249999999995E-2</v>
      </c>
      <c r="D1313">
        <f t="shared" si="41"/>
        <v>36.128144654088047</v>
      </c>
      <c r="G1313" s="21">
        <v>-0.1148875</v>
      </c>
      <c r="H1313" s="21">
        <v>9.1559249999999995E-2</v>
      </c>
    </row>
    <row r="1314" spans="1:8" x14ac:dyDescent="0.15">
      <c r="A1314" s="21">
        <v>2.5624999999999998E-2</v>
      </c>
      <c r="B1314" s="21">
        <f t="shared" si="40"/>
        <v>0.22329679999999999</v>
      </c>
      <c r="D1314">
        <f t="shared" si="41"/>
        <v>88.934748427672957</v>
      </c>
      <c r="G1314" s="21">
        <v>-0.28281250000000002</v>
      </c>
      <c r="H1314" s="21">
        <v>0.22329679999999999</v>
      </c>
    </row>
    <row r="1315" spans="1:8" x14ac:dyDescent="0.15">
      <c r="A1315" s="21">
        <v>2.5644529999999999E-2</v>
      </c>
      <c r="B1315" s="21">
        <f t="shared" si="40"/>
        <v>0.34633320000000001</v>
      </c>
      <c r="D1315">
        <f t="shared" si="41"/>
        <v>138.32977987421384</v>
      </c>
      <c r="G1315" s="21">
        <v>-0.43988870000000002</v>
      </c>
      <c r="H1315" s="21">
        <v>0.34633320000000001</v>
      </c>
    </row>
    <row r="1316" spans="1:8" x14ac:dyDescent="0.15">
      <c r="A1316" s="21">
        <v>2.5664059999999999E-2</v>
      </c>
      <c r="B1316" s="21">
        <f t="shared" si="40"/>
        <v>0.45861239999999998</v>
      </c>
      <c r="D1316">
        <f t="shared" si="41"/>
        <v>183.55185534591192</v>
      </c>
      <c r="G1316" s="21">
        <v>-0.58369490000000002</v>
      </c>
      <c r="H1316" s="21">
        <v>0.45861239999999998</v>
      </c>
    </row>
    <row r="1317" spans="1:8" x14ac:dyDescent="0.15">
      <c r="A1317" s="21">
        <v>2.5683589999999999E-2</v>
      </c>
      <c r="B1317" s="21">
        <f t="shared" si="40"/>
        <v>0.55463010000000001</v>
      </c>
      <c r="D1317">
        <f t="shared" si="41"/>
        <v>222.34078616352201</v>
      </c>
      <c r="G1317" s="21">
        <v>-0.70704370000000005</v>
      </c>
      <c r="H1317" s="21">
        <v>0.55463010000000001</v>
      </c>
    </row>
    <row r="1318" spans="1:8" x14ac:dyDescent="0.15">
      <c r="A1318" s="21">
        <v>2.5703130000000001E-2</v>
      </c>
      <c r="B1318" s="21">
        <f t="shared" si="40"/>
        <v>0.63166429999999996</v>
      </c>
      <c r="D1318">
        <f t="shared" si="41"/>
        <v>253.47430817610064</v>
      </c>
      <c r="G1318" s="21">
        <v>-0.80604830000000005</v>
      </c>
      <c r="H1318" s="21">
        <v>0.63166429999999996</v>
      </c>
    </row>
    <row r="1319" spans="1:8" x14ac:dyDescent="0.15">
      <c r="A1319" s="21">
        <v>2.5722660000000001E-2</v>
      </c>
      <c r="B1319" s="21">
        <f t="shared" si="40"/>
        <v>0.68793380000000004</v>
      </c>
      <c r="D1319">
        <f t="shared" si="41"/>
        <v>276.26974842767294</v>
      </c>
      <c r="G1319" s="21">
        <v>-0.87853780000000004</v>
      </c>
      <c r="H1319" s="21">
        <v>0.68793380000000004</v>
      </c>
    </row>
    <row r="1320" spans="1:8" x14ac:dyDescent="0.15">
      <c r="A1320" s="21">
        <v>2.5742190000000002E-2</v>
      </c>
      <c r="B1320" s="21">
        <f t="shared" si="40"/>
        <v>0.72195319999999996</v>
      </c>
      <c r="D1320">
        <f t="shared" si="41"/>
        <v>290.17924528301887</v>
      </c>
      <c r="G1320" s="21">
        <v>-0.92276999999999998</v>
      </c>
      <c r="H1320" s="21">
        <v>0.72195319999999996</v>
      </c>
    </row>
    <row r="1321" spans="1:8" x14ac:dyDescent="0.15">
      <c r="A1321" s="21">
        <v>2.5761719999999998E-2</v>
      </c>
      <c r="B1321" s="21">
        <f t="shared" si="40"/>
        <v>0.73384479999999996</v>
      </c>
      <c r="D1321">
        <f t="shared" si="41"/>
        <v>295.08361635220126</v>
      </c>
      <c r="G1321" s="21">
        <v>-0.93836589999999998</v>
      </c>
      <c r="H1321" s="21">
        <v>0.73384479999999996</v>
      </c>
    </row>
    <row r="1322" spans="1:8" x14ac:dyDescent="0.15">
      <c r="A1322" s="21">
        <v>2.5781249999999999E-2</v>
      </c>
      <c r="B1322" s="21">
        <f t="shared" si="40"/>
        <v>0.71983359999999996</v>
      </c>
      <c r="D1322">
        <f t="shared" si="41"/>
        <v>289.44515723270439</v>
      </c>
      <c r="G1322" s="21">
        <v>-0.92043560000000002</v>
      </c>
      <c r="H1322" s="21">
        <v>0.71983359999999996</v>
      </c>
    </row>
    <row r="1323" spans="1:8" x14ac:dyDescent="0.15">
      <c r="A1323" s="21">
        <v>2.5800779999999999E-2</v>
      </c>
      <c r="B1323" s="21">
        <f t="shared" si="40"/>
        <v>0.67981820000000004</v>
      </c>
      <c r="D1323">
        <f t="shared" si="41"/>
        <v>273.36820754716979</v>
      </c>
      <c r="G1323" s="21">
        <v>-0.8693109</v>
      </c>
      <c r="H1323" s="21">
        <v>0.67981820000000004</v>
      </c>
    </row>
    <row r="1324" spans="1:8" x14ac:dyDescent="0.15">
      <c r="A1324" s="21">
        <v>2.5820309999999999E-2</v>
      </c>
      <c r="B1324" s="21">
        <f t="shared" si="40"/>
        <v>0.61765530000000002</v>
      </c>
      <c r="D1324">
        <f t="shared" si="41"/>
        <v>248.48484276729562</v>
      </c>
      <c r="G1324" s="21">
        <v>-0.79018180000000005</v>
      </c>
      <c r="H1324" s="21">
        <v>0.61765530000000002</v>
      </c>
    </row>
    <row r="1325" spans="1:8" x14ac:dyDescent="0.15">
      <c r="A1325" s="21">
        <v>2.5839839999999999E-2</v>
      </c>
      <c r="B1325" s="21">
        <f t="shared" si="40"/>
        <v>0.53435849999999996</v>
      </c>
      <c r="D1325">
        <f t="shared" si="41"/>
        <v>214.9961006289308</v>
      </c>
      <c r="G1325" s="21">
        <v>-0.68368759999999995</v>
      </c>
      <c r="H1325" s="21">
        <v>0.53435849999999996</v>
      </c>
    </row>
    <row r="1326" spans="1:8" x14ac:dyDescent="0.15">
      <c r="A1326" s="21">
        <v>2.5859380000000001E-2</v>
      </c>
      <c r="B1326" s="21">
        <f t="shared" si="40"/>
        <v>0.43389480000000002</v>
      </c>
      <c r="D1326">
        <f t="shared" si="41"/>
        <v>174.58861635220126</v>
      </c>
      <c r="G1326" s="21">
        <v>-0.55519180000000001</v>
      </c>
      <c r="H1326" s="21">
        <v>0.43389480000000002</v>
      </c>
    </row>
    <row r="1327" spans="1:8" x14ac:dyDescent="0.15">
      <c r="A1327" s="21">
        <v>2.5878910000000001E-2</v>
      </c>
      <c r="B1327" s="21">
        <f t="shared" si="40"/>
        <v>0.31879859999999999</v>
      </c>
      <c r="D1327">
        <f t="shared" si="41"/>
        <v>128.35792452830188</v>
      </c>
      <c r="G1327" s="21">
        <v>-0.40817819999999999</v>
      </c>
      <c r="H1327" s="21">
        <v>0.31879859999999999</v>
      </c>
    </row>
    <row r="1328" spans="1:8" x14ac:dyDescent="0.15">
      <c r="A1328" s="21">
        <v>2.5898439999999998E-2</v>
      </c>
      <c r="B1328" s="21">
        <f t="shared" si="40"/>
        <v>0.1897336</v>
      </c>
      <c r="D1328">
        <f t="shared" si="41"/>
        <v>76.518018867924525</v>
      </c>
      <c r="G1328" s="21">
        <v>-0.2433273</v>
      </c>
      <c r="H1328" s="21">
        <v>0.1897336</v>
      </c>
    </row>
    <row r="1329" spans="1:8" x14ac:dyDescent="0.15">
      <c r="A1329" s="21">
        <v>2.5917969999999999E-2</v>
      </c>
      <c r="B1329" s="21">
        <f t="shared" si="40"/>
        <v>5.3892719999999998E-2</v>
      </c>
      <c r="D1329">
        <f t="shared" si="41"/>
        <v>22.343792452830186</v>
      </c>
      <c r="G1329" s="21">
        <v>-7.1053259999999993E-2</v>
      </c>
      <c r="H1329" s="21">
        <v>5.3892719999999998E-2</v>
      </c>
    </row>
    <row r="1330" spans="1:8" x14ac:dyDescent="0.15">
      <c r="A1330" s="21">
        <v>2.5937499999999999E-2</v>
      </c>
      <c r="B1330" s="21">
        <f t="shared" si="40"/>
        <v>-8.2307309999999995E-2</v>
      </c>
      <c r="D1330">
        <f t="shared" si="41"/>
        <v>-31.96591194968553</v>
      </c>
      <c r="G1330" s="21">
        <v>0.10165159999999999</v>
      </c>
      <c r="H1330" s="21">
        <v>-8.2307309999999995E-2</v>
      </c>
    </row>
    <row r="1331" spans="1:8" x14ac:dyDescent="0.15">
      <c r="A1331" s="21">
        <v>2.5957029999999999E-2</v>
      </c>
      <c r="B1331" s="21">
        <f t="shared" si="40"/>
        <v>-0.2139163</v>
      </c>
      <c r="D1331">
        <f t="shared" si="41"/>
        <v>-84.681383647798725</v>
      </c>
      <c r="G1331" s="21">
        <v>0.26928679999999999</v>
      </c>
      <c r="H1331" s="21">
        <v>-0.2139163</v>
      </c>
    </row>
    <row r="1332" spans="1:8" x14ac:dyDescent="0.15">
      <c r="A1332" s="21">
        <v>2.5976559999999999E-2</v>
      </c>
      <c r="B1332" s="21">
        <f t="shared" si="40"/>
        <v>-0.33593879999999998</v>
      </c>
      <c r="D1332">
        <f t="shared" si="41"/>
        <v>-133.49613207547168</v>
      </c>
      <c r="G1332" s="21">
        <v>0.4245177</v>
      </c>
      <c r="H1332" s="21">
        <v>-0.33593879999999998</v>
      </c>
    </row>
    <row r="1333" spans="1:8" x14ac:dyDescent="0.15">
      <c r="A1333" s="21">
        <v>2.5996089999999999E-2</v>
      </c>
      <c r="B1333" s="21">
        <f t="shared" si="40"/>
        <v>-0.44851020000000003</v>
      </c>
      <c r="D1333">
        <f t="shared" si="41"/>
        <v>-178.7162893081761</v>
      </c>
      <c r="G1333" s="21">
        <v>0.56831779999999998</v>
      </c>
      <c r="H1333" s="21">
        <v>-0.44851020000000003</v>
      </c>
    </row>
    <row r="1334" spans="1:8" x14ac:dyDescent="0.15">
      <c r="A1334" s="21">
        <v>2.6015630000000001E-2</v>
      </c>
      <c r="B1334" s="21">
        <f t="shared" si="40"/>
        <v>-0.54801109999999997</v>
      </c>
      <c r="D1334">
        <f t="shared" si="41"/>
        <v>-218.49163522012577</v>
      </c>
      <c r="G1334" s="21">
        <v>0.69480339999999996</v>
      </c>
      <c r="H1334" s="21">
        <v>-0.54801109999999997</v>
      </c>
    </row>
    <row r="1335" spans="1:8" x14ac:dyDescent="0.15">
      <c r="A1335" s="21">
        <v>2.6035160000000002E-2</v>
      </c>
      <c r="B1335" s="21">
        <f t="shared" si="40"/>
        <v>-0.62776410000000005</v>
      </c>
      <c r="D1335">
        <f t="shared" si="41"/>
        <v>-250.22984276729559</v>
      </c>
      <c r="G1335" s="21">
        <v>0.79573090000000002</v>
      </c>
      <c r="H1335" s="21">
        <v>-0.62776410000000005</v>
      </c>
    </row>
    <row r="1336" spans="1:8" x14ac:dyDescent="0.15">
      <c r="A1336" s="21">
        <v>2.6054689999999998E-2</v>
      </c>
      <c r="B1336" s="21">
        <f t="shared" si="40"/>
        <v>-0.68660779999999999</v>
      </c>
      <c r="D1336">
        <f t="shared" si="41"/>
        <v>-274.15594339622641</v>
      </c>
      <c r="G1336" s="21">
        <v>0.87181589999999998</v>
      </c>
      <c r="H1336" s="21">
        <v>-0.68660779999999999</v>
      </c>
    </row>
    <row r="1337" spans="1:8" x14ac:dyDescent="0.15">
      <c r="A1337" s="21">
        <v>2.6074219999999999E-2</v>
      </c>
      <c r="B1337" s="21">
        <f t="shared" si="40"/>
        <v>-0.72255219999999998</v>
      </c>
      <c r="D1337">
        <f t="shared" si="41"/>
        <v>-288.82512578616348</v>
      </c>
      <c r="G1337" s="21">
        <v>0.9184639</v>
      </c>
      <c r="H1337" s="21">
        <v>-0.72255219999999998</v>
      </c>
    </row>
    <row r="1338" spans="1:8" x14ac:dyDescent="0.15">
      <c r="A1338" s="21">
        <v>2.6093749999999999E-2</v>
      </c>
      <c r="B1338" s="21">
        <f t="shared" si="40"/>
        <v>-0.73359560000000001</v>
      </c>
      <c r="D1338">
        <f t="shared" si="41"/>
        <v>-293.24996855345915</v>
      </c>
      <c r="G1338" s="21">
        <v>0.93253490000000006</v>
      </c>
      <c r="H1338" s="21">
        <v>-0.73359560000000001</v>
      </c>
    </row>
    <row r="1339" spans="1:8" x14ac:dyDescent="0.15">
      <c r="A1339" s="21">
        <v>2.6113279999999999E-2</v>
      </c>
      <c r="B1339" s="21">
        <f t="shared" si="40"/>
        <v>-0.72104140000000005</v>
      </c>
      <c r="D1339">
        <f t="shared" si="41"/>
        <v>-288.41295597484276</v>
      </c>
      <c r="G1339" s="21">
        <v>0.9171532</v>
      </c>
      <c r="H1339" s="21">
        <v>-0.72104140000000005</v>
      </c>
    </row>
    <row r="1340" spans="1:8" x14ac:dyDescent="0.15">
      <c r="A1340" s="21">
        <v>2.6132809999999999E-2</v>
      </c>
      <c r="B1340" s="21">
        <f t="shared" si="40"/>
        <v>-0.68448189999999998</v>
      </c>
      <c r="D1340">
        <f t="shared" si="41"/>
        <v>-274.02710691823899</v>
      </c>
      <c r="G1340" s="21">
        <v>0.87140620000000002</v>
      </c>
      <c r="H1340" s="21">
        <v>-0.68448189999999998</v>
      </c>
    </row>
    <row r="1341" spans="1:8" x14ac:dyDescent="0.15">
      <c r="A1341" s="21">
        <v>2.615234E-2</v>
      </c>
      <c r="B1341" s="21">
        <f t="shared" si="40"/>
        <v>-0.62407809999999997</v>
      </c>
      <c r="D1341">
        <f t="shared" si="41"/>
        <v>-250.08877358490562</v>
      </c>
      <c r="G1341" s="21">
        <v>0.7952823</v>
      </c>
      <c r="H1341" s="21">
        <v>-0.62407809999999997</v>
      </c>
    </row>
    <row r="1342" spans="1:8" x14ac:dyDescent="0.15">
      <c r="A1342" s="21">
        <v>2.6171880000000002E-2</v>
      </c>
      <c r="B1342" s="21">
        <f t="shared" si="40"/>
        <v>-0.54222570000000003</v>
      </c>
      <c r="D1342">
        <f t="shared" si="41"/>
        <v>-217.44031446540879</v>
      </c>
      <c r="G1342" s="21">
        <v>0.69146019999999997</v>
      </c>
      <c r="H1342" s="21">
        <v>-0.54222570000000003</v>
      </c>
    </row>
    <row r="1343" spans="1:8" x14ac:dyDescent="0.15">
      <c r="A1343" s="21">
        <v>2.6191409999999998E-2</v>
      </c>
      <c r="B1343" s="21">
        <f t="shared" si="40"/>
        <v>-0.44098670000000001</v>
      </c>
      <c r="D1343">
        <f t="shared" si="41"/>
        <v>-176.905</v>
      </c>
      <c r="G1343" s="21">
        <v>0.56255790000000006</v>
      </c>
      <c r="H1343" s="21">
        <v>-0.44098670000000001</v>
      </c>
    </row>
    <row r="1344" spans="1:8" x14ac:dyDescent="0.15">
      <c r="A1344" s="21">
        <v>2.6210939999999999E-2</v>
      </c>
      <c r="B1344" s="21">
        <f t="shared" si="40"/>
        <v>-0.32389760000000001</v>
      </c>
      <c r="D1344">
        <f t="shared" si="41"/>
        <v>-130.16688679245283</v>
      </c>
      <c r="G1344" s="21">
        <v>0.41393069999999998</v>
      </c>
      <c r="H1344" s="21">
        <v>-0.32389760000000001</v>
      </c>
    </row>
    <row r="1345" spans="1:8" x14ac:dyDescent="0.15">
      <c r="A1345" s="21">
        <v>2.6230469999999999E-2</v>
      </c>
      <c r="B1345" s="21">
        <f t="shared" si="40"/>
        <v>-0.19559770000000001</v>
      </c>
      <c r="D1345">
        <f t="shared" si="41"/>
        <v>-78.976383647798741</v>
      </c>
      <c r="G1345" s="21">
        <v>0.2511449</v>
      </c>
      <c r="H1345" s="21">
        <v>-0.19559770000000001</v>
      </c>
    </row>
    <row r="1346" spans="1:8" x14ac:dyDescent="0.15">
      <c r="A1346" s="21">
        <v>2.6249999999999999E-2</v>
      </c>
      <c r="B1346" s="21">
        <f t="shared" ref="B1346:B1409" si="42">H1346</f>
        <v>-6.1324419999999998E-2</v>
      </c>
      <c r="D1346">
        <f t="shared" ref="D1346:D1409" si="43">G1346*-1000/3.18</f>
        <v>-25.167506289308175</v>
      </c>
      <c r="G1346" s="21">
        <v>8.003267E-2</v>
      </c>
      <c r="H1346" s="21">
        <v>-6.1324419999999998E-2</v>
      </c>
    </row>
    <row r="1347" spans="1:8" x14ac:dyDescent="0.15">
      <c r="A1347" s="21">
        <v>2.6269529999999999E-2</v>
      </c>
      <c r="B1347" s="21">
        <f t="shared" si="42"/>
        <v>7.3558960000000007E-2</v>
      </c>
      <c r="D1347">
        <f t="shared" si="43"/>
        <v>28.981833333333331</v>
      </c>
      <c r="G1347" s="21">
        <v>-9.2162229999999998E-2</v>
      </c>
      <c r="H1347" s="21">
        <v>7.3558960000000007E-2</v>
      </c>
    </row>
    <row r="1348" spans="1:8" x14ac:dyDescent="0.15">
      <c r="A1348" s="21">
        <v>2.628906E-2</v>
      </c>
      <c r="B1348" s="21">
        <f t="shared" si="42"/>
        <v>0.20585200000000001</v>
      </c>
      <c r="D1348">
        <f t="shared" si="43"/>
        <v>82.017327044025166</v>
      </c>
      <c r="G1348" s="21">
        <v>-0.26081510000000002</v>
      </c>
      <c r="H1348" s="21">
        <v>0.20585200000000001</v>
      </c>
    </row>
    <row r="1349" spans="1:8" x14ac:dyDescent="0.15">
      <c r="A1349" s="21">
        <v>2.630859E-2</v>
      </c>
      <c r="B1349" s="21">
        <f t="shared" si="42"/>
        <v>0.3312079</v>
      </c>
      <c r="D1349">
        <f t="shared" si="43"/>
        <v>132.31471698113208</v>
      </c>
      <c r="G1349" s="21">
        <v>-0.42076079999999999</v>
      </c>
      <c r="H1349" s="21">
        <v>0.3312079</v>
      </c>
    </row>
    <row r="1350" spans="1:8" x14ac:dyDescent="0.15">
      <c r="A1350" s="21">
        <v>2.6328130000000002E-2</v>
      </c>
      <c r="B1350" s="21">
        <f t="shared" si="42"/>
        <v>0.44468580000000002</v>
      </c>
      <c r="D1350">
        <f t="shared" si="43"/>
        <v>178.00657232704401</v>
      </c>
      <c r="G1350" s="21">
        <v>-0.56606089999999998</v>
      </c>
      <c r="H1350" s="21">
        <v>0.44468580000000002</v>
      </c>
    </row>
    <row r="1351" spans="1:8" x14ac:dyDescent="0.15">
      <c r="A1351" s="21">
        <v>2.6347659999999998E-2</v>
      </c>
      <c r="B1351" s="21">
        <f t="shared" si="42"/>
        <v>0.54342990000000002</v>
      </c>
      <c r="D1351">
        <f t="shared" si="43"/>
        <v>217.86047169811323</v>
      </c>
      <c r="G1351" s="21">
        <v>-0.69279630000000003</v>
      </c>
      <c r="H1351" s="21">
        <v>0.54342990000000002</v>
      </c>
    </row>
    <row r="1352" spans="1:8" x14ac:dyDescent="0.15">
      <c r="A1352" s="21">
        <v>2.6367189999999999E-2</v>
      </c>
      <c r="B1352" s="21">
        <f t="shared" si="42"/>
        <v>0.62326119999999996</v>
      </c>
      <c r="D1352">
        <f t="shared" si="43"/>
        <v>250.10493710691824</v>
      </c>
      <c r="G1352" s="21">
        <v>-0.79533370000000003</v>
      </c>
      <c r="H1352" s="21">
        <v>0.62326119999999996</v>
      </c>
    </row>
    <row r="1353" spans="1:8" x14ac:dyDescent="0.15">
      <c r="A1353" s="21">
        <v>2.6386719999999999E-2</v>
      </c>
      <c r="B1353" s="21">
        <f t="shared" si="42"/>
        <v>0.68150840000000001</v>
      </c>
      <c r="D1353">
        <f t="shared" si="43"/>
        <v>273.71336477987421</v>
      </c>
      <c r="G1353" s="21">
        <v>-0.87040850000000003</v>
      </c>
      <c r="H1353" s="21">
        <v>0.68150840000000001</v>
      </c>
    </row>
    <row r="1354" spans="1:8" x14ac:dyDescent="0.15">
      <c r="A1354" s="21">
        <v>2.6406249999999999E-2</v>
      </c>
      <c r="B1354" s="21">
        <f t="shared" si="42"/>
        <v>0.7188021</v>
      </c>
      <c r="D1354">
        <f t="shared" si="43"/>
        <v>288.93559748427674</v>
      </c>
      <c r="G1354" s="21">
        <v>-0.91881520000000005</v>
      </c>
      <c r="H1354" s="21">
        <v>0.7188021</v>
      </c>
    </row>
    <row r="1355" spans="1:8" x14ac:dyDescent="0.15">
      <c r="A1355" s="21">
        <v>2.6425779999999999E-2</v>
      </c>
      <c r="B1355" s="21">
        <f t="shared" si="42"/>
        <v>0.7336627</v>
      </c>
      <c r="D1355">
        <f t="shared" si="43"/>
        <v>295.04440251572328</v>
      </c>
      <c r="G1355" s="21">
        <v>-0.9382412</v>
      </c>
      <c r="H1355" s="21">
        <v>0.7336627</v>
      </c>
    </row>
    <row r="1356" spans="1:8" x14ac:dyDescent="0.15">
      <c r="A1356" s="21">
        <v>2.644531E-2</v>
      </c>
      <c r="B1356" s="21">
        <f t="shared" si="42"/>
        <v>0.72321740000000001</v>
      </c>
      <c r="D1356">
        <f t="shared" si="43"/>
        <v>290.8317924528302</v>
      </c>
      <c r="G1356" s="21">
        <v>-0.92484509999999998</v>
      </c>
      <c r="H1356" s="21">
        <v>0.72321740000000001</v>
      </c>
    </row>
    <row r="1357" spans="1:8" x14ac:dyDescent="0.15">
      <c r="A1357" s="21">
        <v>2.646484E-2</v>
      </c>
      <c r="B1357" s="21">
        <f t="shared" si="42"/>
        <v>0.68713049999999998</v>
      </c>
      <c r="D1357">
        <f t="shared" si="43"/>
        <v>276.31562893081758</v>
      </c>
      <c r="G1357" s="21">
        <v>-0.87868369999999996</v>
      </c>
      <c r="H1357" s="21">
        <v>0.68713049999999998</v>
      </c>
    </row>
    <row r="1358" spans="1:8" x14ac:dyDescent="0.15">
      <c r="A1358" s="21">
        <v>2.6484379999999998E-2</v>
      </c>
      <c r="B1358" s="21">
        <f t="shared" si="42"/>
        <v>0.62725399999999998</v>
      </c>
      <c r="D1358">
        <f t="shared" si="43"/>
        <v>252.33078616352199</v>
      </c>
      <c r="G1358" s="21">
        <v>-0.80241189999999996</v>
      </c>
      <c r="H1358" s="21">
        <v>0.62725399999999998</v>
      </c>
    </row>
    <row r="1359" spans="1:8" x14ac:dyDescent="0.15">
      <c r="A1359" s="21">
        <v>2.6503909999999999E-2</v>
      </c>
      <c r="B1359" s="21">
        <f t="shared" si="42"/>
        <v>0.54650589999999999</v>
      </c>
      <c r="D1359">
        <f t="shared" si="43"/>
        <v>219.95003144654086</v>
      </c>
      <c r="G1359" s="21">
        <v>-0.69944110000000004</v>
      </c>
      <c r="H1359" s="21">
        <v>0.54650589999999999</v>
      </c>
    </row>
    <row r="1360" spans="1:8" x14ac:dyDescent="0.15">
      <c r="A1360" s="21">
        <v>2.6523439999999999E-2</v>
      </c>
      <c r="B1360" s="21">
        <f t="shared" si="42"/>
        <v>0.44822269999999997</v>
      </c>
      <c r="D1360">
        <f t="shared" si="43"/>
        <v>180.44163522012576</v>
      </c>
      <c r="G1360" s="21">
        <v>-0.57380439999999999</v>
      </c>
      <c r="H1360" s="21">
        <v>0.44822269999999997</v>
      </c>
    </row>
    <row r="1361" spans="1:8" x14ac:dyDescent="0.15">
      <c r="A1361" s="21">
        <v>2.6542969999999999E-2</v>
      </c>
      <c r="B1361" s="21">
        <f t="shared" si="42"/>
        <v>0.33433000000000002</v>
      </c>
      <c r="D1361">
        <f t="shared" si="43"/>
        <v>134.64974842767296</v>
      </c>
      <c r="G1361" s="21">
        <v>-0.42818620000000002</v>
      </c>
      <c r="H1361" s="21">
        <v>0.33433000000000002</v>
      </c>
    </row>
    <row r="1362" spans="1:8" x14ac:dyDescent="0.15">
      <c r="A1362" s="21">
        <v>2.6562499999999999E-2</v>
      </c>
      <c r="B1362" s="21">
        <f t="shared" si="42"/>
        <v>0.20719480000000001</v>
      </c>
      <c r="D1362">
        <f t="shared" si="43"/>
        <v>83.68537735849057</v>
      </c>
      <c r="G1362" s="21">
        <v>-0.26611950000000001</v>
      </c>
      <c r="H1362" s="21">
        <v>0.20719480000000001</v>
      </c>
    </row>
    <row r="1363" spans="1:8" x14ac:dyDescent="0.15">
      <c r="A1363" s="21">
        <v>2.658203E-2</v>
      </c>
      <c r="B1363" s="21">
        <f t="shared" si="42"/>
        <v>7.2284299999999996E-2</v>
      </c>
      <c r="D1363">
        <f t="shared" si="43"/>
        <v>29.728506289308172</v>
      </c>
      <c r="G1363" s="21">
        <v>-9.453665E-2</v>
      </c>
      <c r="H1363" s="21">
        <v>7.2284299999999996E-2</v>
      </c>
    </row>
    <row r="1364" spans="1:8" x14ac:dyDescent="0.15">
      <c r="A1364" s="21">
        <v>2.660156E-2</v>
      </c>
      <c r="B1364" s="21">
        <f t="shared" si="42"/>
        <v>-6.4182020000000006E-2</v>
      </c>
      <c r="D1364">
        <f t="shared" si="43"/>
        <v>-24.782352201257858</v>
      </c>
      <c r="G1364" s="21">
        <v>7.8807879999999997E-2</v>
      </c>
      <c r="H1364" s="21">
        <v>-6.4182020000000006E-2</v>
      </c>
    </row>
    <row r="1365" spans="1:8" x14ac:dyDescent="0.15">
      <c r="A1365" s="21">
        <v>2.662109E-2</v>
      </c>
      <c r="B1365" s="21">
        <f t="shared" si="42"/>
        <v>-0.19662360000000001</v>
      </c>
      <c r="D1365">
        <f t="shared" si="43"/>
        <v>-77.691132075471685</v>
      </c>
      <c r="G1365" s="21">
        <v>0.24705779999999999</v>
      </c>
      <c r="H1365" s="21">
        <v>-0.19662360000000001</v>
      </c>
    </row>
    <row r="1366" spans="1:8" x14ac:dyDescent="0.15">
      <c r="A1366" s="21">
        <v>2.6640629999999998E-2</v>
      </c>
      <c r="B1366" s="21">
        <f t="shared" si="42"/>
        <v>-0.32099490000000003</v>
      </c>
      <c r="D1366">
        <f t="shared" si="43"/>
        <v>-127.56572327044024</v>
      </c>
      <c r="G1366" s="21">
        <v>0.40565899999999999</v>
      </c>
      <c r="H1366" s="21">
        <v>-0.32099490000000003</v>
      </c>
    </row>
    <row r="1367" spans="1:8" x14ac:dyDescent="0.15">
      <c r="A1367" s="21">
        <v>2.6660159999999999E-2</v>
      </c>
      <c r="B1367" s="21">
        <f t="shared" si="42"/>
        <v>-0.43489650000000002</v>
      </c>
      <c r="D1367">
        <f t="shared" si="43"/>
        <v>-173.20666666666665</v>
      </c>
      <c r="G1367" s="21">
        <v>0.55079719999999999</v>
      </c>
      <c r="H1367" s="21">
        <v>-0.43489650000000002</v>
      </c>
    </row>
    <row r="1368" spans="1:8" x14ac:dyDescent="0.15">
      <c r="A1368" s="21">
        <v>2.6679689999999999E-2</v>
      </c>
      <c r="B1368" s="21">
        <f t="shared" si="42"/>
        <v>-0.53541340000000004</v>
      </c>
      <c r="D1368">
        <f t="shared" si="43"/>
        <v>-213.39723270440251</v>
      </c>
      <c r="G1368" s="21">
        <v>0.67860319999999996</v>
      </c>
      <c r="H1368" s="21">
        <v>-0.53541340000000004</v>
      </c>
    </row>
    <row r="1369" spans="1:8" x14ac:dyDescent="0.15">
      <c r="A1369" s="21">
        <v>2.6699219999999999E-2</v>
      </c>
      <c r="B1369" s="21">
        <f t="shared" si="42"/>
        <v>-0.6184714</v>
      </c>
      <c r="D1369">
        <f t="shared" si="43"/>
        <v>-246.65918238993706</v>
      </c>
      <c r="G1369" s="21">
        <v>0.78437619999999997</v>
      </c>
      <c r="H1369" s="21">
        <v>-0.6184714</v>
      </c>
    </row>
    <row r="1370" spans="1:8" x14ac:dyDescent="0.15">
      <c r="A1370" s="21">
        <v>2.6718749999999999E-2</v>
      </c>
      <c r="B1370" s="21">
        <f t="shared" si="42"/>
        <v>-0.68000550000000004</v>
      </c>
      <c r="D1370">
        <f t="shared" si="43"/>
        <v>-271.31773584905659</v>
      </c>
      <c r="G1370" s="21">
        <v>0.86279039999999996</v>
      </c>
      <c r="H1370" s="21">
        <v>-0.68000550000000004</v>
      </c>
    </row>
    <row r="1371" spans="1:8" x14ac:dyDescent="0.15">
      <c r="A1371" s="21">
        <v>2.673828E-2</v>
      </c>
      <c r="B1371" s="21">
        <f t="shared" si="42"/>
        <v>-0.71889749999999997</v>
      </c>
      <c r="D1371">
        <f t="shared" si="43"/>
        <v>-287.1968867924528</v>
      </c>
      <c r="G1371" s="21">
        <v>0.91328609999999999</v>
      </c>
      <c r="H1371" s="21">
        <v>-0.71889749999999997</v>
      </c>
    </row>
    <row r="1372" spans="1:8" x14ac:dyDescent="0.15">
      <c r="A1372" s="21">
        <v>2.675781E-2</v>
      </c>
      <c r="B1372" s="21">
        <f t="shared" si="42"/>
        <v>-0.73450490000000002</v>
      </c>
      <c r="D1372">
        <f t="shared" si="43"/>
        <v>-293.70710691823894</v>
      </c>
      <c r="G1372" s="21">
        <v>0.93398859999999995</v>
      </c>
      <c r="H1372" s="21">
        <v>-0.73450490000000002</v>
      </c>
    </row>
    <row r="1373" spans="1:8" x14ac:dyDescent="0.15">
      <c r="A1373" s="21">
        <v>2.677734E-2</v>
      </c>
      <c r="B1373" s="21">
        <f t="shared" si="42"/>
        <v>-0.72466620000000004</v>
      </c>
      <c r="D1373">
        <f t="shared" si="43"/>
        <v>-289.78144654088049</v>
      </c>
      <c r="G1373" s="21">
        <v>0.92150500000000002</v>
      </c>
      <c r="H1373" s="21">
        <v>-0.72466620000000004</v>
      </c>
    </row>
    <row r="1374" spans="1:8" x14ac:dyDescent="0.15">
      <c r="A1374" s="21">
        <v>2.6796879999999999E-2</v>
      </c>
      <c r="B1374" s="21">
        <f t="shared" si="42"/>
        <v>-0.69071210000000005</v>
      </c>
      <c r="D1374">
        <f t="shared" si="43"/>
        <v>-276.50955974842765</v>
      </c>
      <c r="G1374" s="21">
        <v>0.87930039999999998</v>
      </c>
      <c r="H1374" s="21">
        <v>-0.69071210000000005</v>
      </c>
    </row>
    <row r="1375" spans="1:8" x14ac:dyDescent="0.15">
      <c r="A1375" s="21">
        <v>2.6816409999999999E-2</v>
      </c>
      <c r="B1375" s="21">
        <f t="shared" si="42"/>
        <v>-0.6337488</v>
      </c>
      <c r="D1375">
        <f t="shared" si="43"/>
        <v>-253.9599371069182</v>
      </c>
      <c r="G1375" s="21">
        <v>0.80759259999999999</v>
      </c>
      <c r="H1375" s="21">
        <v>-0.6337488</v>
      </c>
    </row>
    <row r="1376" spans="1:8" x14ac:dyDescent="0.15">
      <c r="A1376" s="21">
        <v>2.6835939999999999E-2</v>
      </c>
      <c r="B1376" s="21">
        <f t="shared" si="42"/>
        <v>-0.55384219999999995</v>
      </c>
      <c r="D1376">
        <f t="shared" si="43"/>
        <v>-222.01169811320753</v>
      </c>
      <c r="G1376" s="21">
        <v>0.70599719999999999</v>
      </c>
      <c r="H1376" s="21">
        <v>-0.55384219999999995</v>
      </c>
    </row>
    <row r="1377" spans="1:8" x14ac:dyDescent="0.15">
      <c r="A1377" s="21">
        <v>2.6855469999999999E-2</v>
      </c>
      <c r="B1377" s="21">
        <f t="shared" si="42"/>
        <v>-0.45551510000000001</v>
      </c>
      <c r="D1377">
        <f t="shared" si="43"/>
        <v>-182.82081761006287</v>
      </c>
      <c r="G1377" s="21">
        <v>0.58137019999999995</v>
      </c>
      <c r="H1377" s="21">
        <v>-0.45551510000000001</v>
      </c>
    </row>
    <row r="1378" spans="1:8" x14ac:dyDescent="0.15">
      <c r="A1378" s="21">
        <v>2.6875E-2</v>
      </c>
      <c r="B1378" s="21">
        <f t="shared" si="42"/>
        <v>-0.34124310000000002</v>
      </c>
      <c r="D1378">
        <f t="shared" si="43"/>
        <v>-137.1152830188679</v>
      </c>
      <c r="G1378" s="21">
        <v>0.43602659999999999</v>
      </c>
      <c r="H1378" s="21">
        <v>-0.34124310000000002</v>
      </c>
    </row>
    <row r="1379" spans="1:8" x14ac:dyDescent="0.15">
      <c r="A1379" s="21">
        <v>2.689453E-2</v>
      </c>
      <c r="B1379" s="21">
        <f t="shared" si="42"/>
        <v>-0.21356320000000001</v>
      </c>
      <c r="D1379">
        <f t="shared" si="43"/>
        <v>-86.091163522012579</v>
      </c>
      <c r="G1379" s="21">
        <v>0.27376990000000001</v>
      </c>
      <c r="H1379" s="21">
        <v>-0.21356320000000001</v>
      </c>
    </row>
    <row r="1380" spans="1:8" x14ac:dyDescent="0.15">
      <c r="A1380" s="21">
        <v>2.691406E-2</v>
      </c>
      <c r="B1380" s="21">
        <f t="shared" si="42"/>
        <v>-7.9960089999999998E-2</v>
      </c>
      <c r="D1380">
        <f t="shared" si="43"/>
        <v>-32.73503144654088</v>
      </c>
      <c r="G1380" s="21">
        <v>0.10409740000000001</v>
      </c>
      <c r="H1380" s="21">
        <v>-7.9960089999999998E-2</v>
      </c>
    </row>
    <row r="1381" spans="1:8" x14ac:dyDescent="0.15">
      <c r="A1381" s="21">
        <v>2.693359E-2</v>
      </c>
      <c r="B1381" s="21">
        <f t="shared" si="42"/>
        <v>5.5551290000000003E-2</v>
      </c>
      <c r="D1381">
        <f t="shared" si="43"/>
        <v>21.680672955974842</v>
      </c>
      <c r="G1381" s="21">
        <v>-6.8944539999999999E-2</v>
      </c>
      <c r="H1381" s="21">
        <v>5.5551290000000003E-2</v>
      </c>
    </row>
    <row r="1382" spans="1:8" x14ac:dyDescent="0.15">
      <c r="A1382" s="21">
        <v>2.6953129999999999E-2</v>
      </c>
      <c r="B1382" s="21">
        <f t="shared" si="42"/>
        <v>0.18909210000000001</v>
      </c>
      <c r="D1382">
        <f t="shared" si="43"/>
        <v>75.255723270440242</v>
      </c>
      <c r="G1382" s="21">
        <v>-0.2393132</v>
      </c>
      <c r="H1382" s="21">
        <v>0.18909210000000001</v>
      </c>
    </row>
    <row r="1383" spans="1:8" x14ac:dyDescent="0.15">
      <c r="A1383" s="21">
        <v>2.6972659999999999E-2</v>
      </c>
      <c r="B1383" s="21">
        <f t="shared" si="42"/>
        <v>0.31479610000000002</v>
      </c>
      <c r="D1383">
        <f t="shared" si="43"/>
        <v>125.65415094339622</v>
      </c>
      <c r="G1383" s="21">
        <v>-0.3995802</v>
      </c>
      <c r="H1383" s="21">
        <v>0.31479610000000002</v>
      </c>
    </row>
    <row r="1384" spans="1:8" x14ac:dyDescent="0.15">
      <c r="A1384" s="21">
        <v>2.6992189999999999E-2</v>
      </c>
      <c r="B1384" s="21">
        <f t="shared" si="42"/>
        <v>0.43007469999999998</v>
      </c>
      <c r="D1384">
        <f t="shared" si="43"/>
        <v>172.11663522012574</v>
      </c>
      <c r="G1384" s="21">
        <v>-0.54733089999999995</v>
      </c>
      <c r="H1384" s="21">
        <v>0.43007469999999998</v>
      </c>
    </row>
    <row r="1385" spans="1:8" x14ac:dyDescent="0.15">
      <c r="A1385" s="21">
        <v>2.7011719999999999E-2</v>
      </c>
      <c r="B1385" s="21">
        <f t="shared" si="42"/>
        <v>0.53062609999999999</v>
      </c>
      <c r="D1385">
        <f t="shared" si="43"/>
        <v>212.66050314465409</v>
      </c>
      <c r="G1385" s="21">
        <v>-0.67626039999999998</v>
      </c>
      <c r="H1385" s="21">
        <v>0.53062609999999999</v>
      </c>
    </row>
    <row r="1386" spans="1:8" x14ac:dyDescent="0.15">
      <c r="A1386" s="21">
        <v>2.703125E-2</v>
      </c>
      <c r="B1386" s="21">
        <f t="shared" si="42"/>
        <v>0.61273489999999997</v>
      </c>
      <c r="D1386">
        <f t="shared" si="43"/>
        <v>245.8027672955975</v>
      </c>
      <c r="G1386" s="21">
        <v>-0.78165280000000004</v>
      </c>
      <c r="H1386" s="21">
        <v>0.61273489999999997</v>
      </c>
    </row>
    <row r="1387" spans="1:8" x14ac:dyDescent="0.15">
      <c r="A1387" s="21">
        <v>2.705078E-2</v>
      </c>
      <c r="B1387" s="21">
        <f t="shared" si="42"/>
        <v>0.67503639999999998</v>
      </c>
      <c r="D1387">
        <f t="shared" si="43"/>
        <v>271.0916352201258</v>
      </c>
      <c r="G1387" s="21">
        <v>-0.86207140000000004</v>
      </c>
      <c r="H1387" s="21">
        <v>0.67503639999999998</v>
      </c>
    </row>
    <row r="1388" spans="1:8" x14ac:dyDescent="0.15">
      <c r="A1388" s="21">
        <v>2.707031E-2</v>
      </c>
      <c r="B1388" s="21">
        <f t="shared" si="42"/>
        <v>0.71503139999999998</v>
      </c>
      <c r="D1388">
        <f t="shared" si="43"/>
        <v>287.3073899371069</v>
      </c>
      <c r="G1388" s="21">
        <v>-0.91363749999999999</v>
      </c>
      <c r="H1388" s="21">
        <v>0.71503139999999998</v>
      </c>
    </row>
    <row r="1389" spans="1:8" x14ac:dyDescent="0.15">
      <c r="A1389" s="21">
        <v>2.708984E-2</v>
      </c>
      <c r="B1389" s="21">
        <f t="shared" si="42"/>
        <v>0.7326667</v>
      </c>
      <c r="D1389">
        <f t="shared" si="43"/>
        <v>294.56135220125782</v>
      </c>
      <c r="G1389" s="21">
        <v>-0.93670509999999996</v>
      </c>
      <c r="H1389" s="21">
        <v>0.7326667</v>
      </c>
    </row>
    <row r="1390" spans="1:8" x14ac:dyDescent="0.15">
      <c r="A1390" s="21">
        <v>2.7109379999999999E-2</v>
      </c>
      <c r="B1390" s="21">
        <f t="shared" si="42"/>
        <v>0.7258291</v>
      </c>
      <c r="D1390">
        <f t="shared" si="43"/>
        <v>291.87377358490562</v>
      </c>
      <c r="G1390" s="21">
        <v>-0.92815859999999994</v>
      </c>
      <c r="H1390" s="21">
        <v>0.7258291</v>
      </c>
    </row>
    <row r="1391" spans="1:8" x14ac:dyDescent="0.15">
      <c r="A1391" s="21">
        <v>2.7128909999999999E-2</v>
      </c>
      <c r="B1391" s="21">
        <f t="shared" si="42"/>
        <v>0.6922625</v>
      </c>
      <c r="D1391">
        <f t="shared" si="43"/>
        <v>278.29691823899367</v>
      </c>
      <c r="G1391" s="21">
        <v>-0.8849842</v>
      </c>
      <c r="H1391" s="21">
        <v>0.6922625</v>
      </c>
    </row>
    <row r="1392" spans="1:8" x14ac:dyDescent="0.15">
      <c r="A1392" s="21">
        <v>2.7148439999999999E-2</v>
      </c>
      <c r="B1392" s="21">
        <f t="shared" si="42"/>
        <v>0.63596339999999996</v>
      </c>
      <c r="D1392">
        <f t="shared" si="43"/>
        <v>255.85182389937106</v>
      </c>
      <c r="G1392" s="21">
        <v>-0.81360880000000002</v>
      </c>
      <c r="H1392" s="21">
        <v>0.63596339999999996</v>
      </c>
    </row>
    <row r="1393" spans="1:8" x14ac:dyDescent="0.15">
      <c r="A1393" s="21">
        <v>2.716797E-2</v>
      </c>
      <c r="B1393" s="21">
        <f t="shared" si="42"/>
        <v>0.55837510000000001</v>
      </c>
      <c r="D1393">
        <f t="shared" si="43"/>
        <v>224.69647798742139</v>
      </c>
      <c r="G1393" s="21">
        <v>-0.71453480000000003</v>
      </c>
      <c r="H1393" s="21">
        <v>0.55837510000000001</v>
      </c>
    </row>
    <row r="1394" spans="1:8" x14ac:dyDescent="0.15">
      <c r="A1394" s="21">
        <v>2.71875E-2</v>
      </c>
      <c r="B1394" s="21">
        <f t="shared" si="42"/>
        <v>0.4614414</v>
      </c>
      <c r="D1394">
        <f t="shared" si="43"/>
        <v>185.64789308176097</v>
      </c>
      <c r="G1394" s="21">
        <v>-0.59036029999999995</v>
      </c>
      <c r="H1394" s="21">
        <v>0.4614414</v>
      </c>
    </row>
    <row r="1395" spans="1:8" x14ac:dyDescent="0.15">
      <c r="A1395" s="21">
        <v>2.720703E-2</v>
      </c>
      <c r="B1395" s="21">
        <f t="shared" si="42"/>
        <v>0.35002250000000001</v>
      </c>
      <c r="D1395">
        <f t="shared" si="43"/>
        <v>140.96764150943395</v>
      </c>
      <c r="G1395" s="21">
        <v>-0.44827709999999998</v>
      </c>
      <c r="H1395" s="21">
        <v>0.35002250000000001</v>
      </c>
    </row>
    <row r="1396" spans="1:8" x14ac:dyDescent="0.15">
      <c r="A1396" s="21">
        <v>2.722656E-2</v>
      </c>
      <c r="B1396" s="21">
        <f t="shared" si="42"/>
        <v>0.22432759999999999</v>
      </c>
      <c r="D1396">
        <f t="shared" si="43"/>
        <v>90.385471698113193</v>
      </c>
      <c r="G1396" s="21">
        <v>-0.28742580000000001</v>
      </c>
      <c r="H1396" s="21">
        <v>0.22432759999999999</v>
      </c>
    </row>
    <row r="1397" spans="1:8" x14ac:dyDescent="0.15">
      <c r="A1397" s="21">
        <v>2.7246090000000001E-2</v>
      </c>
      <c r="B1397" s="21">
        <f t="shared" si="42"/>
        <v>8.9529280000000003E-2</v>
      </c>
      <c r="D1397">
        <f t="shared" si="43"/>
        <v>36.492861635220123</v>
      </c>
      <c r="G1397" s="21">
        <v>-0.11604730000000001</v>
      </c>
      <c r="H1397" s="21">
        <v>8.9529280000000003E-2</v>
      </c>
    </row>
    <row r="1398" spans="1:8" x14ac:dyDescent="0.15">
      <c r="A1398" s="21">
        <v>2.7265629999999999E-2</v>
      </c>
      <c r="B1398" s="21">
        <f t="shared" si="42"/>
        <v>-4.5988969999999997E-2</v>
      </c>
      <c r="D1398">
        <f t="shared" si="43"/>
        <v>-17.482902515723268</v>
      </c>
      <c r="G1398" s="21">
        <v>5.559563E-2</v>
      </c>
      <c r="H1398" s="21">
        <v>-4.5988969999999997E-2</v>
      </c>
    </row>
    <row r="1399" spans="1:8" x14ac:dyDescent="0.15">
      <c r="A1399" s="21">
        <v>2.7285159999999999E-2</v>
      </c>
      <c r="B1399" s="21">
        <f t="shared" si="42"/>
        <v>-0.1797058</v>
      </c>
      <c r="D1399">
        <f t="shared" si="43"/>
        <v>-71.132641509433967</v>
      </c>
      <c r="G1399" s="21">
        <v>0.22620180000000001</v>
      </c>
      <c r="H1399" s="21">
        <v>-0.1797058</v>
      </c>
    </row>
    <row r="1400" spans="1:8" x14ac:dyDescent="0.15">
      <c r="A1400" s="21">
        <v>2.730469E-2</v>
      </c>
      <c r="B1400" s="21">
        <f t="shared" si="42"/>
        <v>-0.30594120000000002</v>
      </c>
      <c r="D1400">
        <f t="shared" si="43"/>
        <v>-121.61198113207547</v>
      </c>
      <c r="G1400" s="21">
        <v>0.38672610000000002</v>
      </c>
      <c r="H1400" s="21">
        <v>-0.30594120000000002</v>
      </c>
    </row>
    <row r="1401" spans="1:8" x14ac:dyDescent="0.15">
      <c r="A1401" s="21">
        <v>2.732422E-2</v>
      </c>
      <c r="B1401" s="21">
        <f t="shared" si="42"/>
        <v>-0.42033490000000001</v>
      </c>
      <c r="D1401">
        <f t="shared" si="43"/>
        <v>-167.34767295597484</v>
      </c>
      <c r="G1401" s="21">
        <v>0.53216560000000002</v>
      </c>
      <c r="H1401" s="21">
        <v>-0.42033490000000001</v>
      </c>
    </row>
    <row r="1402" spans="1:8" x14ac:dyDescent="0.15">
      <c r="A1402" s="21">
        <v>2.734375E-2</v>
      </c>
      <c r="B1402" s="21">
        <f t="shared" si="42"/>
        <v>-0.52315149999999999</v>
      </c>
      <c r="D1402">
        <f t="shared" si="43"/>
        <v>-208.64955974842769</v>
      </c>
      <c r="G1402" s="21">
        <v>0.66350560000000003</v>
      </c>
      <c r="H1402" s="21">
        <v>-0.52315149999999999</v>
      </c>
    </row>
    <row r="1403" spans="1:8" x14ac:dyDescent="0.15">
      <c r="A1403" s="21">
        <v>2.736328E-2</v>
      </c>
      <c r="B1403" s="21">
        <f t="shared" si="42"/>
        <v>-0.60881099999999999</v>
      </c>
      <c r="D1403">
        <f t="shared" si="43"/>
        <v>-242.83405660377355</v>
      </c>
      <c r="G1403" s="21">
        <v>0.77221229999999996</v>
      </c>
      <c r="H1403" s="21">
        <v>-0.60881099999999999</v>
      </c>
    </row>
    <row r="1404" spans="1:8" x14ac:dyDescent="0.15">
      <c r="A1404" s="21">
        <v>2.738281E-2</v>
      </c>
      <c r="B1404" s="21">
        <f t="shared" si="42"/>
        <v>-0.67299100000000001</v>
      </c>
      <c r="D1404">
        <f t="shared" si="43"/>
        <v>-268.59100628930815</v>
      </c>
      <c r="G1404" s="21">
        <v>0.85411939999999997</v>
      </c>
      <c r="H1404" s="21">
        <v>-0.67299100000000001</v>
      </c>
    </row>
    <row r="1405" spans="1:8" x14ac:dyDescent="0.15">
      <c r="A1405" s="21">
        <v>2.7402340000000001E-2</v>
      </c>
      <c r="B1405" s="21">
        <f t="shared" si="42"/>
        <v>-0.71562769999999998</v>
      </c>
      <c r="D1405">
        <f t="shared" si="43"/>
        <v>-285.97512578616352</v>
      </c>
      <c r="G1405" s="21">
        <v>0.90940089999999996</v>
      </c>
      <c r="H1405" s="21">
        <v>-0.71562769999999998</v>
      </c>
    </row>
    <row r="1406" spans="1:8" x14ac:dyDescent="0.15">
      <c r="A1406" s="21">
        <v>2.7421879999999999E-2</v>
      </c>
      <c r="B1406" s="21">
        <f t="shared" si="42"/>
        <v>-0.73394099999999995</v>
      </c>
      <c r="D1406">
        <f t="shared" si="43"/>
        <v>-293.42534591194971</v>
      </c>
      <c r="G1406" s="21">
        <v>0.93309260000000005</v>
      </c>
      <c r="H1406" s="21">
        <v>-0.73394099999999995</v>
      </c>
    </row>
    <row r="1407" spans="1:8" x14ac:dyDescent="0.15">
      <c r="A1407" s="21">
        <v>2.7441409999999999E-2</v>
      </c>
      <c r="B1407" s="21">
        <f t="shared" si="42"/>
        <v>-0.72732699999999995</v>
      </c>
      <c r="D1407">
        <f t="shared" si="43"/>
        <v>-290.90984276729557</v>
      </c>
      <c r="G1407" s="21">
        <v>0.92509330000000001</v>
      </c>
      <c r="H1407" s="21">
        <v>-0.72732699999999995</v>
      </c>
    </row>
    <row r="1408" spans="1:8" x14ac:dyDescent="0.15">
      <c r="A1408" s="21">
        <v>2.746094E-2</v>
      </c>
      <c r="B1408" s="21">
        <f t="shared" si="42"/>
        <v>-0.69682370000000005</v>
      </c>
      <c r="D1408">
        <f t="shared" si="43"/>
        <v>-278.95852201257861</v>
      </c>
      <c r="G1408" s="21">
        <v>0.88708810000000005</v>
      </c>
      <c r="H1408" s="21">
        <v>-0.69682370000000005</v>
      </c>
    </row>
    <row r="1409" spans="1:8" x14ac:dyDescent="0.15">
      <c r="A1409" s="21">
        <v>2.748047E-2</v>
      </c>
      <c r="B1409" s="21">
        <f t="shared" si="42"/>
        <v>-0.64213390000000004</v>
      </c>
      <c r="D1409">
        <f t="shared" si="43"/>
        <v>-257.27801886792457</v>
      </c>
      <c r="G1409" s="21">
        <v>0.81814410000000004</v>
      </c>
      <c r="H1409" s="21">
        <v>-0.64213390000000004</v>
      </c>
    </row>
    <row r="1410" spans="1:8" x14ac:dyDescent="0.15">
      <c r="A1410" s="21">
        <v>2.75E-2</v>
      </c>
      <c r="B1410" s="21">
        <f t="shared" ref="B1410:B1473" si="44">H1410</f>
        <v>-0.56555069999999996</v>
      </c>
      <c r="D1410">
        <f t="shared" ref="D1410:D1473" si="45">G1410*-1000/3.18</f>
        <v>-226.80814465408804</v>
      </c>
      <c r="G1410" s="21">
        <v>0.7212499</v>
      </c>
      <c r="H1410" s="21">
        <v>-0.56555069999999996</v>
      </c>
    </row>
    <row r="1411" spans="1:8" x14ac:dyDescent="0.15">
      <c r="A1411" s="21">
        <v>2.751953E-2</v>
      </c>
      <c r="B1411" s="21">
        <f t="shared" si="44"/>
        <v>-0.46984670000000001</v>
      </c>
      <c r="D1411">
        <f t="shared" si="45"/>
        <v>-188.58622641509433</v>
      </c>
      <c r="G1411" s="21">
        <v>0.59970420000000002</v>
      </c>
      <c r="H1411" s="21">
        <v>-0.46984670000000001</v>
      </c>
    </row>
    <row r="1412" spans="1:8" x14ac:dyDescent="0.15">
      <c r="A1412" s="21">
        <v>2.7539060000000001E-2</v>
      </c>
      <c r="B1412" s="21">
        <f t="shared" si="44"/>
        <v>-0.35698730000000001</v>
      </c>
      <c r="D1412">
        <f t="shared" si="45"/>
        <v>-143.41610062893082</v>
      </c>
      <c r="G1412" s="21">
        <v>0.4560632</v>
      </c>
      <c r="H1412" s="21">
        <v>-0.35698730000000001</v>
      </c>
    </row>
    <row r="1413" spans="1:8" x14ac:dyDescent="0.15">
      <c r="A1413" s="21">
        <v>2.7558590000000001E-2</v>
      </c>
      <c r="B1413" s="21">
        <f t="shared" si="44"/>
        <v>-0.2310847</v>
      </c>
      <c r="D1413">
        <f t="shared" si="45"/>
        <v>-93.193144654088044</v>
      </c>
      <c r="G1413" s="21">
        <v>0.29635420000000001</v>
      </c>
      <c r="H1413" s="21">
        <v>-0.2310847</v>
      </c>
    </row>
    <row r="1414" spans="1:8" x14ac:dyDescent="0.15">
      <c r="A1414" s="21">
        <v>2.7578129999999999E-2</v>
      </c>
      <c r="B1414" s="21">
        <f t="shared" si="44"/>
        <v>-9.7611890000000007E-2</v>
      </c>
      <c r="D1414">
        <f t="shared" si="45"/>
        <v>-39.853270440251563</v>
      </c>
      <c r="G1414" s="21">
        <v>0.1267334</v>
      </c>
      <c r="H1414" s="21">
        <v>-9.7611890000000007E-2</v>
      </c>
    </row>
    <row r="1415" spans="1:8" x14ac:dyDescent="0.15">
      <c r="A1415" s="21">
        <v>2.759766E-2</v>
      </c>
      <c r="B1415" s="21">
        <f t="shared" si="44"/>
        <v>3.8232820000000001E-2</v>
      </c>
      <c r="D1415">
        <f t="shared" si="45"/>
        <v>14.676314465408803</v>
      </c>
      <c r="G1415" s="21">
        <v>-4.6670679999999999E-2</v>
      </c>
      <c r="H1415" s="21">
        <v>3.8232820000000001E-2</v>
      </c>
    </row>
    <row r="1416" spans="1:8" x14ac:dyDescent="0.15">
      <c r="A1416" s="21">
        <v>2.761719E-2</v>
      </c>
      <c r="B1416" s="21">
        <f t="shared" si="44"/>
        <v>0.1719077</v>
      </c>
      <c r="D1416">
        <f t="shared" si="45"/>
        <v>68.279905660377352</v>
      </c>
      <c r="G1416" s="21">
        <v>-0.21713009999999999</v>
      </c>
      <c r="H1416" s="21">
        <v>0.1719077</v>
      </c>
    </row>
    <row r="1417" spans="1:8" x14ac:dyDescent="0.15">
      <c r="A1417" s="21">
        <v>2.763672E-2</v>
      </c>
      <c r="B1417" s="21">
        <f t="shared" si="44"/>
        <v>0.29907620000000001</v>
      </c>
      <c r="D1417">
        <f t="shared" si="45"/>
        <v>119.29647798742137</v>
      </c>
      <c r="G1417" s="21">
        <v>-0.3793628</v>
      </c>
      <c r="H1417" s="21">
        <v>0.29907620000000001</v>
      </c>
    </row>
    <row r="1418" spans="1:8" x14ac:dyDescent="0.15">
      <c r="A1418" s="21">
        <v>2.765625E-2</v>
      </c>
      <c r="B1418" s="21">
        <f t="shared" si="44"/>
        <v>0.41546519999999998</v>
      </c>
      <c r="D1418">
        <f t="shared" si="45"/>
        <v>166.08433962264149</v>
      </c>
      <c r="G1418" s="21">
        <v>-0.52814819999999996</v>
      </c>
      <c r="H1418" s="21">
        <v>0.41546519999999998</v>
      </c>
    </row>
    <row r="1419" spans="1:8" x14ac:dyDescent="0.15">
      <c r="A1419" s="21">
        <v>2.7675780000000001E-2</v>
      </c>
      <c r="B1419" s="21">
        <f t="shared" si="44"/>
        <v>0.51808949999999998</v>
      </c>
      <c r="D1419">
        <f t="shared" si="45"/>
        <v>207.49242138364778</v>
      </c>
      <c r="G1419" s="21">
        <v>-0.65982589999999997</v>
      </c>
      <c r="H1419" s="21">
        <v>0.51808949999999998</v>
      </c>
    </row>
    <row r="1420" spans="1:8" x14ac:dyDescent="0.15">
      <c r="A1420" s="21">
        <v>2.7695310000000001E-2</v>
      </c>
      <c r="B1420" s="21">
        <f t="shared" si="44"/>
        <v>0.60375420000000002</v>
      </c>
      <c r="D1420">
        <f t="shared" si="45"/>
        <v>242.19383647798739</v>
      </c>
      <c r="G1420" s="21">
        <v>-0.77017639999999998</v>
      </c>
      <c r="H1420" s="21">
        <v>0.60375420000000002</v>
      </c>
    </row>
    <row r="1421" spans="1:8" x14ac:dyDescent="0.15">
      <c r="A1421" s="21">
        <v>2.7714840000000001E-2</v>
      </c>
      <c r="B1421" s="21">
        <f t="shared" si="44"/>
        <v>0.66847639999999997</v>
      </c>
      <c r="D1421">
        <f t="shared" si="45"/>
        <v>268.32308176100628</v>
      </c>
      <c r="G1421" s="21">
        <v>-0.85326740000000001</v>
      </c>
      <c r="H1421" s="21">
        <v>0.66847639999999997</v>
      </c>
    </row>
    <row r="1422" spans="1:8" x14ac:dyDescent="0.15">
      <c r="A1422" s="21">
        <v>2.7734379999999999E-2</v>
      </c>
      <c r="B1422" s="21">
        <f t="shared" si="44"/>
        <v>0.71141120000000002</v>
      </c>
      <c r="D1422">
        <f t="shared" si="45"/>
        <v>285.77006289308179</v>
      </c>
      <c r="G1422" s="21">
        <v>-0.90874880000000002</v>
      </c>
      <c r="H1422" s="21">
        <v>0.71141120000000002</v>
      </c>
    </row>
    <row r="1423" spans="1:8" x14ac:dyDescent="0.15">
      <c r="A1423" s="21">
        <v>2.775391E-2</v>
      </c>
      <c r="B1423" s="21">
        <f t="shared" si="44"/>
        <v>0.73240700000000003</v>
      </c>
      <c r="D1423">
        <f t="shared" si="45"/>
        <v>294.47553459119496</v>
      </c>
      <c r="G1423" s="21">
        <v>-0.93643220000000005</v>
      </c>
      <c r="H1423" s="21">
        <v>0.73240700000000003</v>
      </c>
    </row>
    <row r="1424" spans="1:8" x14ac:dyDescent="0.15">
      <c r="A1424" s="21">
        <v>2.777344E-2</v>
      </c>
      <c r="B1424" s="21">
        <f t="shared" si="44"/>
        <v>0.72819690000000004</v>
      </c>
      <c r="D1424">
        <f t="shared" si="45"/>
        <v>292.76971698113204</v>
      </c>
      <c r="G1424" s="21">
        <v>-0.93100769999999999</v>
      </c>
      <c r="H1424" s="21">
        <v>0.72819690000000004</v>
      </c>
    </row>
    <row r="1425" spans="1:8" x14ac:dyDescent="0.15">
      <c r="A1425" s="21">
        <v>2.779297E-2</v>
      </c>
      <c r="B1425" s="21">
        <f t="shared" si="44"/>
        <v>0.69819909999999996</v>
      </c>
      <c r="D1425">
        <f t="shared" si="45"/>
        <v>280.69528301886788</v>
      </c>
      <c r="G1425" s="21">
        <v>-0.89261100000000004</v>
      </c>
      <c r="H1425" s="21">
        <v>0.69819909999999996</v>
      </c>
    </row>
    <row r="1426" spans="1:8" x14ac:dyDescent="0.15">
      <c r="A1426" s="21">
        <v>2.78125E-2</v>
      </c>
      <c r="B1426" s="21">
        <f t="shared" si="44"/>
        <v>0.64506989999999997</v>
      </c>
      <c r="D1426">
        <f t="shared" si="45"/>
        <v>259.45276729559748</v>
      </c>
      <c r="G1426" s="21">
        <v>-0.82505980000000001</v>
      </c>
      <c r="H1426" s="21">
        <v>0.64506989999999997</v>
      </c>
    </row>
    <row r="1427" spans="1:8" x14ac:dyDescent="0.15">
      <c r="A1427" s="21">
        <v>2.7832030000000001E-2</v>
      </c>
      <c r="B1427" s="21">
        <f t="shared" si="44"/>
        <v>0.57004540000000004</v>
      </c>
      <c r="D1427">
        <f t="shared" si="45"/>
        <v>229.32141509433961</v>
      </c>
      <c r="G1427" s="21">
        <v>-0.7292421</v>
      </c>
      <c r="H1427" s="21">
        <v>0.57004540000000004</v>
      </c>
    </row>
    <row r="1428" spans="1:8" x14ac:dyDescent="0.15">
      <c r="A1428" s="21">
        <v>2.7851560000000001E-2</v>
      </c>
      <c r="B1428" s="21">
        <f t="shared" si="44"/>
        <v>0.4758754</v>
      </c>
      <c r="D1428">
        <f t="shared" si="45"/>
        <v>191.45314465408802</v>
      </c>
      <c r="G1428" s="21">
        <v>-0.60882099999999995</v>
      </c>
      <c r="H1428" s="21">
        <v>0.4758754</v>
      </c>
    </row>
    <row r="1429" spans="1:8" x14ac:dyDescent="0.15">
      <c r="A1429" s="21">
        <v>2.7871090000000001E-2</v>
      </c>
      <c r="B1429" s="21">
        <f t="shared" si="44"/>
        <v>0.36597970000000002</v>
      </c>
      <c r="D1429">
        <f t="shared" si="45"/>
        <v>147.25380503144652</v>
      </c>
      <c r="G1429" s="21">
        <v>-0.46826709999999999</v>
      </c>
      <c r="H1429" s="21">
        <v>0.36597970000000002</v>
      </c>
    </row>
    <row r="1430" spans="1:8" x14ac:dyDescent="0.15">
      <c r="A1430" s="21">
        <v>2.789063E-2</v>
      </c>
      <c r="B1430" s="21">
        <f t="shared" si="44"/>
        <v>0.24199809999999999</v>
      </c>
      <c r="D1430">
        <f t="shared" si="45"/>
        <v>97.502861635220114</v>
      </c>
      <c r="G1430" s="21">
        <v>-0.31005909999999998</v>
      </c>
      <c r="H1430" s="21">
        <v>0.24199809999999999</v>
      </c>
    </row>
    <row r="1431" spans="1:8" x14ac:dyDescent="0.15">
      <c r="A1431" s="21">
        <v>2.791016E-2</v>
      </c>
      <c r="B1431" s="21">
        <f t="shared" si="44"/>
        <v>0.1083139</v>
      </c>
      <c r="D1431">
        <f t="shared" si="45"/>
        <v>44.022044025157236</v>
      </c>
      <c r="G1431" s="21">
        <v>-0.13999010000000001</v>
      </c>
      <c r="H1431" s="21">
        <v>0.1083139</v>
      </c>
    </row>
    <row r="1432" spans="1:8" x14ac:dyDescent="0.15">
      <c r="A1432" s="21">
        <v>2.792969E-2</v>
      </c>
      <c r="B1432" s="21">
        <f t="shared" si="44"/>
        <v>-2.8433750000000001E-2</v>
      </c>
      <c r="D1432">
        <f t="shared" si="45"/>
        <v>-10.625660377358489</v>
      </c>
      <c r="G1432" s="21">
        <v>3.3789600000000003E-2</v>
      </c>
      <c r="H1432" s="21">
        <v>-2.8433750000000001E-2</v>
      </c>
    </row>
    <row r="1433" spans="1:8" x14ac:dyDescent="0.15">
      <c r="A1433" s="21">
        <v>2.794922E-2</v>
      </c>
      <c r="B1433" s="21">
        <f t="shared" si="44"/>
        <v>-0.1621872</v>
      </c>
      <c r="D1433">
        <f t="shared" si="45"/>
        <v>-64.01811320754716</v>
      </c>
      <c r="G1433" s="21">
        <v>0.2035776</v>
      </c>
      <c r="H1433" s="21">
        <v>-0.1621872</v>
      </c>
    </row>
    <row r="1434" spans="1:8" x14ac:dyDescent="0.15">
      <c r="A1434" s="21">
        <v>2.7968750000000001E-2</v>
      </c>
      <c r="B1434" s="21">
        <f t="shared" si="44"/>
        <v>-0.28853289999999998</v>
      </c>
      <c r="D1434">
        <f t="shared" si="45"/>
        <v>-114.63113207547168</v>
      </c>
      <c r="G1434" s="21">
        <v>0.36452699999999999</v>
      </c>
      <c r="H1434" s="21">
        <v>-0.28853289999999998</v>
      </c>
    </row>
    <row r="1435" spans="1:8" x14ac:dyDescent="0.15">
      <c r="A1435" s="21">
        <v>2.7988280000000001E-2</v>
      </c>
      <c r="B1435" s="21">
        <f t="shared" si="44"/>
        <v>-0.4056633</v>
      </c>
      <c r="D1435">
        <f t="shared" si="45"/>
        <v>-161.64292452830188</v>
      </c>
      <c r="G1435" s="21">
        <v>0.5140245</v>
      </c>
      <c r="H1435" s="21">
        <v>-0.4056633</v>
      </c>
    </row>
    <row r="1436" spans="1:8" x14ac:dyDescent="0.15">
      <c r="A1436" s="21">
        <v>2.8007810000000001E-2</v>
      </c>
      <c r="B1436" s="21">
        <f t="shared" si="44"/>
        <v>-0.51060930000000004</v>
      </c>
      <c r="D1436">
        <f t="shared" si="45"/>
        <v>-203.53940251572328</v>
      </c>
      <c r="G1436" s="21">
        <v>0.64725529999999998</v>
      </c>
      <c r="H1436" s="21">
        <v>-0.51060930000000004</v>
      </c>
    </row>
    <row r="1437" spans="1:8" x14ac:dyDescent="0.15">
      <c r="A1437" s="21">
        <v>2.8027340000000001E-2</v>
      </c>
      <c r="B1437" s="21">
        <f t="shared" si="44"/>
        <v>-0.59859410000000002</v>
      </c>
      <c r="D1437">
        <f t="shared" si="45"/>
        <v>-238.75116352201258</v>
      </c>
      <c r="G1437" s="21">
        <v>0.75922869999999998</v>
      </c>
      <c r="H1437" s="21">
        <v>-0.59859410000000002</v>
      </c>
    </row>
    <row r="1438" spans="1:8" x14ac:dyDescent="0.15">
      <c r="A1438" s="21">
        <v>2.8046870000000002E-2</v>
      </c>
      <c r="B1438" s="21">
        <f t="shared" si="44"/>
        <v>-0.66614209999999996</v>
      </c>
      <c r="D1438">
        <f t="shared" si="45"/>
        <v>-265.91040880503141</v>
      </c>
      <c r="G1438" s="21">
        <v>0.84559510000000004</v>
      </c>
      <c r="H1438" s="21">
        <v>-0.66614209999999996</v>
      </c>
    </row>
    <row r="1439" spans="1:8" x14ac:dyDescent="0.15">
      <c r="A1439" s="21">
        <v>2.806641E-2</v>
      </c>
      <c r="B1439" s="21">
        <f t="shared" si="44"/>
        <v>-0.71101300000000001</v>
      </c>
      <c r="D1439">
        <f t="shared" si="45"/>
        <v>-284.0527358490566</v>
      </c>
      <c r="G1439" s="21">
        <v>0.90328770000000003</v>
      </c>
      <c r="H1439" s="21">
        <v>-0.71101300000000001</v>
      </c>
    </row>
    <row r="1440" spans="1:8" x14ac:dyDescent="0.15">
      <c r="A1440" s="21">
        <v>2.808594E-2</v>
      </c>
      <c r="B1440" s="21">
        <f t="shared" si="44"/>
        <v>-0.73242739999999995</v>
      </c>
      <c r="D1440">
        <f t="shared" si="45"/>
        <v>-292.91732704402511</v>
      </c>
      <c r="G1440" s="21">
        <v>0.93147709999999995</v>
      </c>
      <c r="H1440" s="21">
        <v>-0.73242739999999995</v>
      </c>
    </row>
    <row r="1441" spans="1:8" x14ac:dyDescent="0.15">
      <c r="A1441" s="21">
        <v>2.810547E-2</v>
      </c>
      <c r="B1441" s="21">
        <f t="shared" si="44"/>
        <v>-0.72971249999999999</v>
      </c>
      <c r="D1441">
        <f t="shared" si="45"/>
        <v>-291.83908805031444</v>
      </c>
      <c r="G1441" s="21">
        <v>0.92804830000000005</v>
      </c>
      <c r="H1441" s="21">
        <v>-0.72971249999999999</v>
      </c>
    </row>
    <row r="1442" spans="1:8" x14ac:dyDescent="0.15">
      <c r="A1442" s="21">
        <v>2.8125000000000001E-2</v>
      </c>
      <c r="B1442" s="21">
        <f t="shared" si="44"/>
        <v>-0.70221020000000001</v>
      </c>
      <c r="D1442">
        <f t="shared" si="45"/>
        <v>-280.99761006289305</v>
      </c>
      <c r="G1442" s="21">
        <v>0.89357240000000004</v>
      </c>
      <c r="H1442" s="21">
        <v>-0.70221020000000001</v>
      </c>
    </row>
    <row r="1443" spans="1:8" x14ac:dyDescent="0.15">
      <c r="A1443" s="21">
        <v>2.8144530000000001E-2</v>
      </c>
      <c r="B1443" s="21">
        <f t="shared" si="44"/>
        <v>-0.65113679999999996</v>
      </c>
      <c r="D1443">
        <f t="shared" si="45"/>
        <v>-261.00770440251569</v>
      </c>
      <c r="G1443" s="21">
        <v>0.83000450000000003</v>
      </c>
      <c r="H1443" s="21">
        <v>-0.65113679999999996</v>
      </c>
    </row>
    <row r="1444" spans="1:8" x14ac:dyDescent="0.15">
      <c r="A1444" s="21">
        <v>2.8164060000000001E-2</v>
      </c>
      <c r="B1444" s="21">
        <f t="shared" si="44"/>
        <v>-0.57728369999999996</v>
      </c>
      <c r="D1444">
        <f t="shared" si="45"/>
        <v>-231.50685534591193</v>
      </c>
      <c r="G1444" s="21">
        <v>0.73619179999999995</v>
      </c>
      <c r="H1444" s="21">
        <v>-0.57728369999999996</v>
      </c>
    </row>
    <row r="1445" spans="1:8" x14ac:dyDescent="0.15">
      <c r="A1445" s="21">
        <v>2.8183590000000001E-2</v>
      </c>
      <c r="B1445" s="21">
        <f t="shared" si="44"/>
        <v>-0.48309809999999997</v>
      </c>
      <c r="D1445">
        <f t="shared" si="45"/>
        <v>-193.85405660377356</v>
      </c>
      <c r="G1445" s="21">
        <v>0.61645589999999995</v>
      </c>
      <c r="H1445" s="21">
        <v>-0.48309809999999997</v>
      </c>
    </row>
    <row r="1446" spans="1:8" x14ac:dyDescent="0.15">
      <c r="A1446" s="21">
        <v>2.8203120000000002E-2</v>
      </c>
      <c r="B1446" s="21">
        <f t="shared" si="44"/>
        <v>-0.3726216</v>
      </c>
      <c r="D1446">
        <f t="shared" si="45"/>
        <v>-149.78805031446541</v>
      </c>
      <c r="G1446" s="21">
        <v>0.47632600000000003</v>
      </c>
      <c r="H1446" s="21">
        <v>-0.3726216</v>
      </c>
    </row>
    <row r="1447" spans="1:8" x14ac:dyDescent="0.15">
      <c r="A1447" s="21">
        <v>2.822266E-2</v>
      </c>
      <c r="B1447" s="21">
        <f t="shared" si="44"/>
        <v>-0.24812509999999999</v>
      </c>
      <c r="D1447">
        <f t="shared" si="45"/>
        <v>-99.985974842767291</v>
      </c>
      <c r="G1447" s="21">
        <v>0.3179554</v>
      </c>
      <c r="H1447" s="21">
        <v>-0.24812509999999999</v>
      </c>
    </row>
    <row r="1448" spans="1:8" x14ac:dyDescent="0.15">
      <c r="A1448" s="21">
        <v>2.824219E-2</v>
      </c>
      <c r="B1448" s="21">
        <f t="shared" si="44"/>
        <v>-0.11534129999999999</v>
      </c>
      <c r="D1448">
        <f t="shared" si="45"/>
        <v>-46.979874213836482</v>
      </c>
      <c r="G1448" s="21">
        <v>0.149396</v>
      </c>
      <c r="H1448" s="21">
        <v>-0.11534129999999999</v>
      </c>
    </row>
    <row r="1449" spans="1:8" x14ac:dyDescent="0.15">
      <c r="A1449" s="21">
        <v>2.8261720000000001E-2</v>
      </c>
      <c r="B1449" s="21">
        <f t="shared" si="44"/>
        <v>1.9750980000000001E-2</v>
      </c>
      <c r="D1449">
        <f t="shared" si="45"/>
        <v>7.1856069182389932</v>
      </c>
      <c r="G1449" s="21">
        <v>-2.2850229999999999E-2</v>
      </c>
      <c r="H1449" s="21">
        <v>1.9750980000000001E-2</v>
      </c>
    </row>
    <row r="1450" spans="1:8" x14ac:dyDescent="0.15">
      <c r="A1450" s="21">
        <v>2.8281250000000001E-2</v>
      </c>
      <c r="B1450" s="21">
        <f t="shared" si="44"/>
        <v>0.15413270000000001</v>
      </c>
      <c r="D1450">
        <f t="shared" si="45"/>
        <v>61.208333333333329</v>
      </c>
      <c r="G1450" s="21">
        <v>-0.1946425</v>
      </c>
      <c r="H1450" s="21">
        <v>0.15413270000000001</v>
      </c>
    </row>
    <row r="1451" spans="1:8" x14ac:dyDescent="0.15">
      <c r="A1451" s="21">
        <v>2.8300780000000001E-2</v>
      </c>
      <c r="B1451" s="21">
        <f t="shared" si="44"/>
        <v>0.28232010000000002</v>
      </c>
      <c r="D1451">
        <f t="shared" si="45"/>
        <v>112.51889937106918</v>
      </c>
      <c r="G1451" s="21">
        <v>-0.35781010000000002</v>
      </c>
      <c r="H1451" s="21">
        <v>0.28232010000000002</v>
      </c>
    </row>
    <row r="1452" spans="1:8" x14ac:dyDescent="0.15">
      <c r="A1452" s="21">
        <v>2.8320310000000001E-2</v>
      </c>
      <c r="B1452" s="21">
        <f t="shared" si="44"/>
        <v>0.40071420000000002</v>
      </c>
      <c r="D1452">
        <f t="shared" si="45"/>
        <v>160.20452830188677</v>
      </c>
      <c r="G1452" s="21">
        <v>-0.50945039999999997</v>
      </c>
      <c r="H1452" s="21">
        <v>0.40071420000000002</v>
      </c>
    </row>
    <row r="1453" spans="1:8" x14ac:dyDescent="0.15">
      <c r="A1453" s="21">
        <v>2.8339840000000002E-2</v>
      </c>
      <c r="B1453" s="21">
        <f t="shared" si="44"/>
        <v>0.50623099999999999</v>
      </c>
      <c r="D1453">
        <f t="shared" si="45"/>
        <v>202.82157232704404</v>
      </c>
      <c r="G1453" s="21">
        <v>-0.64497260000000001</v>
      </c>
      <c r="H1453" s="21">
        <v>0.50623099999999999</v>
      </c>
    </row>
    <row r="1454" spans="1:8" x14ac:dyDescent="0.15">
      <c r="A1454" s="21">
        <v>2.8359369999999998E-2</v>
      </c>
      <c r="B1454" s="21">
        <f t="shared" si="44"/>
        <v>0.59320660000000003</v>
      </c>
      <c r="D1454">
        <f t="shared" si="45"/>
        <v>237.78647798742136</v>
      </c>
      <c r="G1454" s="21">
        <v>-0.75616099999999997</v>
      </c>
      <c r="H1454" s="21">
        <v>0.59320660000000003</v>
      </c>
    </row>
    <row r="1455" spans="1:8" x14ac:dyDescent="0.15">
      <c r="A1455" s="21">
        <v>2.837891E-2</v>
      </c>
      <c r="B1455" s="21">
        <f t="shared" si="44"/>
        <v>0.6602384</v>
      </c>
      <c r="D1455">
        <f t="shared" si="45"/>
        <v>265.07597484276727</v>
      </c>
      <c r="G1455" s="21">
        <v>-0.84294159999999996</v>
      </c>
      <c r="H1455" s="21">
        <v>0.6602384</v>
      </c>
    </row>
    <row r="1456" spans="1:8" x14ac:dyDescent="0.15">
      <c r="A1456" s="21">
        <v>2.839844E-2</v>
      </c>
      <c r="B1456" s="21">
        <f t="shared" si="44"/>
        <v>0.70659459999999996</v>
      </c>
      <c r="D1456">
        <f t="shared" si="45"/>
        <v>283.93880503144652</v>
      </c>
      <c r="G1456" s="21">
        <v>-0.90292539999999999</v>
      </c>
      <c r="H1456" s="21">
        <v>0.70659459999999996</v>
      </c>
    </row>
    <row r="1457" spans="1:8" x14ac:dyDescent="0.15">
      <c r="A1457" s="21">
        <v>2.8417970000000001E-2</v>
      </c>
      <c r="B1457" s="21">
        <f t="shared" si="44"/>
        <v>0.73005710000000001</v>
      </c>
      <c r="D1457">
        <f t="shared" si="45"/>
        <v>293.41261006289307</v>
      </c>
      <c r="G1457" s="21">
        <v>-0.93305210000000005</v>
      </c>
      <c r="H1457" s="21">
        <v>0.73005710000000001</v>
      </c>
    </row>
    <row r="1458" spans="1:8" x14ac:dyDescent="0.15">
      <c r="A1458" s="21">
        <v>2.8437500000000001E-2</v>
      </c>
      <c r="B1458" s="21">
        <f t="shared" si="44"/>
        <v>0.73016479999999995</v>
      </c>
      <c r="D1458">
        <f t="shared" si="45"/>
        <v>293.63899371069181</v>
      </c>
      <c r="G1458" s="21">
        <v>-0.93377200000000005</v>
      </c>
      <c r="H1458" s="21">
        <v>0.73016479999999995</v>
      </c>
    </row>
    <row r="1459" spans="1:8" x14ac:dyDescent="0.15">
      <c r="A1459" s="21">
        <v>2.8457030000000001E-2</v>
      </c>
      <c r="B1459" s="21">
        <f t="shared" si="44"/>
        <v>0.70434759999999996</v>
      </c>
      <c r="D1459">
        <f t="shared" si="45"/>
        <v>283.12534591194969</v>
      </c>
      <c r="G1459" s="21">
        <v>-0.90033859999999999</v>
      </c>
      <c r="H1459" s="21">
        <v>0.70434759999999996</v>
      </c>
    </row>
    <row r="1460" spans="1:8" x14ac:dyDescent="0.15">
      <c r="A1460" s="21">
        <v>2.8476560000000001E-2</v>
      </c>
      <c r="B1460" s="21">
        <f t="shared" si="44"/>
        <v>0.65308239999999995</v>
      </c>
      <c r="D1460">
        <f t="shared" si="45"/>
        <v>262.59707547169813</v>
      </c>
      <c r="G1460" s="21">
        <v>-0.83505870000000004</v>
      </c>
      <c r="H1460" s="21">
        <v>0.65308239999999995</v>
      </c>
    </row>
    <row r="1461" spans="1:8" x14ac:dyDescent="0.15">
      <c r="A1461" s="21">
        <v>2.8496090000000002E-2</v>
      </c>
      <c r="B1461" s="21">
        <f t="shared" si="44"/>
        <v>0.58094670000000004</v>
      </c>
      <c r="D1461">
        <f t="shared" si="45"/>
        <v>233.77503144654085</v>
      </c>
      <c r="G1461" s="21">
        <v>-0.74340459999999997</v>
      </c>
      <c r="H1461" s="21">
        <v>0.58094670000000004</v>
      </c>
    </row>
    <row r="1462" spans="1:8" x14ac:dyDescent="0.15">
      <c r="A1462" s="21">
        <v>2.8515619999999998E-2</v>
      </c>
      <c r="B1462" s="21">
        <f t="shared" si="44"/>
        <v>0.48904520000000001</v>
      </c>
      <c r="D1462">
        <f t="shared" si="45"/>
        <v>196.67537735849058</v>
      </c>
      <c r="G1462" s="21">
        <v>-0.62542770000000003</v>
      </c>
      <c r="H1462" s="21">
        <v>0.48904520000000001</v>
      </c>
    </row>
    <row r="1463" spans="1:8" x14ac:dyDescent="0.15">
      <c r="A1463" s="21">
        <v>2.853516E-2</v>
      </c>
      <c r="B1463" s="21">
        <f t="shared" si="44"/>
        <v>0.38059900000000002</v>
      </c>
      <c r="D1463">
        <f t="shared" si="45"/>
        <v>153.16801886792453</v>
      </c>
      <c r="G1463" s="21">
        <v>-0.48707430000000002</v>
      </c>
      <c r="H1463" s="21">
        <v>0.38059900000000002</v>
      </c>
    </row>
    <row r="1464" spans="1:8" x14ac:dyDescent="0.15">
      <c r="A1464" s="21">
        <v>2.8554690000000001E-2</v>
      </c>
      <c r="B1464" s="21">
        <f t="shared" si="44"/>
        <v>0.25944509999999998</v>
      </c>
      <c r="D1464">
        <f t="shared" si="45"/>
        <v>104.51754716981131</v>
      </c>
      <c r="G1464" s="21">
        <v>-0.33236579999999999</v>
      </c>
      <c r="H1464" s="21">
        <v>0.25944509999999998</v>
      </c>
    </row>
    <row r="1465" spans="1:8" x14ac:dyDescent="0.15">
      <c r="A1465" s="21">
        <v>2.8574220000000001E-2</v>
      </c>
      <c r="B1465" s="21">
        <f t="shared" si="44"/>
        <v>0.12667110000000001</v>
      </c>
      <c r="D1465">
        <f t="shared" si="45"/>
        <v>51.28672955974843</v>
      </c>
      <c r="G1465" s="21">
        <v>-0.16309180000000001</v>
      </c>
      <c r="H1465" s="21">
        <v>0.12667110000000001</v>
      </c>
    </row>
    <row r="1466" spans="1:8" x14ac:dyDescent="0.15">
      <c r="A1466" s="21">
        <v>2.8593750000000001E-2</v>
      </c>
      <c r="B1466" s="21">
        <f t="shared" si="44"/>
        <v>-1.0573290000000001E-2</v>
      </c>
      <c r="D1466">
        <f t="shared" si="45"/>
        <v>-3.4268113207547173</v>
      </c>
      <c r="G1466" s="21">
        <v>1.0897260000000001E-2</v>
      </c>
      <c r="H1466" s="21">
        <v>-1.0573290000000001E-2</v>
      </c>
    </row>
    <row r="1467" spans="1:8" x14ac:dyDescent="0.15">
      <c r="A1467" s="21">
        <v>2.8613280000000001E-2</v>
      </c>
      <c r="B1467" s="21">
        <f t="shared" si="44"/>
        <v>-0.1446722</v>
      </c>
      <c r="D1467">
        <f t="shared" si="45"/>
        <v>-57.016635220125785</v>
      </c>
      <c r="G1467" s="21">
        <v>0.1813129</v>
      </c>
      <c r="H1467" s="21">
        <v>-0.1446722</v>
      </c>
    </row>
    <row r="1468" spans="1:8" x14ac:dyDescent="0.15">
      <c r="A1468" s="21">
        <v>2.8632810000000002E-2</v>
      </c>
      <c r="B1468" s="21">
        <f t="shared" si="44"/>
        <v>-0.27287850000000002</v>
      </c>
      <c r="D1468">
        <f t="shared" si="45"/>
        <v>-108.33927672955976</v>
      </c>
      <c r="G1468" s="21">
        <v>0.34451890000000002</v>
      </c>
      <c r="H1468" s="21">
        <v>-0.27287850000000002</v>
      </c>
    </row>
    <row r="1469" spans="1:8" x14ac:dyDescent="0.15">
      <c r="A1469" s="21">
        <v>2.8652339999999998E-2</v>
      </c>
      <c r="B1469" s="21">
        <f t="shared" si="44"/>
        <v>-0.39130480000000001</v>
      </c>
      <c r="D1469">
        <f t="shared" si="45"/>
        <v>-155.8355031446541</v>
      </c>
      <c r="G1469" s="21">
        <v>0.49555690000000002</v>
      </c>
      <c r="H1469" s="21">
        <v>-0.39130480000000001</v>
      </c>
    </row>
    <row r="1470" spans="1:8" x14ac:dyDescent="0.15">
      <c r="A1470" s="21">
        <v>2.8671869999999999E-2</v>
      </c>
      <c r="B1470" s="21">
        <f t="shared" si="44"/>
        <v>-0.49732670000000001</v>
      </c>
      <c r="D1470">
        <f t="shared" si="45"/>
        <v>-198.25990566037734</v>
      </c>
      <c r="G1470" s="21">
        <v>0.63046650000000004</v>
      </c>
      <c r="H1470" s="21">
        <v>-0.49732670000000001</v>
      </c>
    </row>
    <row r="1471" spans="1:8" x14ac:dyDescent="0.15">
      <c r="A1471" s="21">
        <v>2.8691410000000001E-2</v>
      </c>
      <c r="B1471" s="21">
        <f t="shared" si="44"/>
        <v>-0.58793220000000002</v>
      </c>
      <c r="D1471">
        <f t="shared" si="45"/>
        <v>-234.37839622641508</v>
      </c>
      <c r="G1471" s="21">
        <v>0.74532330000000002</v>
      </c>
      <c r="H1471" s="21">
        <v>-0.58793220000000002</v>
      </c>
    </row>
    <row r="1472" spans="1:8" x14ac:dyDescent="0.15">
      <c r="A1472" s="21">
        <v>2.8710940000000001E-2</v>
      </c>
      <c r="B1472" s="21">
        <f t="shared" si="44"/>
        <v>-0.65810840000000004</v>
      </c>
      <c r="D1472">
        <f t="shared" si="45"/>
        <v>-262.59751572327042</v>
      </c>
      <c r="G1472" s="21">
        <v>0.83506009999999997</v>
      </c>
      <c r="H1472" s="21">
        <v>-0.65810840000000004</v>
      </c>
    </row>
    <row r="1473" spans="1:8" x14ac:dyDescent="0.15">
      <c r="A1473" s="21">
        <v>2.8730470000000001E-2</v>
      </c>
      <c r="B1473" s="21">
        <f t="shared" si="44"/>
        <v>-0.70647110000000002</v>
      </c>
      <c r="D1473">
        <f t="shared" si="45"/>
        <v>-282.2211006289308</v>
      </c>
      <c r="G1473" s="21">
        <v>0.89746309999999996</v>
      </c>
      <c r="H1473" s="21">
        <v>-0.70647110000000002</v>
      </c>
    </row>
    <row r="1474" spans="1:8" x14ac:dyDescent="0.15">
      <c r="A1474" s="21">
        <v>2.8750000000000001E-2</v>
      </c>
      <c r="B1474" s="21">
        <f t="shared" ref="B1474:B1537" si="46">H1474</f>
        <v>-0.73167269999999995</v>
      </c>
      <c r="D1474">
        <f t="shared" ref="D1474:D1537" si="47">G1474*-1000/3.18</f>
        <v>-292.47254716981132</v>
      </c>
      <c r="G1474" s="21">
        <v>0.93006270000000002</v>
      </c>
      <c r="H1474" s="21">
        <v>-0.73167269999999995</v>
      </c>
    </row>
    <row r="1475" spans="1:8" x14ac:dyDescent="0.15">
      <c r="A1475" s="21">
        <v>2.8769530000000001E-2</v>
      </c>
      <c r="B1475" s="21">
        <f t="shared" si="46"/>
        <v>-0.7315062</v>
      </c>
      <c r="D1475">
        <f t="shared" si="47"/>
        <v>-292.50855345911953</v>
      </c>
      <c r="G1475" s="21">
        <v>0.93017720000000004</v>
      </c>
      <c r="H1475" s="21">
        <v>-0.7315062</v>
      </c>
    </row>
    <row r="1476" spans="1:8" x14ac:dyDescent="0.15">
      <c r="A1476" s="21">
        <v>2.8789060000000002E-2</v>
      </c>
      <c r="B1476" s="21">
        <f t="shared" si="46"/>
        <v>-0.70695949999999996</v>
      </c>
      <c r="D1476">
        <f t="shared" si="47"/>
        <v>-282.91132075471694</v>
      </c>
      <c r="G1476" s="21">
        <v>0.89965799999999996</v>
      </c>
      <c r="H1476" s="21">
        <v>-0.70695949999999996</v>
      </c>
    </row>
    <row r="1477" spans="1:8" x14ac:dyDescent="0.15">
      <c r="A1477" s="21">
        <v>2.8808589999999999E-2</v>
      </c>
      <c r="B1477" s="21">
        <f t="shared" si="46"/>
        <v>-0.65877870000000005</v>
      </c>
      <c r="D1477">
        <f t="shared" si="47"/>
        <v>-263.91849056603775</v>
      </c>
      <c r="G1477" s="21">
        <v>0.83926080000000003</v>
      </c>
      <c r="H1477" s="21">
        <v>-0.65877870000000005</v>
      </c>
    </row>
    <row r="1478" spans="1:8" x14ac:dyDescent="0.15">
      <c r="A1478" s="21">
        <v>2.8828119999999999E-2</v>
      </c>
      <c r="B1478" s="21">
        <f t="shared" si="46"/>
        <v>-0.5878525</v>
      </c>
      <c r="D1478">
        <f t="shared" si="47"/>
        <v>-235.66506289308174</v>
      </c>
      <c r="G1478" s="21">
        <v>0.74941489999999999</v>
      </c>
      <c r="H1478" s="21">
        <v>-0.5878525</v>
      </c>
    </row>
    <row r="1479" spans="1:8" x14ac:dyDescent="0.15">
      <c r="A1479" s="21">
        <v>2.8847660000000001E-2</v>
      </c>
      <c r="B1479" s="21">
        <f t="shared" si="46"/>
        <v>-0.49708649999999999</v>
      </c>
      <c r="D1479">
        <f t="shared" si="47"/>
        <v>-199.4182075471698</v>
      </c>
      <c r="G1479" s="21">
        <v>0.63414990000000004</v>
      </c>
      <c r="H1479" s="21">
        <v>-0.49708649999999999</v>
      </c>
    </row>
    <row r="1480" spans="1:8" x14ac:dyDescent="0.15">
      <c r="A1480" s="21">
        <v>2.8867190000000001E-2</v>
      </c>
      <c r="B1480" s="21">
        <f t="shared" si="46"/>
        <v>-0.38847419999999999</v>
      </c>
      <c r="D1480">
        <f t="shared" si="47"/>
        <v>-156.05732704402516</v>
      </c>
      <c r="G1480" s="21">
        <v>0.49626229999999999</v>
      </c>
      <c r="H1480" s="21">
        <v>-0.38847419999999999</v>
      </c>
    </row>
    <row r="1481" spans="1:8" x14ac:dyDescent="0.15">
      <c r="A1481" s="21">
        <v>2.8886720000000001E-2</v>
      </c>
      <c r="B1481" s="21">
        <f t="shared" si="46"/>
        <v>-0.26534479999999999</v>
      </c>
      <c r="D1481">
        <f t="shared" si="47"/>
        <v>-106.88801886792452</v>
      </c>
      <c r="G1481" s="21">
        <v>0.33990389999999998</v>
      </c>
      <c r="H1481" s="21">
        <v>-0.26534479999999999</v>
      </c>
    </row>
    <row r="1482" spans="1:8" x14ac:dyDescent="0.15">
      <c r="A1482" s="21">
        <v>2.8906250000000001E-2</v>
      </c>
      <c r="B1482" s="21">
        <f t="shared" si="46"/>
        <v>-0.13334270000000001</v>
      </c>
      <c r="D1482">
        <f t="shared" si="47"/>
        <v>-54.041257861635216</v>
      </c>
      <c r="G1482" s="21">
        <v>0.17185120000000001</v>
      </c>
      <c r="H1482" s="21">
        <v>-0.13334270000000001</v>
      </c>
    </row>
    <row r="1483" spans="1:8" x14ac:dyDescent="0.15">
      <c r="A1483" s="21">
        <v>2.8925780000000002E-2</v>
      </c>
      <c r="B1483" s="21">
        <f t="shared" si="46"/>
        <v>2.4551769999999998E-3</v>
      </c>
      <c r="D1483">
        <f t="shared" si="47"/>
        <v>0.39821949685534597</v>
      </c>
      <c r="G1483" s="21">
        <v>-1.2663380000000001E-3</v>
      </c>
      <c r="H1483" s="21">
        <v>2.4551769999999998E-3</v>
      </c>
    </row>
    <row r="1484" spans="1:8" x14ac:dyDescent="0.15">
      <c r="A1484" s="21">
        <v>2.8945309999999998E-2</v>
      </c>
      <c r="B1484" s="21">
        <f t="shared" si="46"/>
        <v>0.13672819999999999</v>
      </c>
      <c r="D1484">
        <f t="shared" si="47"/>
        <v>54.205408805031446</v>
      </c>
      <c r="G1484" s="21">
        <v>-0.1723732</v>
      </c>
      <c r="H1484" s="21">
        <v>0.13672819999999999</v>
      </c>
    </row>
    <row r="1485" spans="1:8" x14ac:dyDescent="0.15">
      <c r="A1485" s="21">
        <v>2.8964839999999999E-2</v>
      </c>
      <c r="B1485" s="21">
        <f t="shared" si="46"/>
        <v>0.2654744</v>
      </c>
      <c r="D1485">
        <f t="shared" si="47"/>
        <v>105.865786163522</v>
      </c>
      <c r="G1485" s="21">
        <v>-0.33665319999999999</v>
      </c>
      <c r="H1485" s="21">
        <v>0.2654744</v>
      </c>
    </row>
    <row r="1486" spans="1:8" x14ac:dyDescent="0.15">
      <c r="A1486" s="21">
        <v>2.8984369999999999E-2</v>
      </c>
      <c r="B1486" s="21">
        <f t="shared" si="46"/>
        <v>0.38558930000000002</v>
      </c>
      <c r="D1486">
        <f t="shared" si="47"/>
        <v>154.15323899371069</v>
      </c>
      <c r="G1486" s="21">
        <v>-0.49020730000000001</v>
      </c>
      <c r="H1486" s="21">
        <v>0.38558930000000002</v>
      </c>
    </row>
    <row r="1487" spans="1:8" x14ac:dyDescent="0.15">
      <c r="A1487" s="21">
        <v>2.9003910000000001E-2</v>
      </c>
      <c r="B1487" s="21">
        <f t="shared" si="46"/>
        <v>0.49233090000000002</v>
      </c>
      <c r="D1487">
        <f t="shared" si="47"/>
        <v>197.21128930817608</v>
      </c>
      <c r="G1487" s="21">
        <v>-0.62713189999999996</v>
      </c>
      <c r="H1487" s="21">
        <v>0.49233090000000002</v>
      </c>
    </row>
    <row r="1488" spans="1:8" x14ac:dyDescent="0.15">
      <c r="A1488" s="21">
        <v>2.9023440000000001E-2</v>
      </c>
      <c r="B1488" s="21">
        <f t="shared" si="46"/>
        <v>0.58255979999999996</v>
      </c>
      <c r="D1488">
        <f t="shared" si="47"/>
        <v>233.66047169811318</v>
      </c>
      <c r="G1488" s="21">
        <v>-0.74304029999999999</v>
      </c>
      <c r="H1488" s="21">
        <v>0.58255979999999996</v>
      </c>
    </row>
    <row r="1489" spans="1:8" x14ac:dyDescent="0.15">
      <c r="A1489" s="21">
        <v>2.9042970000000001E-2</v>
      </c>
      <c r="B1489" s="21">
        <f t="shared" si="46"/>
        <v>0.6534449</v>
      </c>
      <c r="D1489">
        <f t="shared" si="47"/>
        <v>262.29823899371064</v>
      </c>
      <c r="G1489" s="21">
        <v>-0.83410839999999997</v>
      </c>
      <c r="H1489" s="21">
        <v>0.6534449</v>
      </c>
    </row>
    <row r="1490" spans="1:8" x14ac:dyDescent="0.15">
      <c r="A1490" s="21">
        <v>2.9062500000000002E-2</v>
      </c>
      <c r="B1490" s="21">
        <f t="shared" si="46"/>
        <v>0.70205960000000001</v>
      </c>
      <c r="D1490">
        <f t="shared" si="47"/>
        <v>282.03537735849051</v>
      </c>
      <c r="G1490" s="21">
        <v>-0.89687249999999996</v>
      </c>
      <c r="H1490" s="21">
        <v>0.70205960000000001</v>
      </c>
    </row>
    <row r="1491" spans="1:8" x14ac:dyDescent="0.15">
      <c r="A1491" s="21">
        <v>2.9082029999999998E-2</v>
      </c>
      <c r="B1491" s="21">
        <f t="shared" si="46"/>
        <v>0.72864370000000001</v>
      </c>
      <c r="D1491">
        <f t="shared" si="47"/>
        <v>292.95286163522013</v>
      </c>
      <c r="G1491" s="21">
        <v>-0.93159009999999998</v>
      </c>
      <c r="H1491" s="21">
        <v>0.72864370000000001</v>
      </c>
    </row>
    <row r="1492" spans="1:8" x14ac:dyDescent="0.15">
      <c r="A1492" s="21">
        <v>2.9101559999999999E-2</v>
      </c>
      <c r="B1492" s="21">
        <f t="shared" si="46"/>
        <v>0.73139860000000001</v>
      </c>
      <c r="D1492">
        <f t="shared" si="47"/>
        <v>294.14534591194968</v>
      </c>
      <c r="G1492" s="21">
        <v>-0.93538220000000005</v>
      </c>
      <c r="H1492" s="21">
        <v>0.73139860000000001</v>
      </c>
    </row>
    <row r="1493" spans="1:8" x14ac:dyDescent="0.15">
      <c r="A1493" s="21">
        <v>2.9121089999999999E-2</v>
      </c>
      <c r="B1493" s="21">
        <f t="shared" si="46"/>
        <v>0.70822320000000005</v>
      </c>
      <c r="D1493">
        <f t="shared" si="47"/>
        <v>284.7716352201258</v>
      </c>
      <c r="G1493" s="21">
        <v>-0.90557379999999998</v>
      </c>
      <c r="H1493" s="21">
        <v>0.70822320000000005</v>
      </c>
    </row>
    <row r="1494" spans="1:8" x14ac:dyDescent="0.15">
      <c r="A1494" s="21">
        <v>2.9140619999999999E-2</v>
      </c>
      <c r="B1494" s="21">
        <f t="shared" si="46"/>
        <v>0.66128209999999998</v>
      </c>
      <c r="D1494">
        <f t="shared" si="47"/>
        <v>265.96455974842763</v>
      </c>
      <c r="G1494" s="21">
        <v>-0.8457673</v>
      </c>
      <c r="H1494" s="21">
        <v>0.66128209999999998</v>
      </c>
    </row>
    <row r="1495" spans="1:8" x14ac:dyDescent="0.15">
      <c r="A1495" s="21">
        <v>2.9160160000000001E-2</v>
      </c>
      <c r="B1495" s="21">
        <f t="shared" si="46"/>
        <v>0.59193879999999999</v>
      </c>
      <c r="D1495">
        <f t="shared" si="47"/>
        <v>238.13591194968552</v>
      </c>
      <c r="G1495" s="21">
        <v>-0.75727219999999995</v>
      </c>
      <c r="H1495" s="21">
        <v>0.59193879999999999</v>
      </c>
    </row>
    <row r="1496" spans="1:8" x14ac:dyDescent="0.15">
      <c r="A1496" s="21">
        <v>2.9179690000000001E-2</v>
      </c>
      <c r="B1496" s="21">
        <f t="shared" si="46"/>
        <v>0.50256690000000004</v>
      </c>
      <c r="D1496">
        <f t="shared" si="47"/>
        <v>202.20327044025154</v>
      </c>
      <c r="G1496" s="21">
        <v>-0.64300639999999998</v>
      </c>
      <c r="H1496" s="21">
        <v>0.50256690000000004</v>
      </c>
    </row>
    <row r="1497" spans="1:8" x14ac:dyDescent="0.15">
      <c r="A1497" s="21">
        <v>2.9199220000000001E-2</v>
      </c>
      <c r="B1497" s="21">
        <f t="shared" si="46"/>
        <v>0.39652520000000002</v>
      </c>
      <c r="D1497">
        <f t="shared" si="47"/>
        <v>159.59927672955973</v>
      </c>
      <c r="G1497" s="21">
        <v>-0.50752569999999997</v>
      </c>
      <c r="H1497" s="21">
        <v>0.39652520000000002</v>
      </c>
    </row>
    <row r="1498" spans="1:8" x14ac:dyDescent="0.15">
      <c r="A1498" s="21">
        <v>2.9218750000000002E-2</v>
      </c>
      <c r="B1498" s="21">
        <f t="shared" si="46"/>
        <v>0.2754199</v>
      </c>
      <c r="D1498">
        <f t="shared" si="47"/>
        <v>110.9133647798742</v>
      </c>
      <c r="G1498" s="21">
        <v>-0.35270449999999998</v>
      </c>
      <c r="H1498" s="21">
        <v>0.2754199</v>
      </c>
    </row>
    <row r="1499" spans="1:8" x14ac:dyDescent="0.15">
      <c r="A1499" s="21">
        <v>2.9238279999999998E-2</v>
      </c>
      <c r="B1499" s="21">
        <f t="shared" si="46"/>
        <v>0.14397199999999999</v>
      </c>
      <c r="D1499">
        <f t="shared" si="47"/>
        <v>58.305660377358492</v>
      </c>
      <c r="G1499" s="21">
        <v>-0.18541199999999999</v>
      </c>
      <c r="H1499" s="21">
        <v>0.14397199999999999</v>
      </c>
    </row>
    <row r="1500" spans="1:8" x14ac:dyDescent="0.15">
      <c r="A1500" s="21">
        <v>2.9257809999999999E-2</v>
      </c>
      <c r="B1500" s="21">
        <f t="shared" si="46"/>
        <v>7.9294350000000003E-3</v>
      </c>
      <c r="D1500">
        <f t="shared" si="47"/>
        <v>3.9777232704402516</v>
      </c>
      <c r="G1500" s="21">
        <v>-1.264916E-2</v>
      </c>
      <c r="H1500" s="21">
        <v>7.9294350000000003E-3</v>
      </c>
    </row>
    <row r="1501" spans="1:8" x14ac:dyDescent="0.15">
      <c r="A1501" s="21">
        <v>2.9277339999999999E-2</v>
      </c>
      <c r="B1501" s="21">
        <f t="shared" si="46"/>
        <v>-0.12729570000000001</v>
      </c>
      <c r="D1501">
        <f t="shared" si="47"/>
        <v>-50.0525786163522</v>
      </c>
      <c r="G1501" s="21">
        <v>0.15916720000000001</v>
      </c>
      <c r="H1501" s="21">
        <v>-0.12729570000000001</v>
      </c>
    </row>
    <row r="1502" spans="1:8" x14ac:dyDescent="0.15">
      <c r="A1502" s="21">
        <v>2.9296880000000001E-2</v>
      </c>
      <c r="B1502" s="21">
        <f t="shared" si="46"/>
        <v>-0.25583440000000002</v>
      </c>
      <c r="D1502">
        <f t="shared" si="47"/>
        <v>-101.39981132075471</v>
      </c>
      <c r="G1502" s="21">
        <v>0.3224514</v>
      </c>
      <c r="H1502" s="21">
        <v>-0.25583440000000002</v>
      </c>
    </row>
    <row r="1503" spans="1:8" x14ac:dyDescent="0.15">
      <c r="A1503" s="21">
        <v>2.9316410000000001E-2</v>
      </c>
      <c r="B1503" s="21">
        <f t="shared" si="46"/>
        <v>-0.37585800000000003</v>
      </c>
      <c r="D1503">
        <f t="shared" si="47"/>
        <v>-149.53006289308175</v>
      </c>
      <c r="G1503" s="21">
        <v>0.47550559999999997</v>
      </c>
      <c r="H1503" s="21">
        <v>-0.37585800000000003</v>
      </c>
    </row>
    <row r="1504" spans="1:8" x14ac:dyDescent="0.15">
      <c r="A1504" s="21">
        <v>2.9335940000000001E-2</v>
      </c>
      <c r="B1504" s="21">
        <f t="shared" si="46"/>
        <v>-0.48481020000000002</v>
      </c>
      <c r="D1504">
        <f t="shared" si="47"/>
        <v>-193.13279874213839</v>
      </c>
      <c r="G1504" s="21">
        <v>0.61416230000000005</v>
      </c>
      <c r="H1504" s="21">
        <v>-0.48481020000000002</v>
      </c>
    </row>
    <row r="1505" spans="1:8" x14ac:dyDescent="0.15">
      <c r="A1505" s="21">
        <v>2.9355470000000002E-2</v>
      </c>
      <c r="B1505" s="21">
        <f t="shared" si="46"/>
        <v>-0.57719390000000004</v>
      </c>
      <c r="D1505">
        <f t="shared" si="47"/>
        <v>-230.01311320754715</v>
      </c>
      <c r="G1505" s="21">
        <v>0.73144169999999997</v>
      </c>
      <c r="H1505" s="21">
        <v>-0.57719390000000004</v>
      </c>
    </row>
    <row r="1506" spans="1:8" x14ac:dyDescent="0.15">
      <c r="A1506" s="21">
        <v>2.9374999999999998E-2</v>
      </c>
      <c r="B1506" s="21">
        <f t="shared" si="46"/>
        <v>-0.65017400000000003</v>
      </c>
      <c r="D1506">
        <f t="shared" si="47"/>
        <v>-259.37716981132075</v>
      </c>
      <c r="G1506" s="21">
        <v>0.82481939999999998</v>
      </c>
      <c r="H1506" s="21">
        <v>-0.65017400000000003</v>
      </c>
    </row>
    <row r="1507" spans="1:8" x14ac:dyDescent="0.15">
      <c r="A1507" s="21">
        <v>2.9394529999999999E-2</v>
      </c>
      <c r="B1507" s="21">
        <f t="shared" si="46"/>
        <v>-0.70109189999999999</v>
      </c>
      <c r="D1507">
        <f t="shared" si="47"/>
        <v>-279.94518867924523</v>
      </c>
      <c r="G1507" s="21">
        <v>0.89022570000000001</v>
      </c>
      <c r="H1507" s="21">
        <v>-0.70109189999999999</v>
      </c>
    </row>
    <row r="1508" spans="1:8" x14ac:dyDescent="0.15">
      <c r="A1508" s="21">
        <v>2.9414059999999999E-2</v>
      </c>
      <c r="B1508" s="21">
        <f t="shared" si="46"/>
        <v>-0.7284699</v>
      </c>
      <c r="D1508">
        <f t="shared" si="47"/>
        <v>-291.16477987421382</v>
      </c>
      <c r="G1508" s="21">
        <v>0.92590399999999995</v>
      </c>
      <c r="H1508" s="21">
        <v>-0.7284699</v>
      </c>
    </row>
    <row r="1509" spans="1:8" x14ac:dyDescent="0.15">
      <c r="A1509" s="21">
        <v>2.9433589999999999E-2</v>
      </c>
      <c r="B1509" s="21">
        <f t="shared" si="46"/>
        <v>-0.73279680000000003</v>
      </c>
      <c r="D1509">
        <f t="shared" si="47"/>
        <v>-293.09716981132073</v>
      </c>
      <c r="G1509" s="21">
        <v>0.93204900000000002</v>
      </c>
      <c r="H1509" s="21">
        <v>-0.73279680000000003</v>
      </c>
    </row>
    <row r="1510" spans="1:8" x14ac:dyDescent="0.15">
      <c r="A1510" s="21">
        <v>2.9453130000000001E-2</v>
      </c>
      <c r="B1510" s="21">
        <f t="shared" si="46"/>
        <v>-0.71176799999999996</v>
      </c>
      <c r="D1510">
        <f t="shared" si="47"/>
        <v>-284.73855345911949</v>
      </c>
      <c r="G1510" s="21">
        <v>0.90546859999999996</v>
      </c>
      <c r="H1510" s="21">
        <v>-0.71176799999999996</v>
      </c>
    </row>
    <row r="1511" spans="1:8" x14ac:dyDescent="0.15">
      <c r="A1511" s="21">
        <v>2.9472660000000001E-2</v>
      </c>
      <c r="B1511" s="21">
        <f t="shared" si="46"/>
        <v>-0.66605159999999997</v>
      </c>
      <c r="D1511">
        <f t="shared" si="47"/>
        <v>-266.82522012578619</v>
      </c>
      <c r="G1511" s="21">
        <v>0.84850420000000004</v>
      </c>
      <c r="H1511" s="21">
        <v>-0.66605159999999997</v>
      </c>
    </row>
    <row r="1512" spans="1:8" x14ac:dyDescent="0.15">
      <c r="A1512" s="21">
        <v>2.9492190000000001E-2</v>
      </c>
      <c r="B1512" s="21">
        <f t="shared" si="46"/>
        <v>-0.59859609999999996</v>
      </c>
      <c r="D1512">
        <f t="shared" si="47"/>
        <v>-240.09128930817607</v>
      </c>
      <c r="G1512" s="21">
        <v>0.76349029999999996</v>
      </c>
      <c r="H1512" s="21">
        <v>-0.59859609999999996</v>
      </c>
    </row>
    <row r="1513" spans="1:8" x14ac:dyDescent="0.15">
      <c r="A1513" s="21">
        <v>2.9511720000000002E-2</v>
      </c>
      <c r="B1513" s="21">
        <f t="shared" si="46"/>
        <v>-0.50962459999999998</v>
      </c>
      <c r="D1513">
        <f t="shared" si="47"/>
        <v>-204.36657232704403</v>
      </c>
      <c r="G1513" s="21">
        <v>0.64988570000000001</v>
      </c>
      <c r="H1513" s="21">
        <v>-0.50962459999999998</v>
      </c>
    </row>
    <row r="1514" spans="1:8" x14ac:dyDescent="0.15">
      <c r="A1514" s="21">
        <v>2.9531249999999998E-2</v>
      </c>
      <c r="B1514" s="21">
        <f t="shared" si="46"/>
        <v>-0.40285300000000002</v>
      </c>
      <c r="D1514">
        <f t="shared" si="47"/>
        <v>-161.72270440251572</v>
      </c>
      <c r="G1514" s="21">
        <v>0.51427820000000002</v>
      </c>
      <c r="H1514" s="21">
        <v>-0.40285300000000002</v>
      </c>
    </row>
    <row r="1515" spans="1:8" x14ac:dyDescent="0.15">
      <c r="A1515" s="21">
        <v>2.9550779999999999E-2</v>
      </c>
      <c r="B1515" s="21">
        <f t="shared" si="46"/>
        <v>-0.28225339999999999</v>
      </c>
      <c r="D1515">
        <f t="shared" si="47"/>
        <v>-113.61292452830187</v>
      </c>
      <c r="G1515" s="21">
        <v>0.36128909999999997</v>
      </c>
      <c r="H1515" s="21">
        <v>-0.28225339999999999</v>
      </c>
    </row>
    <row r="1516" spans="1:8" x14ac:dyDescent="0.15">
      <c r="A1516" s="21">
        <v>2.9570309999999999E-2</v>
      </c>
      <c r="B1516" s="21">
        <f t="shared" si="46"/>
        <v>-0.15094879999999999</v>
      </c>
      <c r="D1516">
        <f t="shared" si="47"/>
        <v>-61.119182389937109</v>
      </c>
      <c r="G1516" s="21">
        <v>0.194359</v>
      </c>
      <c r="H1516" s="21">
        <v>-0.15094879999999999</v>
      </c>
    </row>
    <row r="1517" spans="1:8" x14ac:dyDescent="0.15">
      <c r="A1517" s="21">
        <v>2.9589839999999999E-2</v>
      </c>
      <c r="B1517" s="21">
        <f t="shared" si="46"/>
        <v>-1.578951E-2</v>
      </c>
      <c r="D1517">
        <f t="shared" si="47"/>
        <v>-6.9979119496855349</v>
      </c>
      <c r="G1517" s="21">
        <v>2.225336E-2</v>
      </c>
      <c r="H1517" s="21">
        <v>-1.578951E-2</v>
      </c>
    </row>
    <row r="1518" spans="1:8" x14ac:dyDescent="0.15">
      <c r="A1518" s="21">
        <v>2.9609380000000001E-2</v>
      </c>
      <c r="B1518" s="21">
        <f t="shared" si="46"/>
        <v>0.1190737</v>
      </c>
      <c r="D1518">
        <f t="shared" si="47"/>
        <v>47.232452830188684</v>
      </c>
      <c r="G1518" s="21">
        <v>-0.1501992</v>
      </c>
      <c r="H1518" s="21">
        <v>0.1190737</v>
      </c>
    </row>
    <row r="1519" spans="1:8" x14ac:dyDescent="0.15">
      <c r="A1519" s="21">
        <v>2.9628910000000001E-2</v>
      </c>
      <c r="B1519" s="21">
        <f t="shared" si="46"/>
        <v>0.24993460000000001</v>
      </c>
      <c r="D1519">
        <f t="shared" si="47"/>
        <v>99.714465408805026</v>
      </c>
      <c r="G1519" s="21">
        <v>-0.31709199999999998</v>
      </c>
      <c r="H1519" s="21">
        <v>0.24993460000000001</v>
      </c>
    </row>
    <row r="1520" spans="1:8" x14ac:dyDescent="0.15">
      <c r="A1520" s="21">
        <v>2.9648440000000002E-2</v>
      </c>
      <c r="B1520" s="21">
        <f t="shared" si="46"/>
        <v>0.37103079999999999</v>
      </c>
      <c r="D1520">
        <f t="shared" si="47"/>
        <v>148.23726415094339</v>
      </c>
      <c r="G1520" s="21">
        <v>-0.47139449999999999</v>
      </c>
      <c r="H1520" s="21">
        <v>0.37103079999999999</v>
      </c>
    </row>
    <row r="1521" spans="1:8" x14ac:dyDescent="0.15">
      <c r="A1521" s="21">
        <v>2.9667969999999998E-2</v>
      </c>
      <c r="B1521" s="21">
        <f t="shared" si="46"/>
        <v>0.4797689</v>
      </c>
      <c r="D1521">
        <f t="shared" si="47"/>
        <v>192.16066037735845</v>
      </c>
      <c r="G1521" s="21">
        <v>-0.61107089999999997</v>
      </c>
      <c r="H1521" s="21">
        <v>0.4797689</v>
      </c>
    </row>
    <row r="1522" spans="1:8" x14ac:dyDescent="0.15">
      <c r="A1522" s="21">
        <v>2.9687499999999999E-2</v>
      </c>
      <c r="B1522" s="21">
        <f t="shared" si="46"/>
        <v>0.57248200000000005</v>
      </c>
      <c r="D1522">
        <f t="shared" si="47"/>
        <v>229.57682389937105</v>
      </c>
      <c r="G1522" s="21">
        <v>-0.73005430000000004</v>
      </c>
      <c r="H1522" s="21">
        <v>0.57248200000000005</v>
      </c>
    </row>
    <row r="1523" spans="1:8" x14ac:dyDescent="0.15">
      <c r="A1523" s="21">
        <v>2.9707029999999999E-2</v>
      </c>
      <c r="B1523" s="21">
        <f t="shared" si="46"/>
        <v>0.64500000000000002</v>
      </c>
      <c r="D1523">
        <f t="shared" si="47"/>
        <v>258.81449685534591</v>
      </c>
      <c r="G1523" s="21">
        <v>-0.82303009999999999</v>
      </c>
      <c r="H1523" s="21">
        <v>0.64500000000000002</v>
      </c>
    </row>
    <row r="1524" spans="1:8" x14ac:dyDescent="0.15">
      <c r="A1524" s="21">
        <v>2.9726559999999999E-2</v>
      </c>
      <c r="B1524" s="21">
        <f t="shared" si="46"/>
        <v>0.69679060000000004</v>
      </c>
      <c r="D1524">
        <f t="shared" si="47"/>
        <v>279.91968553459117</v>
      </c>
      <c r="G1524" s="21">
        <v>-0.89014459999999995</v>
      </c>
      <c r="H1524" s="21">
        <v>0.69679060000000004</v>
      </c>
    </row>
    <row r="1525" spans="1:8" x14ac:dyDescent="0.15">
      <c r="A1525" s="21">
        <v>2.9746089999999999E-2</v>
      </c>
      <c r="B1525" s="21">
        <f t="shared" si="46"/>
        <v>0.72697420000000001</v>
      </c>
      <c r="D1525">
        <f t="shared" si="47"/>
        <v>292.22842767295595</v>
      </c>
      <c r="G1525" s="21">
        <v>-0.92928639999999996</v>
      </c>
      <c r="H1525" s="21">
        <v>0.72697420000000001</v>
      </c>
    </row>
    <row r="1526" spans="1:8" x14ac:dyDescent="0.15">
      <c r="A1526" s="21">
        <v>2.9765630000000001E-2</v>
      </c>
      <c r="B1526" s="21">
        <f t="shared" si="46"/>
        <v>0.73339509999999997</v>
      </c>
      <c r="D1526">
        <f t="shared" si="47"/>
        <v>294.84669811320754</v>
      </c>
      <c r="G1526" s="21">
        <v>-0.93761249999999996</v>
      </c>
      <c r="H1526" s="21">
        <v>0.73339509999999997</v>
      </c>
    </row>
    <row r="1527" spans="1:8" x14ac:dyDescent="0.15">
      <c r="A1527" s="21">
        <v>2.9785160000000001E-2</v>
      </c>
      <c r="B1527" s="21">
        <f t="shared" si="46"/>
        <v>0.71410130000000005</v>
      </c>
      <c r="D1527">
        <f t="shared" si="47"/>
        <v>287.07606918238997</v>
      </c>
      <c r="G1527" s="21">
        <v>-0.91290190000000004</v>
      </c>
      <c r="H1527" s="21">
        <v>0.71410130000000005</v>
      </c>
    </row>
    <row r="1528" spans="1:8" x14ac:dyDescent="0.15">
      <c r="A1528" s="21">
        <v>2.9804689999999998E-2</v>
      </c>
      <c r="B1528" s="21">
        <f t="shared" si="46"/>
        <v>0.66927159999999997</v>
      </c>
      <c r="D1528">
        <f t="shared" si="47"/>
        <v>269.08990566037738</v>
      </c>
      <c r="G1528" s="21">
        <v>-0.85570590000000002</v>
      </c>
      <c r="H1528" s="21">
        <v>0.66927159999999997</v>
      </c>
    </row>
    <row r="1529" spans="1:8" x14ac:dyDescent="0.15">
      <c r="A1529" s="21">
        <v>2.9824219999999999E-2</v>
      </c>
      <c r="B1529" s="21">
        <f t="shared" si="46"/>
        <v>0.60205989999999998</v>
      </c>
      <c r="D1529">
        <f t="shared" si="47"/>
        <v>242.22496855345915</v>
      </c>
      <c r="G1529" s="21">
        <v>-0.77027540000000005</v>
      </c>
      <c r="H1529" s="21">
        <v>0.60205989999999998</v>
      </c>
    </row>
    <row r="1530" spans="1:8" x14ac:dyDescent="0.15">
      <c r="A1530" s="21">
        <v>2.9843749999999999E-2</v>
      </c>
      <c r="B1530" s="21">
        <f t="shared" si="46"/>
        <v>0.51539550000000001</v>
      </c>
      <c r="D1530">
        <f t="shared" si="47"/>
        <v>207.37729559748431</v>
      </c>
      <c r="G1530" s="21">
        <v>-0.65945980000000004</v>
      </c>
      <c r="H1530" s="21">
        <v>0.51539550000000001</v>
      </c>
    </row>
    <row r="1531" spans="1:8" x14ac:dyDescent="0.15">
      <c r="A1531" s="21">
        <v>2.9863279999999999E-2</v>
      </c>
      <c r="B1531" s="21">
        <f t="shared" si="46"/>
        <v>0.41167409999999999</v>
      </c>
      <c r="D1531">
        <f t="shared" si="47"/>
        <v>165.59864779874212</v>
      </c>
      <c r="G1531" s="21">
        <v>-0.52660370000000001</v>
      </c>
      <c r="H1531" s="21">
        <v>0.41167409999999999</v>
      </c>
    </row>
    <row r="1532" spans="1:8" x14ac:dyDescent="0.15">
      <c r="A1532" s="21">
        <v>2.9882809999999999E-2</v>
      </c>
      <c r="B1532" s="21">
        <f t="shared" si="46"/>
        <v>0.29312650000000001</v>
      </c>
      <c r="D1532">
        <f t="shared" si="47"/>
        <v>118.03185534591194</v>
      </c>
      <c r="G1532" s="21">
        <v>-0.37534129999999999</v>
      </c>
      <c r="H1532" s="21">
        <v>0.29312650000000001</v>
      </c>
    </row>
    <row r="1533" spans="1:8" x14ac:dyDescent="0.15">
      <c r="A1533" s="21">
        <v>2.9902339999999999E-2</v>
      </c>
      <c r="B1533" s="21">
        <f t="shared" si="46"/>
        <v>0.1625481</v>
      </c>
      <c r="D1533">
        <f t="shared" si="47"/>
        <v>65.736477987421381</v>
      </c>
      <c r="G1533" s="21">
        <v>-0.20904200000000001</v>
      </c>
      <c r="H1533" s="21">
        <v>0.1625481</v>
      </c>
    </row>
    <row r="1534" spans="1:8" x14ac:dyDescent="0.15">
      <c r="A1534" s="21">
        <v>2.9921880000000001E-2</v>
      </c>
      <c r="B1534" s="21">
        <f t="shared" si="46"/>
        <v>2.5916890000000001E-2</v>
      </c>
      <c r="D1534">
        <f t="shared" si="47"/>
        <v>11.158103773584903</v>
      </c>
      <c r="G1534" s="21">
        <v>-3.5482769999999997E-2</v>
      </c>
      <c r="H1534" s="21">
        <v>2.5916890000000001E-2</v>
      </c>
    </row>
    <row r="1535" spans="1:8" x14ac:dyDescent="0.15">
      <c r="A1535" s="21">
        <v>2.9941410000000002E-2</v>
      </c>
      <c r="B1535" s="21">
        <f t="shared" si="46"/>
        <v>-0.1097711</v>
      </c>
      <c r="D1535">
        <f t="shared" si="47"/>
        <v>-42.990283018867927</v>
      </c>
      <c r="G1535" s="21">
        <v>0.1367091</v>
      </c>
      <c r="H1535" s="21">
        <v>-0.1097711</v>
      </c>
    </row>
    <row r="1536" spans="1:8" x14ac:dyDescent="0.15">
      <c r="A1536" s="21">
        <v>2.9960939999999998E-2</v>
      </c>
      <c r="B1536" s="21">
        <f t="shared" si="46"/>
        <v>-0.23954819999999999</v>
      </c>
      <c r="D1536">
        <f t="shared" si="47"/>
        <v>-94.94496855345912</v>
      </c>
      <c r="G1536" s="21">
        <v>0.301925</v>
      </c>
      <c r="H1536" s="21">
        <v>-0.23954819999999999</v>
      </c>
    </row>
    <row r="1537" spans="1:8" x14ac:dyDescent="0.15">
      <c r="A1537" s="21">
        <v>2.9980469999999999E-2</v>
      </c>
      <c r="B1537" s="21">
        <f t="shared" si="46"/>
        <v>-0.36029080000000002</v>
      </c>
      <c r="D1537">
        <f t="shared" si="47"/>
        <v>-143.38330188679245</v>
      </c>
      <c r="G1537" s="21">
        <v>0.4559589</v>
      </c>
      <c r="H1537" s="21">
        <v>-0.36029080000000002</v>
      </c>
    </row>
    <row r="1538" spans="1:8" x14ac:dyDescent="0.15">
      <c r="A1538" s="21">
        <v>0.03</v>
      </c>
      <c r="B1538" s="21">
        <f t="shared" ref="B1538:B1601" si="48">H1538</f>
        <v>-0.47005720000000001</v>
      </c>
      <c r="D1538">
        <f t="shared" ref="D1538:D1601" si="49">G1538*-1000/3.18</f>
        <v>-187.36245283018866</v>
      </c>
      <c r="G1538" s="21">
        <v>0.59581260000000003</v>
      </c>
      <c r="H1538" s="21">
        <v>-0.47005720000000001</v>
      </c>
    </row>
    <row r="1539" spans="1:8" x14ac:dyDescent="0.15">
      <c r="A1539" s="21">
        <v>3.0019529999999999E-2</v>
      </c>
      <c r="B1539" s="21">
        <f t="shared" si="48"/>
        <v>-0.56565929999999998</v>
      </c>
      <c r="D1539">
        <f t="shared" si="49"/>
        <v>-225.57034591194969</v>
      </c>
      <c r="G1539" s="21">
        <v>0.71731370000000005</v>
      </c>
      <c r="H1539" s="21">
        <v>-0.56565929999999998</v>
      </c>
    </row>
    <row r="1540" spans="1:8" x14ac:dyDescent="0.15">
      <c r="A1540" s="21">
        <v>3.0039059999999999E-2</v>
      </c>
      <c r="B1540" s="21">
        <f t="shared" si="48"/>
        <v>-0.64180459999999995</v>
      </c>
      <c r="D1540">
        <f t="shared" si="49"/>
        <v>-256.01383647798735</v>
      </c>
      <c r="G1540" s="21">
        <v>0.81412399999999996</v>
      </c>
      <c r="H1540" s="21">
        <v>-0.64180459999999995</v>
      </c>
    </row>
    <row r="1541" spans="1:8" x14ac:dyDescent="0.15">
      <c r="A1541" s="21">
        <v>3.005859E-2</v>
      </c>
      <c r="B1541" s="21">
        <f t="shared" si="48"/>
        <v>-0.69558989999999998</v>
      </c>
      <c r="D1541">
        <f t="shared" si="49"/>
        <v>-277.7810691823899</v>
      </c>
      <c r="G1541" s="21">
        <v>0.88334380000000001</v>
      </c>
      <c r="H1541" s="21">
        <v>-0.69558989999999998</v>
      </c>
    </row>
    <row r="1542" spans="1:8" x14ac:dyDescent="0.15">
      <c r="A1542" s="21">
        <v>3.0078130000000002E-2</v>
      </c>
      <c r="B1542" s="21">
        <f t="shared" si="48"/>
        <v>-0.72674819999999996</v>
      </c>
      <c r="D1542">
        <f t="shared" si="49"/>
        <v>-290.60968553459122</v>
      </c>
      <c r="G1542" s="21">
        <v>0.92413880000000004</v>
      </c>
      <c r="H1542" s="21">
        <v>-0.72674819999999996</v>
      </c>
    </row>
    <row r="1543" spans="1:8" x14ac:dyDescent="0.15">
      <c r="A1543" s="21">
        <v>3.0097659999999998E-2</v>
      </c>
      <c r="B1543" s="21">
        <f t="shared" si="48"/>
        <v>-0.73347439999999997</v>
      </c>
      <c r="D1543">
        <f t="shared" si="49"/>
        <v>-293.34550314465406</v>
      </c>
      <c r="G1543" s="21">
        <v>0.93283870000000002</v>
      </c>
      <c r="H1543" s="21">
        <v>-0.73347439999999997</v>
      </c>
    </row>
    <row r="1544" spans="1:8" x14ac:dyDescent="0.15">
      <c r="A1544" s="21">
        <v>3.0117189999999999E-2</v>
      </c>
      <c r="B1544" s="21">
        <f t="shared" si="48"/>
        <v>-0.71533639999999998</v>
      </c>
      <c r="D1544">
        <f t="shared" si="49"/>
        <v>-286.15990566037732</v>
      </c>
      <c r="G1544" s="21">
        <v>0.90998849999999998</v>
      </c>
      <c r="H1544" s="21">
        <v>-0.71533639999999998</v>
      </c>
    </row>
    <row r="1545" spans="1:8" x14ac:dyDescent="0.15">
      <c r="A1545" s="21">
        <v>3.0136719999999999E-2</v>
      </c>
      <c r="B1545" s="21">
        <f t="shared" si="48"/>
        <v>-0.67380910000000005</v>
      </c>
      <c r="D1545">
        <f t="shared" si="49"/>
        <v>-269.89279874213838</v>
      </c>
      <c r="G1545" s="21">
        <v>0.85825910000000005</v>
      </c>
      <c r="H1545" s="21">
        <v>-0.67380910000000005</v>
      </c>
    </row>
    <row r="1546" spans="1:8" x14ac:dyDescent="0.15">
      <c r="A1546" s="21">
        <v>3.0156249999999999E-2</v>
      </c>
      <c r="B1546" s="21">
        <f t="shared" si="48"/>
        <v>-0.60885579999999995</v>
      </c>
      <c r="D1546">
        <f t="shared" si="49"/>
        <v>-244.10100628930815</v>
      </c>
      <c r="G1546" s="21">
        <v>0.77624119999999996</v>
      </c>
      <c r="H1546" s="21">
        <v>-0.60885579999999995</v>
      </c>
    </row>
    <row r="1547" spans="1:8" x14ac:dyDescent="0.15">
      <c r="A1547" s="21">
        <v>3.0175779999999999E-2</v>
      </c>
      <c r="B1547" s="21">
        <f t="shared" si="48"/>
        <v>-0.52266449999999998</v>
      </c>
      <c r="D1547">
        <f t="shared" si="49"/>
        <v>-209.66031446540879</v>
      </c>
      <c r="G1547" s="21">
        <v>0.66671979999999997</v>
      </c>
      <c r="H1547" s="21">
        <v>-0.52266449999999998</v>
      </c>
    </row>
    <row r="1548" spans="1:8" x14ac:dyDescent="0.15">
      <c r="A1548" s="21">
        <v>3.019531E-2</v>
      </c>
      <c r="B1548" s="21">
        <f t="shared" si="48"/>
        <v>-0.41834739999999998</v>
      </c>
      <c r="D1548">
        <f t="shared" si="49"/>
        <v>-167.94283018867927</v>
      </c>
      <c r="G1548" s="21">
        <v>0.53405820000000004</v>
      </c>
      <c r="H1548" s="21">
        <v>-0.41834739999999998</v>
      </c>
    </row>
    <row r="1549" spans="1:8" x14ac:dyDescent="0.15">
      <c r="A1549" s="21">
        <v>3.021484E-2</v>
      </c>
      <c r="B1549" s="21">
        <f t="shared" si="48"/>
        <v>-0.29825299999999999</v>
      </c>
      <c r="D1549">
        <f t="shared" si="49"/>
        <v>-119.97798742138363</v>
      </c>
      <c r="G1549" s="21">
        <v>0.38152999999999998</v>
      </c>
      <c r="H1549" s="21">
        <v>-0.29825299999999999</v>
      </c>
    </row>
    <row r="1550" spans="1:8" x14ac:dyDescent="0.15">
      <c r="A1550" s="21">
        <v>3.0234380000000002E-2</v>
      </c>
      <c r="B1550" s="21">
        <f t="shared" si="48"/>
        <v>-0.16847309999999999</v>
      </c>
      <c r="D1550">
        <f t="shared" si="49"/>
        <v>-68.209779874213822</v>
      </c>
      <c r="G1550" s="21">
        <v>0.21690709999999999</v>
      </c>
      <c r="H1550" s="21">
        <v>-0.16847309999999999</v>
      </c>
    </row>
    <row r="1551" spans="1:8" x14ac:dyDescent="0.15">
      <c r="A1551" s="21">
        <v>3.0253909999999998E-2</v>
      </c>
      <c r="B1551" s="21">
        <f t="shared" si="48"/>
        <v>-3.3958120000000001E-2</v>
      </c>
      <c r="D1551">
        <f t="shared" si="49"/>
        <v>-14.31604716981132</v>
      </c>
      <c r="G1551" s="21">
        <v>4.5525030000000001E-2</v>
      </c>
      <c r="H1551" s="21">
        <v>-3.3958120000000001E-2</v>
      </c>
    </row>
    <row r="1552" spans="1:8" x14ac:dyDescent="0.15">
      <c r="A1552" s="21">
        <v>3.0273439999999999E-2</v>
      </c>
      <c r="B1552" s="21">
        <f t="shared" si="48"/>
        <v>0.10170750000000001</v>
      </c>
      <c r="D1552">
        <f t="shared" si="49"/>
        <v>40.19</v>
      </c>
      <c r="G1552" s="21">
        <v>-0.12780420000000001</v>
      </c>
      <c r="H1552" s="21">
        <v>0.10170750000000001</v>
      </c>
    </row>
    <row r="1553" spans="1:8" x14ac:dyDescent="0.15">
      <c r="A1553" s="21">
        <v>3.0292969999999999E-2</v>
      </c>
      <c r="B1553" s="21">
        <f t="shared" si="48"/>
        <v>0.23245080000000001</v>
      </c>
      <c r="D1553">
        <f t="shared" si="49"/>
        <v>92.621603773584894</v>
      </c>
      <c r="G1553" s="21">
        <v>-0.29453669999999998</v>
      </c>
      <c r="H1553" s="21">
        <v>0.23245080000000001</v>
      </c>
    </row>
    <row r="1554" spans="1:8" x14ac:dyDescent="0.15">
      <c r="A1554" s="21">
        <v>3.0312499999999999E-2</v>
      </c>
      <c r="B1554" s="21">
        <f t="shared" si="48"/>
        <v>0.35524250000000002</v>
      </c>
      <c r="D1554">
        <f t="shared" si="49"/>
        <v>141.89930817610062</v>
      </c>
      <c r="G1554" s="21">
        <v>-0.45123980000000002</v>
      </c>
      <c r="H1554" s="21">
        <v>0.35524250000000002</v>
      </c>
    </row>
    <row r="1555" spans="1:8" x14ac:dyDescent="0.15">
      <c r="A1555" s="21">
        <v>3.0332029999999999E-2</v>
      </c>
      <c r="B1555" s="21">
        <f t="shared" si="48"/>
        <v>0.46662930000000002</v>
      </c>
      <c r="D1555">
        <f t="shared" si="49"/>
        <v>186.79713836477987</v>
      </c>
      <c r="G1555" s="21">
        <v>-0.59401490000000001</v>
      </c>
      <c r="H1555" s="21">
        <v>0.46662930000000002</v>
      </c>
    </row>
    <row r="1556" spans="1:8" x14ac:dyDescent="0.15">
      <c r="A1556" s="21">
        <v>3.035156E-2</v>
      </c>
      <c r="B1556" s="21">
        <f t="shared" si="48"/>
        <v>0.56111679999999997</v>
      </c>
      <c r="D1556">
        <f t="shared" si="49"/>
        <v>224.91009433962262</v>
      </c>
      <c r="G1556" s="21">
        <v>-0.71521409999999996</v>
      </c>
      <c r="H1556" s="21">
        <v>0.56111679999999997</v>
      </c>
    </row>
    <row r="1557" spans="1:8" x14ac:dyDescent="0.15">
      <c r="A1557" s="21">
        <v>3.037109E-2</v>
      </c>
      <c r="B1557" s="21">
        <f t="shared" si="48"/>
        <v>0.63669750000000003</v>
      </c>
      <c r="D1557">
        <f t="shared" si="49"/>
        <v>255.43188679245284</v>
      </c>
      <c r="G1557" s="21">
        <v>-0.81227340000000003</v>
      </c>
      <c r="H1557" s="21">
        <v>0.63669750000000003</v>
      </c>
    </row>
    <row r="1558" spans="1:8" x14ac:dyDescent="0.15">
      <c r="A1558" s="21">
        <v>3.0390629999999998E-2</v>
      </c>
      <c r="B1558" s="21">
        <f t="shared" si="48"/>
        <v>0.69129229999999997</v>
      </c>
      <c r="D1558">
        <f t="shared" si="49"/>
        <v>277.59764150943397</v>
      </c>
      <c r="G1558" s="21">
        <v>-0.88276049999999995</v>
      </c>
      <c r="H1558" s="21">
        <v>0.69129229999999997</v>
      </c>
    </row>
    <row r="1559" spans="1:8" x14ac:dyDescent="0.15">
      <c r="A1559" s="21">
        <v>3.0410159999999999E-2</v>
      </c>
      <c r="B1559" s="21">
        <f t="shared" si="48"/>
        <v>0.72388680000000005</v>
      </c>
      <c r="D1559">
        <f t="shared" si="49"/>
        <v>290.87106918238987</v>
      </c>
      <c r="G1559" s="21">
        <v>-0.92496999999999996</v>
      </c>
      <c r="H1559" s="21">
        <v>0.72388680000000005</v>
      </c>
    </row>
    <row r="1560" spans="1:8" x14ac:dyDescent="0.15">
      <c r="A1560" s="21">
        <v>3.0429689999999999E-2</v>
      </c>
      <c r="B1560" s="21">
        <f t="shared" si="48"/>
        <v>0.73397239999999997</v>
      </c>
      <c r="D1560">
        <f t="shared" si="49"/>
        <v>295.05487421383646</v>
      </c>
      <c r="G1560" s="21">
        <v>-0.93827450000000001</v>
      </c>
      <c r="H1560" s="21">
        <v>0.73397239999999997</v>
      </c>
    </row>
    <row r="1561" spans="1:8" x14ac:dyDescent="0.15">
      <c r="A1561" s="21">
        <v>3.0449219999999999E-2</v>
      </c>
      <c r="B1561" s="21">
        <f t="shared" si="48"/>
        <v>0.71800699999999995</v>
      </c>
      <c r="D1561">
        <f t="shared" si="49"/>
        <v>288.60981132075472</v>
      </c>
      <c r="G1561" s="21">
        <v>-0.91777920000000002</v>
      </c>
      <c r="H1561" s="21">
        <v>0.71800699999999995</v>
      </c>
    </row>
    <row r="1562" spans="1:8" x14ac:dyDescent="0.15">
      <c r="A1562" s="21">
        <v>3.0468749999999999E-2</v>
      </c>
      <c r="B1562" s="21">
        <f t="shared" si="48"/>
        <v>0.67663340000000005</v>
      </c>
      <c r="D1562">
        <f t="shared" si="49"/>
        <v>272.04050314465405</v>
      </c>
      <c r="G1562" s="21">
        <v>-0.86508879999999999</v>
      </c>
      <c r="H1562" s="21">
        <v>0.67663340000000005</v>
      </c>
    </row>
    <row r="1563" spans="1:8" x14ac:dyDescent="0.15">
      <c r="A1563" s="21">
        <v>3.048828E-2</v>
      </c>
      <c r="B1563" s="21">
        <f t="shared" si="48"/>
        <v>0.61255389999999998</v>
      </c>
      <c r="D1563">
        <f t="shared" si="49"/>
        <v>246.42477987421378</v>
      </c>
      <c r="G1563" s="21">
        <v>-0.78363079999999996</v>
      </c>
      <c r="H1563" s="21">
        <v>0.61255389999999998</v>
      </c>
    </row>
    <row r="1564" spans="1:8" x14ac:dyDescent="0.15">
      <c r="A1564" s="21">
        <v>3.050781E-2</v>
      </c>
      <c r="B1564" s="21">
        <f t="shared" si="48"/>
        <v>0.52749369999999995</v>
      </c>
      <c r="D1564">
        <f t="shared" si="49"/>
        <v>212.16248427672954</v>
      </c>
      <c r="G1564" s="21">
        <v>-0.67467670000000002</v>
      </c>
      <c r="H1564" s="21">
        <v>0.52749369999999995</v>
      </c>
    </row>
    <row r="1565" spans="1:8" x14ac:dyDescent="0.15">
      <c r="A1565" s="21">
        <v>3.052734E-2</v>
      </c>
      <c r="B1565" s="21">
        <f t="shared" si="48"/>
        <v>0.42622179999999998</v>
      </c>
      <c r="D1565">
        <f t="shared" si="49"/>
        <v>171.5011320754717</v>
      </c>
      <c r="G1565" s="21">
        <v>-0.54537360000000001</v>
      </c>
      <c r="H1565" s="21">
        <v>0.42622179999999998</v>
      </c>
    </row>
    <row r="1566" spans="1:8" x14ac:dyDescent="0.15">
      <c r="A1566" s="21">
        <v>3.0546879999999998E-2</v>
      </c>
      <c r="B1566" s="21">
        <f t="shared" si="48"/>
        <v>0.30984240000000002</v>
      </c>
      <c r="D1566">
        <f t="shared" si="49"/>
        <v>124.69556603773584</v>
      </c>
      <c r="G1566" s="21">
        <v>-0.39653189999999999</v>
      </c>
      <c r="H1566" s="21">
        <v>0.30984240000000002</v>
      </c>
    </row>
    <row r="1567" spans="1:8" x14ac:dyDescent="0.15">
      <c r="A1567" s="21">
        <v>3.0566409999999999E-2</v>
      </c>
      <c r="B1567" s="21">
        <f t="shared" si="48"/>
        <v>0.17986350000000001</v>
      </c>
      <c r="D1567">
        <f t="shared" si="49"/>
        <v>72.510251572327036</v>
      </c>
      <c r="G1567" s="21">
        <v>-0.2305826</v>
      </c>
      <c r="H1567" s="21">
        <v>0.17986350000000001</v>
      </c>
    </row>
    <row r="1568" spans="1:8" x14ac:dyDescent="0.15">
      <c r="A1568" s="21">
        <v>3.0585939999999999E-2</v>
      </c>
      <c r="B1568" s="21">
        <f t="shared" si="48"/>
        <v>4.4467079999999999E-2</v>
      </c>
      <c r="D1568">
        <f t="shared" si="49"/>
        <v>18.564018867924528</v>
      </c>
      <c r="G1568" s="21">
        <v>-5.9033580000000002E-2</v>
      </c>
      <c r="H1568" s="21">
        <v>4.4467079999999999E-2</v>
      </c>
    </row>
    <row r="1569" spans="1:8" x14ac:dyDescent="0.15">
      <c r="A1569" s="21">
        <v>3.0605469999999999E-2</v>
      </c>
      <c r="B1569" s="21">
        <f t="shared" si="48"/>
        <v>-9.1450100000000006E-2</v>
      </c>
      <c r="D1569">
        <f t="shared" si="49"/>
        <v>-35.769622641509429</v>
      </c>
      <c r="G1569" s="21">
        <v>0.1137474</v>
      </c>
      <c r="H1569" s="21">
        <v>-9.1450100000000006E-2</v>
      </c>
    </row>
    <row r="1570" spans="1:8" x14ac:dyDescent="0.15">
      <c r="A1570" s="21">
        <v>3.0624999999999999E-2</v>
      </c>
      <c r="B1570" s="21">
        <f t="shared" si="48"/>
        <v>-0.22318660000000001</v>
      </c>
      <c r="D1570">
        <f t="shared" si="49"/>
        <v>-88.478930817610063</v>
      </c>
      <c r="G1570" s="21">
        <v>0.28136299999999997</v>
      </c>
      <c r="H1570" s="21">
        <v>-0.22318660000000001</v>
      </c>
    </row>
    <row r="1571" spans="1:8" x14ac:dyDescent="0.15">
      <c r="A1571" s="21">
        <v>3.064453E-2</v>
      </c>
      <c r="B1571" s="21">
        <f t="shared" si="48"/>
        <v>-0.3449219</v>
      </c>
      <c r="D1571">
        <f t="shared" si="49"/>
        <v>-137.18773584905659</v>
      </c>
      <c r="G1571" s="21">
        <v>0.43625700000000001</v>
      </c>
      <c r="H1571" s="21">
        <v>-0.3449219</v>
      </c>
    </row>
    <row r="1572" spans="1:8" x14ac:dyDescent="0.15">
      <c r="A1572" s="21">
        <v>3.066406E-2</v>
      </c>
      <c r="B1572" s="21">
        <f t="shared" si="48"/>
        <v>-0.45647799999999999</v>
      </c>
      <c r="D1572">
        <f t="shared" si="49"/>
        <v>-181.98213836477984</v>
      </c>
      <c r="G1572" s="21">
        <v>0.57870319999999997</v>
      </c>
      <c r="H1572" s="21">
        <v>-0.45647799999999999</v>
      </c>
    </row>
    <row r="1573" spans="1:8" x14ac:dyDescent="0.15">
      <c r="A1573" s="21">
        <v>3.068359E-2</v>
      </c>
      <c r="B1573" s="21">
        <f t="shared" si="48"/>
        <v>-0.55425440000000004</v>
      </c>
      <c r="D1573">
        <f t="shared" si="49"/>
        <v>-221.02707547169811</v>
      </c>
      <c r="G1573" s="21">
        <v>0.70286610000000005</v>
      </c>
      <c r="H1573" s="21">
        <v>-0.55425440000000004</v>
      </c>
    </row>
    <row r="1574" spans="1:8" x14ac:dyDescent="0.15">
      <c r="A1574" s="21">
        <v>3.0703129999999999E-2</v>
      </c>
      <c r="B1574" s="21">
        <f t="shared" si="48"/>
        <v>-0.63252430000000004</v>
      </c>
      <c r="D1574">
        <f t="shared" si="49"/>
        <v>-252.33685534591194</v>
      </c>
      <c r="G1574" s="21">
        <v>0.80243120000000001</v>
      </c>
      <c r="H1574" s="21">
        <v>-0.63252430000000004</v>
      </c>
    </row>
    <row r="1575" spans="1:8" x14ac:dyDescent="0.15">
      <c r="A1575" s="21">
        <v>3.0722659999999999E-2</v>
      </c>
      <c r="B1575" s="21">
        <f t="shared" si="48"/>
        <v>-0.69003669999999995</v>
      </c>
      <c r="D1575">
        <f t="shared" si="49"/>
        <v>-275.57874213836476</v>
      </c>
      <c r="G1575" s="21">
        <v>0.87634040000000002</v>
      </c>
      <c r="H1575" s="21">
        <v>-0.69003669999999995</v>
      </c>
    </row>
    <row r="1576" spans="1:8" x14ac:dyDescent="0.15">
      <c r="A1576" s="21">
        <v>3.0742189999999999E-2</v>
      </c>
      <c r="B1576" s="21">
        <f t="shared" si="48"/>
        <v>-0.72420709999999999</v>
      </c>
      <c r="D1576">
        <f t="shared" si="49"/>
        <v>-289.45575471698112</v>
      </c>
      <c r="G1576" s="21">
        <v>0.92046930000000005</v>
      </c>
      <c r="H1576" s="21">
        <v>-0.72420709999999999</v>
      </c>
    </row>
    <row r="1577" spans="1:8" x14ac:dyDescent="0.15">
      <c r="A1577" s="21">
        <v>3.0761719999999999E-2</v>
      </c>
      <c r="B1577" s="21">
        <f t="shared" si="48"/>
        <v>-0.73398189999999996</v>
      </c>
      <c r="D1577">
        <f t="shared" si="49"/>
        <v>-293.55053459119495</v>
      </c>
      <c r="G1577" s="21">
        <v>0.93349070000000001</v>
      </c>
      <c r="H1577" s="21">
        <v>-0.73398189999999996</v>
      </c>
    </row>
    <row r="1578" spans="1:8" x14ac:dyDescent="0.15">
      <c r="A1578" s="21">
        <v>3.078125E-2</v>
      </c>
      <c r="B1578" s="21">
        <f t="shared" si="48"/>
        <v>-0.71977170000000001</v>
      </c>
      <c r="D1578">
        <f t="shared" si="49"/>
        <v>-287.97874213836479</v>
      </c>
      <c r="G1578" s="21">
        <v>0.91577240000000004</v>
      </c>
      <c r="H1578" s="21">
        <v>-0.71977170000000001</v>
      </c>
    </row>
    <row r="1579" spans="1:8" x14ac:dyDescent="0.15">
      <c r="A1579" s="21">
        <v>3.080078E-2</v>
      </c>
      <c r="B1579" s="21">
        <f t="shared" si="48"/>
        <v>-0.68064720000000001</v>
      </c>
      <c r="D1579">
        <f t="shared" si="49"/>
        <v>-272.54022012578616</v>
      </c>
      <c r="G1579" s="21">
        <v>0.8666779</v>
      </c>
      <c r="H1579" s="21">
        <v>-0.68064720000000001</v>
      </c>
    </row>
    <row r="1580" spans="1:8" x14ac:dyDescent="0.15">
      <c r="A1580" s="21">
        <v>3.082031E-2</v>
      </c>
      <c r="B1580" s="21">
        <f t="shared" si="48"/>
        <v>-0.61868590000000001</v>
      </c>
      <c r="D1580">
        <f t="shared" si="49"/>
        <v>-248.04245283018867</v>
      </c>
      <c r="G1580" s="21">
        <v>0.788775</v>
      </c>
      <c r="H1580" s="21">
        <v>-0.61868590000000001</v>
      </c>
    </row>
    <row r="1581" spans="1:8" x14ac:dyDescent="0.15">
      <c r="A1581" s="21">
        <v>3.083984E-2</v>
      </c>
      <c r="B1581" s="21">
        <f t="shared" si="48"/>
        <v>-0.53564909999999999</v>
      </c>
      <c r="D1581">
        <f t="shared" si="49"/>
        <v>-214.8664465408805</v>
      </c>
      <c r="G1581" s="21">
        <v>0.68327530000000003</v>
      </c>
      <c r="H1581" s="21">
        <v>-0.53564909999999999</v>
      </c>
    </row>
    <row r="1582" spans="1:8" x14ac:dyDescent="0.15">
      <c r="A1582" s="21">
        <v>3.0859379999999999E-2</v>
      </c>
      <c r="B1582" s="21">
        <f t="shared" si="48"/>
        <v>-0.43325580000000002</v>
      </c>
      <c r="D1582">
        <f t="shared" si="49"/>
        <v>-173.90135220125782</v>
      </c>
      <c r="G1582" s="21">
        <v>0.55300629999999995</v>
      </c>
      <c r="H1582" s="21">
        <v>-0.43325580000000002</v>
      </c>
    </row>
    <row r="1583" spans="1:8" x14ac:dyDescent="0.15">
      <c r="A1583" s="21">
        <v>3.0878909999999999E-2</v>
      </c>
      <c r="B1583" s="21">
        <f t="shared" si="48"/>
        <v>-0.31559939999999997</v>
      </c>
      <c r="D1583">
        <f t="shared" si="49"/>
        <v>-126.93594339622642</v>
      </c>
      <c r="G1583" s="21">
        <v>0.40365630000000002</v>
      </c>
      <c r="H1583" s="21">
        <v>-0.31559939999999997</v>
      </c>
    </row>
    <row r="1584" spans="1:8" x14ac:dyDescent="0.15">
      <c r="A1584" s="21">
        <v>3.0898439999999999E-2</v>
      </c>
      <c r="B1584" s="21">
        <f t="shared" si="48"/>
        <v>-0.1865224</v>
      </c>
      <c r="D1584">
        <f t="shared" si="49"/>
        <v>-75.356666666666655</v>
      </c>
      <c r="G1584" s="21">
        <v>0.23963419999999999</v>
      </c>
      <c r="H1584" s="21">
        <v>-0.1865224</v>
      </c>
    </row>
    <row r="1585" spans="1:8" x14ac:dyDescent="0.15">
      <c r="A1585" s="21">
        <v>3.0917969999999999E-2</v>
      </c>
      <c r="B1585" s="21">
        <f t="shared" si="48"/>
        <v>-5.1713259999999997E-2</v>
      </c>
      <c r="D1585">
        <f t="shared" si="49"/>
        <v>-21.425720125786164</v>
      </c>
      <c r="G1585" s="21">
        <v>6.813379E-2</v>
      </c>
      <c r="H1585" s="21">
        <v>-5.1713259999999997E-2</v>
      </c>
    </row>
    <row r="1586" spans="1:8" x14ac:dyDescent="0.15">
      <c r="A1586" s="21">
        <v>3.09375E-2</v>
      </c>
      <c r="B1586" s="21">
        <f t="shared" si="48"/>
        <v>8.3499920000000005E-2</v>
      </c>
      <c r="D1586">
        <f t="shared" si="49"/>
        <v>32.849088050314464</v>
      </c>
      <c r="G1586" s="21">
        <v>-0.1044601</v>
      </c>
      <c r="H1586" s="21">
        <v>8.3499920000000005E-2</v>
      </c>
    </row>
    <row r="1587" spans="1:8" x14ac:dyDescent="0.15">
      <c r="A1587" s="21">
        <v>3.095703E-2</v>
      </c>
      <c r="B1587" s="21">
        <f t="shared" si="48"/>
        <v>0.21552299999999999</v>
      </c>
      <c r="D1587">
        <f t="shared" si="49"/>
        <v>85.864339622641495</v>
      </c>
      <c r="G1587" s="21">
        <v>-0.27304859999999997</v>
      </c>
      <c r="H1587" s="21">
        <v>0.21552299999999999</v>
      </c>
    </row>
    <row r="1588" spans="1:8" x14ac:dyDescent="0.15">
      <c r="A1588" s="21">
        <v>3.097656E-2</v>
      </c>
      <c r="B1588" s="21">
        <f t="shared" si="48"/>
        <v>0.33935270000000001</v>
      </c>
      <c r="D1588">
        <f t="shared" si="49"/>
        <v>135.49864779874213</v>
      </c>
      <c r="G1588" s="21">
        <v>-0.43088569999999998</v>
      </c>
      <c r="H1588" s="21">
        <v>0.33935270000000001</v>
      </c>
    </row>
    <row r="1589" spans="1:8" x14ac:dyDescent="0.15">
      <c r="A1589" s="21">
        <v>3.099609E-2</v>
      </c>
      <c r="B1589" s="21">
        <f t="shared" si="48"/>
        <v>0.4516288</v>
      </c>
      <c r="D1589">
        <f t="shared" si="49"/>
        <v>180.76701257861635</v>
      </c>
      <c r="G1589" s="21">
        <v>-0.57483910000000005</v>
      </c>
      <c r="H1589" s="21">
        <v>0.4516288</v>
      </c>
    </row>
    <row r="1590" spans="1:8" x14ac:dyDescent="0.15">
      <c r="A1590" s="21">
        <v>3.1015629999999999E-2</v>
      </c>
      <c r="B1590" s="21">
        <f t="shared" si="48"/>
        <v>0.54946830000000002</v>
      </c>
      <c r="D1590">
        <f t="shared" si="49"/>
        <v>220.2946855345912</v>
      </c>
      <c r="G1590" s="21">
        <v>-0.70053710000000002</v>
      </c>
      <c r="H1590" s="21">
        <v>0.54946830000000002</v>
      </c>
    </row>
    <row r="1591" spans="1:8" x14ac:dyDescent="0.15">
      <c r="A1591" s="21">
        <v>3.1035159999999999E-2</v>
      </c>
      <c r="B1591" s="21">
        <f t="shared" si="48"/>
        <v>0.62775749999999997</v>
      </c>
      <c r="D1591">
        <f t="shared" si="49"/>
        <v>251.81657232704401</v>
      </c>
      <c r="G1591" s="21">
        <v>-0.80077670000000001</v>
      </c>
      <c r="H1591" s="21">
        <v>0.62775749999999997</v>
      </c>
    </row>
    <row r="1592" spans="1:8" x14ac:dyDescent="0.15">
      <c r="A1592" s="21">
        <v>3.1054689999999999E-2</v>
      </c>
      <c r="B1592" s="21">
        <f t="shared" si="48"/>
        <v>0.68481709999999996</v>
      </c>
      <c r="D1592">
        <f t="shared" si="49"/>
        <v>274.95930817610059</v>
      </c>
      <c r="G1592" s="21">
        <v>-0.8743706</v>
      </c>
      <c r="H1592" s="21">
        <v>0.68481709999999996</v>
      </c>
    </row>
    <row r="1593" spans="1:8" x14ac:dyDescent="0.15">
      <c r="A1593" s="21">
        <v>3.107422E-2</v>
      </c>
      <c r="B1593" s="21">
        <f t="shared" si="48"/>
        <v>0.72106890000000001</v>
      </c>
      <c r="D1593">
        <f t="shared" si="49"/>
        <v>289.76682389937105</v>
      </c>
      <c r="G1593" s="21">
        <v>-0.92145849999999996</v>
      </c>
      <c r="H1593" s="21">
        <v>0.72106890000000001</v>
      </c>
    </row>
    <row r="1594" spans="1:8" x14ac:dyDescent="0.15">
      <c r="A1594" s="21">
        <v>3.109375E-2</v>
      </c>
      <c r="B1594" s="21">
        <f t="shared" si="48"/>
        <v>0.73367669999999996</v>
      </c>
      <c r="D1594">
        <f t="shared" si="49"/>
        <v>294.91383647798739</v>
      </c>
      <c r="G1594" s="21">
        <v>-0.93782600000000005</v>
      </c>
      <c r="H1594" s="21">
        <v>0.73367669999999996</v>
      </c>
    </row>
    <row r="1595" spans="1:8" x14ac:dyDescent="0.15">
      <c r="A1595" s="21">
        <v>3.111328E-2</v>
      </c>
      <c r="B1595" s="21">
        <f t="shared" si="48"/>
        <v>0.72085379999999999</v>
      </c>
      <c r="D1595">
        <f t="shared" si="49"/>
        <v>289.80798742138364</v>
      </c>
      <c r="G1595" s="21">
        <v>-0.9215894</v>
      </c>
      <c r="H1595" s="21">
        <v>0.72085379999999999</v>
      </c>
    </row>
    <row r="1596" spans="1:8" x14ac:dyDescent="0.15">
      <c r="A1596" s="21">
        <v>3.113281E-2</v>
      </c>
      <c r="B1596" s="21">
        <f t="shared" si="48"/>
        <v>0.68312470000000003</v>
      </c>
      <c r="D1596">
        <f t="shared" si="49"/>
        <v>274.71361635220126</v>
      </c>
      <c r="G1596" s="21">
        <v>-0.87358930000000001</v>
      </c>
      <c r="H1596" s="21">
        <v>0.68312470000000003</v>
      </c>
    </row>
    <row r="1597" spans="1:8" x14ac:dyDescent="0.15">
      <c r="A1597" s="21">
        <v>3.1152340000000001E-2</v>
      </c>
      <c r="B1597" s="21">
        <f t="shared" si="48"/>
        <v>0.6216621</v>
      </c>
      <c r="D1597">
        <f t="shared" si="49"/>
        <v>250.04468553459117</v>
      </c>
      <c r="G1597" s="21">
        <v>-0.79514209999999996</v>
      </c>
      <c r="H1597" s="21">
        <v>0.6216621</v>
      </c>
    </row>
    <row r="1598" spans="1:8" x14ac:dyDescent="0.15">
      <c r="A1598" s="21">
        <v>3.1171879999999999E-2</v>
      </c>
      <c r="B1598" s="21">
        <f t="shared" si="48"/>
        <v>0.5399467</v>
      </c>
      <c r="D1598">
        <f t="shared" si="49"/>
        <v>217.19959119496855</v>
      </c>
      <c r="G1598" s="21">
        <v>-0.69069469999999999</v>
      </c>
      <c r="H1598" s="21">
        <v>0.5399467</v>
      </c>
    </row>
    <row r="1599" spans="1:8" x14ac:dyDescent="0.15">
      <c r="A1599" s="21">
        <v>3.1191409999999999E-2</v>
      </c>
      <c r="B1599" s="21">
        <f t="shared" si="48"/>
        <v>0.44066959999999999</v>
      </c>
      <c r="D1599">
        <f t="shared" si="49"/>
        <v>177.30761006289305</v>
      </c>
      <c r="G1599" s="21">
        <v>-0.56383819999999996</v>
      </c>
      <c r="H1599" s="21">
        <v>0.44066959999999999</v>
      </c>
    </row>
    <row r="1600" spans="1:8" x14ac:dyDescent="0.15">
      <c r="A1600" s="21">
        <v>3.121094E-2</v>
      </c>
      <c r="B1600" s="21">
        <f t="shared" si="48"/>
        <v>0.3252369</v>
      </c>
      <c r="D1600">
        <f t="shared" si="49"/>
        <v>130.9340251572327</v>
      </c>
      <c r="G1600" s="21">
        <v>-0.41637020000000002</v>
      </c>
      <c r="H1600" s="21">
        <v>0.3252369</v>
      </c>
    </row>
    <row r="1601" spans="1:8" x14ac:dyDescent="0.15">
      <c r="A1601" s="21">
        <v>3.123047E-2</v>
      </c>
      <c r="B1601" s="21">
        <f t="shared" si="48"/>
        <v>0.1973298</v>
      </c>
      <c r="D1601">
        <f t="shared" si="49"/>
        <v>79.645471698113212</v>
      </c>
      <c r="G1601" s="21">
        <v>-0.25327260000000001</v>
      </c>
      <c r="H1601" s="21">
        <v>0.1973298</v>
      </c>
    </row>
    <row r="1602" spans="1:8" x14ac:dyDescent="0.15">
      <c r="A1602" s="21">
        <v>3.125E-2</v>
      </c>
      <c r="B1602" s="21">
        <f t="shared" ref="B1602:B1665" si="50">H1602</f>
        <v>6.2086139999999998E-2</v>
      </c>
      <c r="D1602">
        <f t="shared" ref="D1602:D1665" si="51">G1602*-1000/3.18</f>
        <v>25.599817610062889</v>
      </c>
      <c r="G1602" s="21">
        <v>-8.1407419999999994E-2</v>
      </c>
      <c r="H1602" s="21">
        <v>6.2086139999999998E-2</v>
      </c>
    </row>
    <row r="1603" spans="1:8" x14ac:dyDescent="0.15">
      <c r="A1603" s="21">
        <v>3.1269529999999997E-2</v>
      </c>
      <c r="B1603" s="21">
        <f t="shared" si="50"/>
        <v>-7.4243249999999997E-2</v>
      </c>
      <c r="D1603">
        <f t="shared" si="51"/>
        <v>-28.828666666666667</v>
      </c>
      <c r="G1603" s="21">
        <v>9.1675160000000006E-2</v>
      </c>
      <c r="H1603" s="21">
        <v>-7.4243249999999997E-2</v>
      </c>
    </row>
    <row r="1604" spans="1:8" x14ac:dyDescent="0.15">
      <c r="A1604" s="21">
        <v>3.128906E-2</v>
      </c>
      <c r="B1604" s="21">
        <f t="shared" si="50"/>
        <v>-0.20578949999999999</v>
      </c>
      <c r="D1604">
        <f t="shared" si="51"/>
        <v>-81.41704402515721</v>
      </c>
      <c r="G1604" s="21">
        <v>0.25890619999999998</v>
      </c>
      <c r="H1604" s="21">
        <v>-0.20578949999999999</v>
      </c>
    </row>
    <row r="1605" spans="1:8" x14ac:dyDescent="0.15">
      <c r="A1605" s="21">
        <v>3.1308589999999997E-2</v>
      </c>
      <c r="B1605" s="21">
        <f t="shared" si="50"/>
        <v>-0.32951409999999998</v>
      </c>
      <c r="D1605">
        <f t="shared" si="51"/>
        <v>-131.0025786163522</v>
      </c>
      <c r="G1605" s="21">
        <v>0.41658820000000002</v>
      </c>
      <c r="H1605" s="21">
        <v>-0.32951409999999998</v>
      </c>
    </row>
    <row r="1606" spans="1:8" x14ac:dyDescent="0.15">
      <c r="A1606" s="21">
        <v>3.1328120000000001E-2</v>
      </c>
      <c r="B1606" s="21">
        <f t="shared" si="50"/>
        <v>-0.4427912</v>
      </c>
      <c r="D1606">
        <f t="shared" si="51"/>
        <v>-176.39757861635221</v>
      </c>
      <c r="G1606" s="21">
        <v>0.56094429999999995</v>
      </c>
      <c r="H1606" s="21">
        <v>-0.4427912</v>
      </c>
    </row>
    <row r="1607" spans="1:8" x14ac:dyDescent="0.15">
      <c r="A1607" s="21">
        <v>3.1347659999999999E-2</v>
      </c>
      <c r="B1607" s="21">
        <f t="shared" si="50"/>
        <v>-0.5422515</v>
      </c>
      <c r="D1607">
        <f t="shared" si="51"/>
        <v>-216.12990566037735</v>
      </c>
      <c r="G1607" s="21">
        <v>0.68729309999999999</v>
      </c>
      <c r="H1607" s="21">
        <v>-0.5422515</v>
      </c>
    </row>
    <row r="1608" spans="1:8" x14ac:dyDescent="0.15">
      <c r="A1608" s="21">
        <v>3.1367190000000003E-2</v>
      </c>
      <c r="B1608" s="21">
        <f t="shared" si="50"/>
        <v>-0.62406569999999995</v>
      </c>
      <c r="D1608">
        <f t="shared" si="51"/>
        <v>-248.89477987421384</v>
      </c>
      <c r="G1608" s="21">
        <v>0.79148540000000001</v>
      </c>
      <c r="H1608" s="21">
        <v>-0.62406569999999995</v>
      </c>
    </row>
    <row r="1609" spans="1:8" x14ac:dyDescent="0.15">
      <c r="A1609" s="21">
        <v>3.138672E-2</v>
      </c>
      <c r="B1609" s="21">
        <f t="shared" si="50"/>
        <v>-0.68396760000000001</v>
      </c>
      <c r="D1609">
        <f t="shared" si="51"/>
        <v>-273.0024528301887</v>
      </c>
      <c r="G1609" s="21">
        <v>0.86814780000000003</v>
      </c>
      <c r="H1609" s="21">
        <v>-0.68396760000000001</v>
      </c>
    </row>
    <row r="1610" spans="1:8" x14ac:dyDescent="0.15">
      <c r="A1610" s="21">
        <v>3.1406249999999997E-2</v>
      </c>
      <c r="B1610" s="21">
        <f t="shared" si="50"/>
        <v>-0.72071810000000003</v>
      </c>
      <c r="D1610">
        <f t="shared" si="51"/>
        <v>-287.94496855345909</v>
      </c>
      <c r="G1610" s="21">
        <v>0.91566499999999995</v>
      </c>
      <c r="H1610" s="21">
        <v>-0.72071810000000003</v>
      </c>
    </row>
    <row r="1611" spans="1:8" x14ac:dyDescent="0.15">
      <c r="A1611" s="21">
        <v>3.142578E-2</v>
      </c>
      <c r="B1611" s="21">
        <f t="shared" si="50"/>
        <v>-0.73441920000000005</v>
      </c>
      <c r="D1611">
        <f t="shared" si="51"/>
        <v>-293.66946540880502</v>
      </c>
      <c r="G1611" s="21">
        <v>0.9338689</v>
      </c>
      <c r="H1611" s="21">
        <v>-0.73441920000000005</v>
      </c>
    </row>
    <row r="1612" spans="1:8" x14ac:dyDescent="0.15">
      <c r="A1612" s="21">
        <v>3.1445309999999997E-2</v>
      </c>
      <c r="B1612" s="21">
        <f t="shared" si="50"/>
        <v>-0.72306870000000001</v>
      </c>
      <c r="D1612">
        <f t="shared" si="51"/>
        <v>-289.20163522012575</v>
      </c>
      <c r="G1612" s="21">
        <v>0.91966119999999996</v>
      </c>
      <c r="H1612" s="21">
        <v>-0.72306870000000001</v>
      </c>
    </row>
    <row r="1613" spans="1:8" x14ac:dyDescent="0.15">
      <c r="A1613" s="21">
        <v>3.1464840000000001E-2</v>
      </c>
      <c r="B1613" s="21">
        <f t="shared" si="50"/>
        <v>-0.68730760000000002</v>
      </c>
      <c r="D1613">
        <f t="shared" si="51"/>
        <v>-275.14713836477983</v>
      </c>
      <c r="G1613" s="21">
        <v>0.87496790000000002</v>
      </c>
      <c r="H1613" s="21">
        <v>-0.68730760000000002</v>
      </c>
    </row>
    <row r="1614" spans="1:8" x14ac:dyDescent="0.15">
      <c r="A1614" s="21">
        <v>3.1484379999999999E-2</v>
      </c>
      <c r="B1614" s="21">
        <f t="shared" si="50"/>
        <v>-0.62863219999999997</v>
      </c>
      <c r="D1614">
        <f t="shared" si="51"/>
        <v>-251.97176100628931</v>
      </c>
      <c r="G1614" s="21">
        <v>0.80127020000000004</v>
      </c>
      <c r="H1614" s="21">
        <v>-0.62863219999999997</v>
      </c>
    </row>
    <row r="1615" spans="1:8" x14ac:dyDescent="0.15">
      <c r="A1615" s="21">
        <v>3.1503910000000003E-2</v>
      </c>
      <c r="B1615" s="21">
        <f t="shared" si="50"/>
        <v>-0.54759650000000004</v>
      </c>
      <c r="D1615">
        <f t="shared" si="51"/>
        <v>-219.61154088050313</v>
      </c>
      <c r="G1615" s="21">
        <v>0.69836469999999995</v>
      </c>
      <c r="H1615" s="21">
        <v>-0.54759650000000004</v>
      </c>
    </row>
    <row r="1616" spans="1:8" x14ac:dyDescent="0.15">
      <c r="A1616" s="21">
        <v>3.152344E-2</v>
      </c>
      <c r="B1616" s="21">
        <f t="shared" si="50"/>
        <v>-0.44784620000000003</v>
      </c>
      <c r="D1616">
        <f t="shared" si="51"/>
        <v>-179.72990566037737</v>
      </c>
      <c r="G1616" s="21">
        <v>0.57154110000000002</v>
      </c>
      <c r="H1616" s="21">
        <v>-0.44784620000000003</v>
      </c>
    </row>
    <row r="1617" spans="1:8" x14ac:dyDescent="0.15">
      <c r="A1617" s="21">
        <v>3.1542969999999997E-2</v>
      </c>
      <c r="B1617" s="21">
        <f t="shared" si="50"/>
        <v>-0.33183980000000002</v>
      </c>
      <c r="D1617">
        <f t="shared" si="51"/>
        <v>-133.36713836477986</v>
      </c>
      <c r="G1617" s="21">
        <v>0.42410750000000003</v>
      </c>
      <c r="H1617" s="21">
        <v>-0.33183980000000002</v>
      </c>
    </row>
    <row r="1618" spans="1:8" x14ac:dyDescent="0.15">
      <c r="A1618" s="21">
        <v>3.15625E-2</v>
      </c>
      <c r="B1618" s="21">
        <f t="shared" si="50"/>
        <v>-0.20364479999999999</v>
      </c>
      <c r="D1618">
        <f t="shared" si="51"/>
        <v>-82.244245283018856</v>
      </c>
      <c r="G1618" s="21">
        <v>0.26153670000000001</v>
      </c>
      <c r="H1618" s="21">
        <v>-0.20364479999999999</v>
      </c>
    </row>
    <row r="1619" spans="1:8" x14ac:dyDescent="0.15">
      <c r="A1619" s="21">
        <v>3.1582029999999997E-2</v>
      </c>
      <c r="B1619" s="21">
        <f t="shared" si="50"/>
        <v>-7.0119059999999997E-2</v>
      </c>
      <c r="D1619">
        <f t="shared" si="51"/>
        <v>-28.799440251572328</v>
      </c>
      <c r="G1619" s="21">
        <v>9.1582220000000006E-2</v>
      </c>
      <c r="H1619" s="21">
        <v>-7.0119059999999997E-2</v>
      </c>
    </row>
    <row r="1620" spans="1:8" x14ac:dyDescent="0.15">
      <c r="A1620" s="21">
        <v>3.1601560000000001E-2</v>
      </c>
      <c r="B1620" s="21">
        <f t="shared" si="50"/>
        <v>6.5646889999999999E-2</v>
      </c>
      <c r="D1620">
        <f t="shared" si="51"/>
        <v>25.774509433962265</v>
      </c>
      <c r="G1620" s="21">
        <v>-8.1962939999999998E-2</v>
      </c>
      <c r="H1620" s="21">
        <v>6.5646889999999999E-2</v>
      </c>
    </row>
    <row r="1621" spans="1:8" x14ac:dyDescent="0.15">
      <c r="A1621" s="21">
        <v>3.1621089999999998E-2</v>
      </c>
      <c r="B1621" s="21">
        <f t="shared" si="50"/>
        <v>0.1986386</v>
      </c>
      <c r="D1621">
        <f t="shared" si="51"/>
        <v>79.052641509433954</v>
      </c>
      <c r="G1621" s="21">
        <v>-0.25138739999999998</v>
      </c>
      <c r="H1621" s="21">
        <v>0.1986386</v>
      </c>
    </row>
    <row r="1622" spans="1:8" x14ac:dyDescent="0.15">
      <c r="A1622" s="21">
        <v>3.1640620000000001E-2</v>
      </c>
      <c r="B1622" s="21">
        <f t="shared" si="50"/>
        <v>0.32347680000000001</v>
      </c>
      <c r="D1622">
        <f t="shared" si="51"/>
        <v>129.12776729559749</v>
      </c>
      <c r="G1622" s="21">
        <v>-0.4106263</v>
      </c>
      <c r="H1622" s="21">
        <v>0.32347680000000001</v>
      </c>
    </row>
    <row r="1623" spans="1:8" x14ac:dyDescent="0.15">
      <c r="A1623" s="21">
        <v>3.166016E-2</v>
      </c>
      <c r="B1623" s="21">
        <f t="shared" si="50"/>
        <v>0.43793490000000002</v>
      </c>
      <c r="D1623">
        <f t="shared" si="51"/>
        <v>175.23594339622639</v>
      </c>
      <c r="G1623" s="21">
        <v>-0.55725029999999998</v>
      </c>
      <c r="H1623" s="21">
        <v>0.43793490000000002</v>
      </c>
    </row>
    <row r="1624" spans="1:8" x14ac:dyDescent="0.15">
      <c r="A1624" s="21">
        <v>3.1679690000000003E-2</v>
      </c>
      <c r="B1624" s="21">
        <f t="shared" si="50"/>
        <v>0.53736340000000005</v>
      </c>
      <c r="D1624">
        <f t="shared" si="51"/>
        <v>215.3664150943396</v>
      </c>
      <c r="G1624" s="21">
        <v>-0.68486519999999995</v>
      </c>
      <c r="H1624" s="21">
        <v>0.53736340000000005</v>
      </c>
    </row>
    <row r="1625" spans="1:8" x14ac:dyDescent="0.15">
      <c r="A1625" s="21">
        <v>3.169922E-2</v>
      </c>
      <c r="B1625" s="21">
        <f t="shared" si="50"/>
        <v>0.61826910000000002</v>
      </c>
      <c r="D1625">
        <f t="shared" si="51"/>
        <v>248.07496855345909</v>
      </c>
      <c r="G1625" s="21">
        <v>-0.78887839999999998</v>
      </c>
      <c r="H1625" s="21">
        <v>0.61826910000000002</v>
      </c>
    </row>
    <row r="1626" spans="1:8" x14ac:dyDescent="0.15">
      <c r="A1626" s="21">
        <v>3.1718749999999997E-2</v>
      </c>
      <c r="B1626" s="21">
        <f t="shared" si="50"/>
        <v>0.67894390000000004</v>
      </c>
      <c r="D1626">
        <f t="shared" si="51"/>
        <v>272.61962264150941</v>
      </c>
      <c r="G1626" s="21">
        <v>-0.86693039999999999</v>
      </c>
      <c r="H1626" s="21">
        <v>0.67894390000000004</v>
      </c>
    </row>
    <row r="1627" spans="1:8" x14ac:dyDescent="0.15">
      <c r="A1627" s="21">
        <v>3.1738280000000001E-2</v>
      </c>
      <c r="B1627" s="21">
        <f t="shared" si="50"/>
        <v>0.71756229999999999</v>
      </c>
      <c r="D1627">
        <f t="shared" si="51"/>
        <v>288.32981132075469</v>
      </c>
      <c r="G1627" s="21">
        <v>-0.91688879999999995</v>
      </c>
      <c r="H1627" s="21">
        <v>0.71756229999999999</v>
      </c>
    </row>
    <row r="1628" spans="1:8" x14ac:dyDescent="0.15">
      <c r="A1628" s="21">
        <v>3.1757809999999997E-2</v>
      </c>
      <c r="B1628" s="21">
        <f t="shared" si="50"/>
        <v>0.73357340000000004</v>
      </c>
      <c r="D1628">
        <f t="shared" si="51"/>
        <v>294.95603773584907</v>
      </c>
      <c r="G1628" s="21">
        <v>-0.93796020000000002</v>
      </c>
      <c r="H1628" s="21">
        <v>0.73357340000000004</v>
      </c>
    </row>
    <row r="1629" spans="1:8" x14ac:dyDescent="0.15">
      <c r="A1629" s="21">
        <v>3.1777340000000001E-2</v>
      </c>
      <c r="B1629" s="21">
        <f t="shared" si="50"/>
        <v>0.72428380000000003</v>
      </c>
      <c r="D1629">
        <f t="shared" si="51"/>
        <v>291.24789308176099</v>
      </c>
      <c r="G1629" s="21">
        <v>-0.92616830000000006</v>
      </c>
      <c r="H1629" s="21">
        <v>0.72428380000000003</v>
      </c>
    </row>
    <row r="1630" spans="1:8" x14ac:dyDescent="0.15">
      <c r="A1630" s="21">
        <v>3.179688E-2</v>
      </c>
      <c r="B1630" s="21">
        <f t="shared" si="50"/>
        <v>0.68904670000000001</v>
      </c>
      <c r="D1630">
        <f t="shared" si="51"/>
        <v>277.0864465408805</v>
      </c>
      <c r="G1630" s="21">
        <v>-0.88113490000000005</v>
      </c>
      <c r="H1630" s="21">
        <v>0.68904670000000001</v>
      </c>
    </row>
    <row r="1631" spans="1:8" x14ac:dyDescent="0.15">
      <c r="A1631" s="21">
        <v>3.1816410000000003E-2</v>
      </c>
      <c r="B1631" s="21">
        <f t="shared" si="50"/>
        <v>0.63124309999999995</v>
      </c>
      <c r="D1631">
        <f t="shared" si="51"/>
        <v>253.96503144654085</v>
      </c>
      <c r="G1631" s="21">
        <v>-0.80760880000000002</v>
      </c>
      <c r="H1631" s="21">
        <v>0.63124309999999995</v>
      </c>
    </row>
    <row r="1632" spans="1:8" x14ac:dyDescent="0.15">
      <c r="A1632" s="21">
        <v>3.183594E-2</v>
      </c>
      <c r="B1632" s="21">
        <f t="shared" si="50"/>
        <v>0.55198179999999997</v>
      </c>
      <c r="D1632">
        <f t="shared" si="51"/>
        <v>222.06720125786165</v>
      </c>
      <c r="G1632" s="21">
        <v>-0.70617370000000002</v>
      </c>
      <c r="H1632" s="21">
        <v>0.55198179999999997</v>
      </c>
    </row>
    <row r="1633" spans="1:8" x14ac:dyDescent="0.15">
      <c r="A1633" s="21">
        <v>3.1855469999999997E-2</v>
      </c>
      <c r="B1633" s="21">
        <f t="shared" si="50"/>
        <v>0.45438390000000001</v>
      </c>
      <c r="D1633">
        <f t="shared" si="51"/>
        <v>182.80003144654086</v>
      </c>
      <c r="G1633" s="21">
        <v>-0.58130409999999999</v>
      </c>
      <c r="H1633" s="21">
        <v>0.45438390000000001</v>
      </c>
    </row>
    <row r="1634" spans="1:8" x14ac:dyDescent="0.15">
      <c r="A1634" s="21">
        <v>3.1875000000000001E-2</v>
      </c>
      <c r="B1634" s="21">
        <f t="shared" si="50"/>
        <v>0.34207670000000001</v>
      </c>
      <c r="D1634">
        <f t="shared" si="51"/>
        <v>137.74213836477989</v>
      </c>
      <c r="G1634" s="21">
        <v>-0.43802000000000002</v>
      </c>
      <c r="H1634" s="21">
        <v>0.34207670000000001</v>
      </c>
    </row>
    <row r="1635" spans="1:8" x14ac:dyDescent="0.15">
      <c r="A1635" s="21">
        <v>3.1894529999999997E-2</v>
      </c>
      <c r="B1635" s="21">
        <f t="shared" si="50"/>
        <v>0.21530450000000001</v>
      </c>
      <c r="D1635">
        <f t="shared" si="51"/>
        <v>86.85</v>
      </c>
      <c r="G1635" s="21">
        <v>-0.27618300000000001</v>
      </c>
      <c r="H1635" s="21">
        <v>0.21530450000000001</v>
      </c>
    </row>
    <row r="1636" spans="1:8" x14ac:dyDescent="0.15">
      <c r="A1636" s="21">
        <v>3.1914060000000001E-2</v>
      </c>
      <c r="B1636" s="21">
        <f t="shared" si="50"/>
        <v>7.9956340000000001E-2</v>
      </c>
      <c r="D1636">
        <f t="shared" si="51"/>
        <v>32.727389937106913</v>
      </c>
      <c r="G1636" s="21">
        <v>-0.1040731</v>
      </c>
      <c r="H1636" s="21">
        <v>7.9956340000000001E-2</v>
      </c>
    </row>
    <row r="1637" spans="1:8" x14ac:dyDescent="0.15">
      <c r="A1637" s="21">
        <v>3.1933589999999998E-2</v>
      </c>
      <c r="B1637" s="21">
        <f t="shared" si="50"/>
        <v>-5.6395349999999997E-2</v>
      </c>
      <c r="D1637">
        <f t="shared" si="51"/>
        <v>-21.668408805031447</v>
      </c>
      <c r="G1637" s="21">
        <v>6.8905540000000001E-2</v>
      </c>
      <c r="H1637" s="21">
        <v>-5.6395349999999997E-2</v>
      </c>
    </row>
    <row r="1638" spans="1:8" x14ac:dyDescent="0.15">
      <c r="A1638" s="21">
        <v>3.1953120000000002E-2</v>
      </c>
      <c r="B1638" s="21">
        <f t="shared" si="50"/>
        <v>-0.18944420000000001</v>
      </c>
      <c r="D1638">
        <f t="shared" si="51"/>
        <v>-74.838993710691824</v>
      </c>
      <c r="G1638" s="21">
        <v>0.23798800000000001</v>
      </c>
      <c r="H1638" s="21">
        <v>-0.18944420000000001</v>
      </c>
    </row>
    <row r="1639" spans="1:8" x14ac:dyDescent="0.15">
      <c r="A1639" s="21">
        <v>3.197266E-2</v>
      </c>
      <c r="B1639" s="21">
        <f t="shared" si="50"/>
        <v>-0.31374089999999999</v>
      </c>
      <c r="D1639">
        <f t="shared" si="51"/>
        <v>-124.60119496855346</v>
      </c>
      <c r="G1639" s="21">
        <v>0.39623180000000002</v>
      </c>
      <c r="H1639" s="21">
        <v>-0.31374089999999999</v>
      </c>
    </row>
    <row r="1640" spans="1:8" x14ac:dyDescent="0.15">
      <c r="A1640" s="21">
        <v>3.1992189999999997E-2</v>
      </c>
      <c r="B1640" s="21">
        <f t="shared" si="50"/>
        <v>-0.42785600000000001</v>
      </c>
      <c r="D1640">
        <f t="shared" si="51"/>
        <v>-170.42283018867926</v>
      </c>
      <c r="G1640" s="21">
        <v>0.5419446</v>
      </c>
      <c r="H1640" s="21">
        <v>-0.42785600000000001</v>
      </c>
    </row>
    <row r="1641" spans="1:8" x14ac:dyDescent="0.15">
      <c r="A1641" s="21">
        <v>3.201172E-2</v>
      </c>
      <c r="B1641" s="21">
        <f t="shared" si="50"/>
        <v>-0.53015480000000004</v>
      </c>
      <c r="D1641">
        <f t="shared" si="51"/>
        <v>-211.38374213836477</v>
      </c>
      <c r="G1641" s="21">
        <v>0.67220029999999997</v>
      </c>
      <c r="H1641" s="21">
        <v>-0.53015480000000004</v>
      </c>
    </row>
    <row r="1642" spans="1:8" x14ac:dyDescent="0.15">
      <c r="A1642" s="21">
        <v>3.2031249999999997E-2</v>
      </c>
      <c r="B1642" s="21">
        <f t="shared" si="50"/>
        <v>-0.61409499999999995</v>
      </c>
      <c r="D1642">
        <f t="shared" si="51"/>
        <v>-244.83874213836478</v>
      </c>
      <c r="G1642" s="21">
        <v>0.77858720000000003</v>
      </c>
      <c r="H1642" s="21">
        <v>-0.61409499999999995</v>
      </c>
    </row>
    <row r="1643" spans="1:8" x14ac:dyDescent="0.15">
      <c r="A1643" s="21">
        <v>3.2050780000000001E-2</v>
      </c>
      <c r="B1643" s="21">
        <f t="shared" si="50"/>
        <v>-0.67718140000000004</v>
      </c>
      <c r="D1643">
        <f t="shared" si="51"/>
        <v>-270.23761006289305</v>
      </c>
      <c r="G1643" s="21">
        <v>0.8593556</v>
      </c>
      <c r="H1643" s="21">
        <v>-0.67718140000000004</v>
      </c>
    </row>
    <row r="1644" spans="1:8" x14ac:dyDescent="0.15">
      <c r="A1644" s="21">
        <v>3.2070309999999998E-2</v>
      </c>
      <c r="B1644" s="21">
        <f t="shared" si="50"/>
        <v>-0.71780739999999998</v>
      </c>
      <c r="D1644">
        <f t="shared" si="51"/>
        <v>-286.83855345911951</v>
      </c>
      <c r="G1644" s="21">
        <v>0.91214660000000003</v>
      </c>
      <c r="H1644" s="21">
        <v>-0.71780739999999998</v>
      </c>
    </row>
    <row r="1645" spans="1:8" x14ac:dyDescent="0.15">
      <c r="A1645" s="21">
        <v>3.2089840000000001E-2</v>
      </c>
      <c r="B1645" s="21">
        <f t="shared" si="50"/>
        <v>-0.73337490000000005</v>
      </c>
      <c r="D1645">
        <f t="shared" si="51"/>
        <v>-293.26119496855347</v>
      </c>
      <c r="G1645" s="21">
        <v>0.93257060000000003</v>
      </c>
      <c r="H1645" s="21">
        <v>-0.73337490000000005</v>
      </c>
    </row>
    <row r="1646" spans="1:8" x14ac:dyDescent="0.15">
      <c r="A1646" s="21">
        <v>3.210938E-2</v>
      </c>
      <c r="B1646" s="21">
        <f t="shared" si="50"/>
        <v>-0.72537799999999997</v>
      </c>
      <c r="D1646">
        <f t="shared" si="51"/>
        <v>-290.18443396226411</v>
      </c>
      <c r="G1646" s="21">
        <v>0.92278649999999995</v>
      </c>
      <c r="H1646" s="21">
        <v>-0.72537799999999997</v>
      </c>
    </row>
    <row r="1647" spans="1:8" x14ac:dyDescent="0.15">
      <c r="A1647" s="21">
        <v>3.2128909999999997E-2</v>
      </c>
      <c r="B1647" s="21">
        <f t="shared" si="50"/>
        <v>-0.69364700000000001</v>
      </c>
      <c r="D1647">
        <f t="shared" si="51"/>
        <v>-277.66959119496852</v>
      </c>
      <c r="G1647" s="21">
        <v>0.88298929999999998</v>
      </c>
      <c r="H1647" s="21">
        <v>-0.69364700000000001</v>
      </c>
    </row>
    <row r="1648" spans="1:8" x14ac:dyDescent="0.15">
      <c r="A1648" s="21">
        <v>3.214844E-2</v>
      </c>
      <c r="B1648" s="21">
        <f t="shared" si="50"/>
        <v>-0.63756880000000005</v>
      </c>
      <c r="D1648">
        <f t="shared" si="51"/>
        <v>-255.4974213836478</v>
      </c>
      <c r="G1648" s="21">
        <v>0.81248180000000003</v>
      </c>
      <c r="H1648" s="21">
        <v>-0.63756880000000005</v>
      </c>
    </row>
    <row r="1649" spans="1:8" x14ac:dyDescent="0.15">
      <c r="A1649" s="21">
        <v>3.2167969999999997E-2</v>
      </c>
      <c r="B1649" s="21">
        <f t="shared" si="50"/>
        <v>-0.55981300000000001</v>
      </c>
      <c r="D1649">
        <f t="shared" si="51"/>
        <v>-224.52820754716979</v>
      </c>
      <c r="G1649" s="21">
        <v>0.71399970000000001</v>
      </c>
      <c r="H1649" s="21">
        <v>-0.55981300000000001</v>
      </c>
    </row>
    <row r="1650" spans="1:8" x14ac:dyDescent="0.15">
      <c r="A1650" s="21">
        <v>3.2187500000000001E-2</v>
      </c>
      <c r="B1650" s="21">
        <f t="shared" si="50"/>
        <v>-0.4618872</v>
      </c>
      <c r="D1650">
        <f t="shared" si="51"/>
        <v>-185.31138364779875</v>
      </c>
      <c r="G1650" s="21">
        <v>0.58929019999999999</v>
      </c>
      <c r="H1650" s="21">
        <v>-0.4618872</v>
      </c>
    </row>
    <row r="1651" spans="1:8" x14ac:dyDescent="0.15">
      <c r="A1651" s="21">
        <v>3.2207029999999998E-2</v>
      </c>
      <c r="B1651" s="21">
        <f t="shared" si="50"/>
        <v>-0.34729520000000003</v>
      </c>
      <c r="D1651">
        <f t="shared" si="51"/>
        <v>-139.58622641509433</v>
      </c>
      <c r="G1651" s="21">
        <v>0.44388420000000001</v>
      </c>
      <c r="H1651" s="21">
        <v>-0.34729520000000003</v>
      </c>
    </row>
    <row r="1652" spans="1:8" x14ac:dyDescent="0.15">
      <c r="A1652" s="21">
        <v>3.2226560000000001E-2</v>
      </c>
      <c r="B1652" s="21">
        <f t="shared" si="50"/>
        <v>-0.2214448</v>
      </c>
      <c r="D1652">
        <f t="shared" si="51"/>
        <v>-89.386037735849044</v>
      </c>
      <c r="G1652" s="21">
        <v>0.28424759999999999</v>
      </c>
      <c r="H1652" s="21">
        <v>-0.2214448</v>
      </c>
    </row>
    <row r="1653" spans="1:8" x14ac:dyDescent="0.15">
      <c r="A1653" s="21">
        <v>3.2246089999999998E-2</v>
      </c>
      <c r="B1653" s="21">
        <f t="shared" si="50"/>
        <v>-8.8005440000000004E-2</v>
      </c>
      <c r="D1653">
        <f t="shared" si="51"/>
        <v>-35.908176100628928</v>
      </c>
      <c r="G1653" s="21">
        <v>0.114188</v>
      </c>
      <c r="H1653" s="21">
        <v>-8.8005440000000004E-2</v>
      </c>
    </row>
    <row r="1654" spans="1:8" x14ac:dyDescent="0.15">
      <c r="A1654" s="21">
        <v>3.2265620000000002E-2</v>
      </c>
      <c r="B1654" s="21">
        <f t="shared" si="50"/>
        <v>4.7914470000000001E-2</v>
      </c>
      <c r="D1654">
        <f t="shared" si="51"/>
        <v>18.596515723270439</v>
      </c>
      <c r="G1654" s="21">
        <v>-5.9136920000000003E-2</v>
      </c>
      <c r="H1654" s="21">
        <v>4.7914470000000001E-2</v>
      </c>
    </row>
    <row r="1655" spans="1:8" x14ac:dyDescent="0.15">
      <c r="A1655" s="21">
        <v>3.228516E-2</v>
      </c>
      <c r="B1655" s="21">
        <f t="shared" si="50"/>
        <v>0.18113280000000001</v>
      </c>
      <c r="D1655">
        <f t="shared" si="51"/>
        <v>71.962641509433951</v>
      </c>
      <c r="G1655" s="21">
        <v>-0.22884119999999999</v>
      </c>
      <c r="H1655" s="21">
        <v>0.18113280000000001</v>
      </c>
    </row>
    <row r="1656" spans="1:8" x14ac:dyDescent="0.15">
      <c r="A1656" s="21">
        <v>3.2304689999999997E-2</v>
      </c>
      <c r="B1656" s="21">
        <f t="shared" si="50"/>
        <v>0.30769930000000001</v>
      </c>
      <c r="D1656">
        <f t="shared" si="51"/>
        <v>122.78518867924528</v>
      </c>
      <c r="G1656" s="21">
        <v>-0.3904569</v>
      </c>
      <c r="H1656" s="21">
        <v>0.30769930000000001</v>
      </c>
    </row>
    <row r="1657" spans="1:8" x14ac:dyDescent="0.15">
      <c r="A1657" s="21">
        <v>3.2324220000000001E-2</v>
      </c>
      <c r="B1657" s="21">
        <f t="shared" si="50"/>
        <v>0.4235913</v>
      </c>
      <c r="D1657">
        <f t="shared" si="51"/>
        <v>169.51025157232704</v>
      </c>
      <c r="G1657" s="21">
        <v>-0.53904260000000004</v>
      </c>
      <c r="H1657" s="21">
        <v>0.4235913</v>
      </c>
    </row>
    <row r="1658" spans="1:8" x14ac:dyDescent="0.15">
      <c r="A1658" s="21">
        <v>3.2343749999999998E-2</v>
      </c>
      <c r="B1658" s="21">
        <f t="shared" si="50"/>
        <v>0.52531969999999995</v>
      </c>
      <c r="D1658">
        <f t="shared" si="51"/>
        <v>210.52594339622644</v>
      </c>
      <c r="G1658" s="21">
        <v>-0.66947250000000003</v>
      </c>
      <c r="H1658" s="21">
        <v>0.52531969999999995</v>
      </c>
    </row>
    <row r="1659" spans="1:8" x14ac:dyDescent="0.15">
      <c r="A1659" s="21">
        <v>3.2363280000000001E-2</v>
      </c>
      <c r="B1659" s="21">
        <f t="shared" si="50"/>
        <v>0.60910109999999995</v>
      </c>
      <c r="D1659">
        <f t="shared" si="51"/>
        <v>244.28679245283018</v>
      </c>
      <c r="G1659" s="21">
        <v>-0.77683199999999997</v>
      </c>
      <c r="H1659" s="21">
        <v>0.60910109999999995</v>
      </c>
    </row>
    <row r="1660" spans="1:8" x14ac:dyDescent="0.15">
      <c r="A1660" s="21">
        <v>3.2382809999999998E-2</v>
      </c>
      <c r="B1660" s="21">
        <f t="shared" si="50"/>
        <v>0.67207490000000003</v>
      </c>
      <c r="D1660">
        <f t="shared" si="51"/>
        <v>269.82518867924523</v>
      </c>
      <c r="G1660" s="21">
        <v>-0.85804409999999998</v>
      </c>
      <c r="H1660" s="21">
        <v>0.67207490000000003</v>
      </c>
    </row>
    <row r="1661" spans="1:8" x14ac:dyDescent="0.15">
      <c r="A1661" s="21">
        <v>3.2402340000000002E-2</v>
      </c>
      <c r="B1661" s="21">
        <f t="shared" si="50"/>
        <v>0.7136576</v>
      </c>
      <c r="D1661">
        <f t="shared" si="51"/>
        <v>286.81455974842765</v>
      </c>
      <c r="G1661" s="21">
        <v>-0.9120703</v>
      </c>
      <c r="H1661" s="21">
        <v>0.7136576</v>
      </c>
    </row>
    <row r="1662" spans="1:8" x14ac:dyDescent="0.15">
      <c r="A1662" s="21">
        <v>3.242188E-2</v>
      </c>
      <c r="B1662" s="21">
        <f t="shared" si="50"/>
        <v>0.73270539999999995</v>
      </c>
      <c r="D1662">
        <f t="shared" si="51"/>
        <v>294.61911949685532</v>
      </c>
      <c r="G1662" s="21">
        <v>-0.93688879999999997</v>
      </c>
      <c r="H1662" s="21">
        <v>0.73270539999999995</v>
      </c>
    </row>
    <row r="1663" spans="1:8" x14ac:dyDescent="0.15">
      <c r="A1663" s="21">
        <v>3.2441409999999997E-2</v>
      </c>
      <c r="B1663" s="21">
        <f t="shared" si="50"/>
        <v>0.72678849999999995</v>
      </c>
      <c r="D1663">
        <f t="shared" si="51"/>
        <v>292.19308176100628</v>
      </c>
      <c r="G1663" s="21">
        <v>-0.92917400000000006</v>
      </c>
      <c r="H1663" s="21">
        <v>0.72678849999999995</v>
      </c>
    </row>
    <row r="1664" spans="1:8" x14ac:dyDescent="0.15">
      <c r="A1664" s="21">
        <v>3.2460940000000001E-2</v>
      </c>
      <c r="B1664" s="21">
        <f t="shared" si="50"/>
        <v>0.69553920000000002</v>
      </c>
      <c r="D1664">
        <f t="shared" si="51"/>
        <v>279.66685534591193</v>
      </c>
      <c r="G1664" s="21">
        <v>-0.88934060000000004</v>
      </c>
      <c r="H1664" s="21">
        <v>0.69553920000000002</v>
      </c>
    </row>
    <row r="1665" spans="1:8" x14ac:dyDescent="0.15">
      <c r="A1665" s="21">
        <v>3.2480469999999997E-2</v>
      </c>
      <c r="B1665" s="21">
        <f t="shared" si="50"/>
        <v>0.64037140000000004</v>
      </c>
      <c r="D1665">
        <f t="shared" si="51"/>
        <v>257.64940251572324</v>
      </c>
      <c r="G1665" s="21">
        <v>-0.81932510000000003</v>
      </c>
      <c r="H1665" s="21">
        <v>0.64037140000000004</v>
      </c>
    </row>
    <row r="1666" spans="1:8" x14ac:dyDescent="0.15">
      <c r="A1666" s="21">
        <v>3.2500000000000001E-2</v>
      </c>
      <c r="B1666" s="21">
        <f t="shared" ref="B1666:B1729" si="52">H1666</f>
        <v>0.56345029999999996</v>
      </c>
      <c r="D1666">
        <f t="shared" ref="D1666:D1729" si="53">G1666*-1000/3.18</f>
        <v>226.69584905660375</v>
      </c>
      <c r="G1666" s="21">
        <v>-0.7208928</v>
      </c>
      <c r="H1666" s="21">
        <v>0.56345029999999996</v>
      </c>
    </row>
    <row r="1667" spans="1:8" x14ac:dyDescent="0.15">
      <c r="A1667" s="21">
        <v>3.2519529999999998E-2</v>
      </c>
      <c r="B1667" s="21">
        <f t="shared" si="52"/>
        <v>0.4684084</v>
      </c>
      <c r="D1667">
        <f t="shared" si="53"/>
        <v>188.46562893081759</v>
      </c>
      <c r="G1667" s="21">
        <v>-0.59932070000000004</v>
      </c>
      <c r="H1667" s="21">
        <v>0.4684084</v>
      </c>
    </row>
    <row r="1668" spans="1:8" x14ac:dyDescent="0.15">
      <c r="A1668" s="21">
        <v>3.2539060000000002E-2</v>
      </c>
      <c r="B1668" s="21">
        <f t="shared" si="52"/>
        <v>0.35752800000000001</v>
      </c>
      <c r="D1668">
        <f t="shared" si="53"/>
        <v>143.91166666666666</v>
      </c>
      <c r="G1668" s="21">
        <v>-0.45763910000000002</v>
      </c>
      <c r="H1668" s="21">
        <v>0.35752800000000001</v>
      </c>
    </row>
    <row r="1669" spans="1:8" x14ac:dyDescent="0.15">
      <c r="A1669" s="21">
        <v>3.2558589999999998E-2</v>
      </c>
      <c r="B1669" s="21">
        <f t="shared" si="52"/>
        <v>0.2325663</v>
      </c>
      <c r="D1669">
        <f t="shared" si="53"/>
        <v>93.717327044025154</v>
      </c>
      <c r="G1669" s="21">
        <v>-0.29802109999999998</v>
      </c>
      <c r="H1669" s="21">
        <v>0.2325663</v>
      </c>
    </row>
    <row r="1670" spans="1:8" x14ac:dyDescent="0.15">
      <c r="A1670" s="21">
        <v>3.2578120000000002E-2</v>
      </c>
      <c r="B1670" s="21">
        <f t="shared" si="52"/>
        <v>9.8606390000000002E-2</v>
      </c>
      <c r="D1670">
        <f t="shared" si="53"/>
        <v>40.163113207547163</v>
      </c>
      <c r="G1670" s="21">
        <v>-0.12771869999999999</v>
      </c>
      <c r="H1670" s="21">
        <v>9.8606390000000002E-2</v>
      </c>
    </row>
    <row r="1671" spans="1:8" x14ac:dyDescent="0.15">
      <c r="A1671" s="21">
        <v>3.2597660000000001E-2</v>
      </c>
      <c r="B1671" s="21">
        <f t="shared" si="52"/>
        <v>-3.7951539999999999E-2</v>
      </c>
      <c r="D1671">
        <f t="shared" si="53"/>
        <v>-14.351864779874214</v>
      </c>
      <c r="G1671" s="21">
        <v>4.5638930000000001E-2</v>
      </c>
      <c r="H1671" s="21">
        <v>-3.7951539999999999E-2</v>
      </c>
    </row>
    <row r="1672" spans="1:8" x14ac:dyDescent="0.15">
      <c r="A1672" s="21">
        <v>3.2617189999999997E-2</v>
      </c>
      <c r="B1672" s="21">
        <f t="shared" si="52"/>
        <v>-0.17157800000000001</v>
      </c>
      <c r="D1672">
        <f t="shared" si="53"/>
        <v>-67.752578616352196</v>
      </c>
      <c r="G1672" s="21">
        <v>0.21545320000000001</v>
      </c>
      <c r="H1672" s="21">
        <v>-0.17157800000000001</v>
      </c>
    </row>
    <row r="1673" spans="1:8" x14ac:dyDescent="0.15">
      <c r="A1673" s="21">
        <v>3.2636720000000001E-2</v>
      </c>
      <c r="B1673" s="21">
        <f t="shared" si="52"/>
        <v>-0.29771150000000002</v>
      </c>
      <c r="D1673">
        <f t="shared" si="53"/>
        <v>-118.27676100628932</v>
      </c>
      <c r="G1673" s="21">
        <v>0.37612010000000001</v>
      </c>
      <c r="H1673" s="21">
        <v>-0.29771150000000002</v>
      </c>
    </row>
    <row r="1674" spans="1:8" x14ac:dyDescent="0.15">
      <c r="A1674" s="21">
        <v>3.2656249999999998E-2</v>
      </c>
      <c r="B1674" s="21">
        <f t="shared" si="52"/>
        <v>-0.41358810000000001</v>
      </c>
      <c r="D1674">
        <f t="shared" si="53"/>
        <v>-164.77069182389934</v>
      </c>
      <c r="G1674" s="21">
        <v>0.52397079999999996</v>
      </c>
      <c r="H1674" s="21">
        <v>-0.41358810000000001</v>
      </c>
    </row>
    <row r="1675" spans="1:8" x14ac:dyDescent="0.15">
      <c r="A1675" s="21">
        <v>3.2675780000000001E-2</v>
      </c>
      <c r="B1675" s="21">
        <f t="shared" si="52"/>
        <v>-0.51701900000000001</v>
      </c>
      <c r="D1675">
        <f t="shared" si="53"/>
        <v>-206.1318867924528</v>
      </c>
      <c r="G1675" s="21">
        <v>0.65549939999999995</v>
      </c>
      <c r="H1675" s="21">
        <v>-0.51701900000000001</v>
      </c>
    </row>
    <row r="1676" spans="1:8" x14ac:dyDescent="0.15">
      <c r="A1676" s="21">
        <v>3.2695309999999998E-2</v>
      </c>
      <c r="B1676" s="21">
        <f t="shared" si="52"/>
        <v>-0.60423689999999997</v>
      </c>
      <c r="D1676">
        <f t="shared" si="53"/>
        <v>-240.98867924528301</v>
      </c>
      <c r="G1676" s="21">
        <v>0.76634400000000003</v>
      </c>
      <c r="H1676" s="21">
        <v>-0.60423689999999997</v>
      </c>
    </row>
    <row r="1677" spans="1:8" x14ac:dyDescent="0.15">
      <c r="A1677" s="21">
        <v>3.2714840000000002E-2</v>
      </c>
      <c r="B1677" s="21">
        <f t="shared" si="52"/>
        <v>-0.67031499999999999</v>
      </c>
      <c r="D1677">
        <f t="shared" si="53"/>
        <v>-267.49698113207546</v>
      </c>
      <c r="G1677" s="21">
        <v>0.85064039999999996</v>
      </c>
      <c r="H1677" s="21">
        <v>-0.67031499999999999</v>
      </c>
    </row>
    <row r="1678" spans="1:8" x14ac:dyDescent="0.15">
      <c r="A1678" s="21">
        <v>3.273438E-2</v>
      </c>
      <c r="B1678" s="21">
        <f t="shared" si="52"/>
        <v>-0.71311389999999997</v>
      </c>
      <c r="D1678">
        <f t="shared" si="53"/>
        <v>-284.87103773584903</v>
      </c>
      <c r="G1678" s="21">
        <v>0.90588990000000003</v>
      </c>
      <c r="H1678" s="21">
        <v>-0.71311389999999997</v>
      </c>
    </row>
    <row r="1679" spans="1:8" x14ac:dyDescent="0.15">
      <c r="A1679" s="21">
        <v>3.2753909999999997E-2</v>
      </c>
      <c r="B1679" s="21">
        <f t="shared" si="52"/>
        <v>-0.7329715</v>
      </c>
      <c r="D1679">
        <f t="shared" si="53"/>
        <v>-293.11713836477986</v>
      </c>
      <c r="G1679" s="21">
        <v>0.93211250000000001</v>
      </c>
      <c r="H1679" s="21">
        <v>-0.7329715</v>
      </c>
    </row>
    <row r="1680" spans="1:8" x14ac:dyDescent="0.15">
      <c r="A1680" s="21">
        <v>3.2773440000000001E-2</v>
      </c>
      <c r="B1680" s="21">
        <f t="shared" si="52"/>
        <v>-0.72819179999999994</v>
      </c>
      <c r="D1680">
        <f t="shared" si="53"/>
        <v>-291.22226415094337</v>
      </c>
      <c r="G1680" s="21">
        <v>0.92608679999999999</v>
      </c>
      <c r="H1680" s="21">
        <v>-0.72819179999999994</v>
      </c>
    </row>
    <row r="1681" spans="1:8" x14ac:dyDescent="0.15">
      <c r="A1681" s="21">
        <v>3.2792969999999998E-2</v>
      </c>
      <c r="B1681" s="21">
        <f t="shared" si="52"/>
        <v>-0.69885759999999997</v>
      </c>
      <c r="D1681">
        <f t="shared" si="53"/>
        <v>-279.6659433962264</v>
      </c>
      <c r="G1681" s="21">
        <v>0.88933770000000001</v>
      </c>
      <c r="H1681" s="21">
        <v>-0.69885759999999997</v>
      </c>
    </row>
    <row r="1682" spans="1:8" x14ac:dyDescent="0.15">
      <c r="A1682" s="21">
        <v>3.2812500000000001E-2</v>
      </c>
      <c r="B1682" s="21">
        <f t="shared" si="52"/>
        <v>-0.64663210000000004</v>
      </c>
      <c r="D1682">
        <f t="shared" si="53"/>
        <v>-259.14748427672953</v>
      </c>
      <c r="G1682" s="21">
        <v>0.82408899999999996</v>
      </c>
      <c r="H1682" s="21">
        <v>-0.64663210000000004</v>
      </c>
    </row>
    <row r="1683" spans="1:8" x14ac:dyDescent="0.15">
      <c r="A1683" s="21">
        <v>3.2832029999999998E-2</v>
      </c>
      <c r="B1683" s="21">
        <f t="shared" si="52"/>
        <v>-0.57103440000000005</v>
      </c>
      <c r="D1683">
        <f t="shared" si="53"/>
        <v>-228.99229559748429</v>
      </c>
      <c r="G1683" s="21">
        <v>0.7281955</v>
      </c>
      <c r="H1683" s="21">
        <v>-0.57103440000000005</v>
      </c>
    </row>
    <row r="1684" spans="1:8" x14ac:dyDescent="0.15">
      <c r="A1684" s="21">
        <v>3.2851560000000002E-2</v>
      </c>
      <c r="B1684" s="21">
        <f t="shared" si="52"/>
        <v>-0.47549649999999999</v>
      </c>
      <c r="D1684">
        <f t="shared" si="53"/>
        <v>-190.86946540880504</v>
      </c>
      <c r="G1684" s="21">
        <v>0.60696490000000003</v>
      </c>
      <c r="H1684" s="21">
        <v>-0.47549649999999999</v>
      </c>
    </row>
    <row r="1685" spans="1:8" x14ac:dyDescent="0.15">
      <c r="A1685" s="21">
        <v>3.2871089999999999E-2</v>
      </c>
      <c r="B1685" s="21">
        <f t="shared" si="52"/>
        <v>-0.36381999999999998</v>
      </c>
      <c r="D1685">
        <f t="shared" si="53"/>
        <v>-146.23644654088051</v>
      </c>
      <c r="G1685" s="21">
        <v>0.4650319</v>
      </c>
      <c r="H1685" s="21">
        <v>-0.36381999999999998</v>
      </c>
    </row>
    <row r="1686" spans="1:8" x14ac:dyDescent="0.15">
      <c r="A1686" s="21">
        <v>3.2890620000000002E-2</v>
      </c>
      <c r="B1686" s="21">
        <f t="shared" si="52"/>
        <v>-0.23821110000000001</v>
      </c>
      <c r="D1686">
        <f t="shared" si="53"/>
        <v>-96.021383647798743</v>
      </c>
      <c r="G1686" s="21">
        <v>0.30534800000000001</v>
      </c>
      <c r="H1686" s="21">
        <v>-0.23821110000000001</v>
      </c>
    </row>
    <row r="1687" spans="1:8" x14ac:dyDescent="0.15">
      <c r="A1687" s="21">
        <v>3.2910160000000001E-2</v>
      </c>
      <c r="B1687" s="21">
        <f t="shared" si="52"/>
        <v>-0.1056836</v>
      </c>
      <c r="D1687">
        <f t="shared" si="53"/>
        <v>-43.152861635220127</v>
      </c>
      <c r="G1687" s="21">
        <v>0.13722609999999999</v>
      </c>
      <c r="H1687" s="21">
        <v>-0.1056836</v>
      </c>
    </row>
    <row r="1688" spans="1:8" x14ac:dyDescent="0.15">
      <c r="A1688" s="21">
        <v>3.2929689999999998E-2</v>
      </c>
      <c r="B1688" s="21">
        <f t="shared" si="52"/>
        <v>2.9442030000000001E-2</v>
      </c>
      <c r="D1688">
        <f t="shared" si="53"/>
        <v>11.132666666666665</v>
      </c>
      <c r="G1688" s="21">
        <v>-3.5401879999999997E-2</v>
      </c>
      <c r="H1688" s="21">
        <v>2.9442030000000001E-2</v>
      </c>
    </row>
    <row r="1689" spans="1:8" x14ac:dyDescent="0.15">
      <c r="A1689" s="21">
        <v>3.2949220000000001E-2</v>
      </c>
      <c r="B1689" s="21">
        <f t="shared" si="52"/>
        <v>0.1641822</v>
      </c>
      <c r="D1689">
        <f t="shared" si="53"/>
        <v>65.275345911949685</v>
      </c>
      <c r="G1689" s="21">
        <v>-0.2075756</v>
      </c>
      <c r="H1689" s="21">
        <v>0.1641822</v>
      </c>
    </row>
    <row r="1690" spans="1:8" x14ac:dyDescent="0.15">
      <c r="A1690" s="21">
        <v>3.2968749999999998E-2</v>
      </c>
      <c r="B1690" s="21">
        <f t="shared" si="52"/>
        <v>0.29149350000000002</v>
      </c>
      <c r="D1690">
        <f t="shared" si="53"/>
        <v>116.22707547169811</v>
      </c>
      <c r="G1690" s="21">
        <v>-0.36960209999999999</v>
      </c>
      <c r="H1690" s="21">
        <v>0.29149350000000002</v>
      </c>
    </row>
    <row r="1691" spans="1:8" x14ac:dyDescent="0.15">
      <c r="A1691" s="21">
        <v>3.2988280000000002E-2</v>
      </c>
      <c r="B1691" s="21">
        <f t="shared" si="52"/>
        <v>0.4087828</v>
      </c>
      <c r="D1691">
        <f t="shared" si="53"/>
        <v>163.4582704402516</v>
      </c>
      <c r="G1691" s="21">
        <v>-0.51979730000000002</v>
      </c>
      <c r="H1691" s="21">
        <v>0.4087828</v>
      </c>
    </row>
    <row r="1692" spans="1:8" x14ac:dyDescent="0.15">
      <c r="A1692" s="21">
        <v>3.3007809999999999E-2</v>
      </c>
      <c r="B1692" s="21">
        <f t="shared" si="52"/>
        <v>0.51316039999999996</v>
      </c>
      <c r="D1692">
        <f t="shared" si="53"/>
        <v>205.60216981132072</v>
      </c>
      <c r="G1692" s="21">
        <v>-0.65381489999999998</v>
      </c>
      <c r="H1692" s="21">
        <v>0.51316039999999996</v>
      </c>
    </row>
    <row r="1693" spans="1:8" x14ac:dyDescent="0.15">
      <c r="A1693" s="21">
        <v>3.3027340000000002E-2</v>
      </c>
      <c r="B1693" s="21">
        <f t="shared" si="52"/>
        <v>0.59871730000000001</v>
      </c>
      <c r="D1693">
        <f t="shared" si="53"/>
        <v>240.0985534591195</v>
      </c>
      <c r="G1693" s="21">
        <v>-0.76351340000000001</v>
      </c>
      <c r="H1693" s="21">
        <v>0.59871730000000001</v>
      </c>
    </row>
    <row r="1694" spans="1:8" x14ac:dyDescent="0.15">
      <c r="A1694" s="21">
        <v>3.3046880000000001E-2</v>
      </c>
      <c r="B1694" s="21">
        <f t="shared" si="52"/>
        <v>0.66453079999999998</v>
      </c>
      <c r="D1694">
        <f t="shared" si="53"/>
        <v>266.80157232704403</v>
      </c>
      <c r="G1694" s="21">
        <v>-0.84842899999999999</v>
      </c>
      <c r="H1694" s="21">
        <v>0.66453079999999998</v>
      </c>
    </row>
    <row r="1695" spans="1:8" x14ac:dyDescent="0.15">
      <c r="A1695" s="21">
        <v>3.3066409999999997E-2</v>
      </c>
      <c r="B1695" s="21">
        <f t="shared" si="52"/>
        <v>0.70946339999999997</v>
      </c>
      <c r="D1695">
        <f t="shared" si="53"/>
        <v>285.07534591194968</v>
      </c>
      <c r="G1695" s="21">
        <v>-0.9065396</v>
      </c>
      <c r="H1695" s="21">
        <v>0.70946339999999997</v>
      </c>
    </row>
    <row r="1696" spans="1:8" x14ac:dyDescent="0.15">
      <c r="A1696" s="21">
        <v>3.3085940000000001E-2</v>
      </c>
      <c r="B1696" s="21">
        <f t="shared" si="52"/>
        <v>0.73124960000000006</v>
      </c>
      <c r="D1696">
        <f t="shared" si="53"/>
        <v>293.99141509433963</v>
      </c>
      <c r="G1696" s="21">
        <v>-0.93489270000000002</v>
      </c>
      <c r="H1696" s="21">
        <v>0.73124960000000006</v>
      </c>
    </row>
    <row r="1697" spans="1:8" x14ac:dyDescent="0.15">
      <c r="A1697" s="21">
        <v>3.3105469999999998E-2</v>
      </c>
      <c r="B1697" s="21">
        <f t="shared" si="52"/>
        <v>0.72909579999999996</v>
      </c>
      <c r="D1697">
        <f t="shared" si="53"/>
        <v>293.24798742138364</v>
      </c>
      <c r="G1697" s="21">
        <v>-0.93252860000000004</v>
      </c>
      <c r="H1697" s="21">
        <v>0.72909579999999996</v>
      </c>
    </row>
    <row r="1698" spans="1:8" x14ac:dyDescent="0.15">
      <c r="A1698" s="21">
        <v>3.3125000000000002E-2</v>
      </c>
      <c r="B1698" s="21">
        <f t="shared" si="52"/>
        <v>0.70092989999999999</v>
      </c>
      <c r="D1698">
        <f t="shared" si="53"/>
        <v>281.83783018867922</v>
      </c>
      <c r="G1698" s="21">
        <v>-0.89624429999999999</v>
      </c>
      <c r="H1698" s="21">
        <v>0.70092989999999999</v>
      </c>
    </row>
    <row r="1699" spans="1:8" x14ac:dyDescent="0.15">
      <c r="A1699" s="21">
        <v>3.3144529999999998E-2</v>
      </c>
      <c r="B1699" s="21">
        <f t="shared" si="52"/>
        <v>0.648424</v>
      </c>
      <c r="D1699">
        <f t="shared" si="53"/>
        <v>260.81506289308174</v>
      </c>
      <c r="G1699" s="21">
        <v>-0.82939189999999996</v>
      </c>
      <c r="H1699" s="21">
        <v>0.648424</v>
      </c>
    </row>
    <row r="1700" spans="1:8" x14ac:dyDescent="0.15">
      <c r="A1700" s="21">
        <v>3.3164060000000002E-2</v>
      </c>
      <c r="B1700" s="21">
        <f t="shared" si="52"/>
        <v>0.57497480000000001</v>
      </c>
      <c r="D1700">
        <f t="shared" si="53"/>
        <v>231.39622641509433</v>
      </c>
      <c r="G1700" s="21">
        <v>-0.73584000000000005</v>
      </c>
      <c r="H1700" s="21">
        <v>0.57497480000000001</v>
      </c>
    </row>
    <row r="1701" spans="1:8" x14ac:dyDescent="0.15">
      <c r="A1701" s="21">
        <v>3.3183589999999999E-2</v>
      </c>
      <c r="B1701" s="21">
        <f t="shared" si="52"/>
        <v>0.48183809999999999</v>
      </c>
      <c r="D1701">
        <f t="shared" si="53"/>
        <v>193.8125471698113</v>
      </c>
      <c r="G1701" s="21">
        <v>-0.61632390000000004</v>
      </c>
      <c r="H1701" s="21">
        <v>0.48183809999999999</v>
      </c>
    </row>
    <row r="1702" spans="1:8" x14ac:dyDescent="0.15">
      <c r="A1702" s="21">
        <v>3.3203120000000003E-2</v>
      </c>
      <c r="B1702" s="21">
        <f t="shared" si="52"/>
        <v>0.37260539999999998</v>
      </c>
      <c r="D1702">
        <f t="shared" si="53"/>
        <v>149.94754716981132</v>
      </c>
      <c r="G1702" s="21">
        <v>-0.47683320000000001</v>
      </c>
      <c r="H1702" s="21">
        <v>0.37260539999999998</v>
      </c>
    </row>
    <row r="1703" spans="1:8" x14ac:dyDescent="0.15">
      <c r="A1703" s="21">
        <v>3.3222660000000001E-2</v>
      </c>
      <c r="B1703" s="21">
        <f t="shared" si="52"/>
        <v>0.24981490000000001</v>
      </c>
      <c r="D1703">
        <f t="shared" si="53"/>
        <v>100.62672955974844</v>
      </c>
      <c r="G1703" s="21">
        <v>-0.31999300000000003</v>
      </c>
      <c r="H1703" s="21">
        <v>0.24981490000000001</v>
      </c>
    </row>
    <row r="1704" spans="1:8" x14ac:dyDescent="0.15">
      <c r="A1704" s="21">
        <v>3.3242189999999998E-2</v>
      </c>
      <c r="B1704" s="21">
        <f t="shared" si="52"/>
        <v>0.116332</v>
      </c>
      <c r="D1704">
        <f t="shared" si="53"/>
        <v>47.15201257861635</v>
      </c>
      <c r="G1704" s="21">
        <v>-0.1499434</v>
      </c>
      <c r="H1704" s="21">
        <v>0.116332</v>
      </c>
    </row>
    <row r="1705" spans="1:8" x14ac:dyDescent="0.15">
      <c r="A1705" s="21">
        <v>3.3261720000000002E-2</v>
      </c>
      <c r="B1705" s="21">
        <f t="shared" si="52"/>
        <v>-2.034447E-2</v>
      </c>
      <c r="D1705">
        <f t="shared" si="53"/>
        <v>-7.3161792452830188</v>
      </c>
      <c r="G1705" s="21">
        <v>2.326545E-2</v>
      </c>
      <c r="H1705" s="21">
        <v>-2.034447E-2</v>
      </c>
    </row>
    <row r="1706" spans="1:8" x14ac:dyDescent="0.15">
      <c r="A1706" s="21">
        <v>3.3281249999999998E-2</v>
      </c>
      <c r="B1706" s="21">
        <f t="shared" si="52"/>
        <v>-0.15456210000000001</v>
      </c>
      <c r="D1706">
        <f t="shared" si="53"/>
        <v>-61.019968553459115</v>
      </c>
      <c r="G1706" s="21">
        <v>0.19404350000000001</v>
      </c>
      <c r="H1706" s="21">
        <v>-0.15456210000000001</v>
      </c>
    </row>
    <row r="1707" spans="1:8" x14ac:dyDescent="0.15">
      <c r="A1707" s="21">
        <v>3.3300780000000002E-2</v>
      </c>
      <c r="B1707" s="21">
        <f t="shared" si="52"/>
        <v>-0.28204689999999999</v>
      </c>
      <c r="D1707">
        <f t="shared" si="53"/>
        <v>-112.00459119496854</v>
      </c>
      <c r="G1707" s="21">
        <v>0.35617460000000001</v>
      </c>
      <c r="H1707" s="21">
        <v>-0.28204689999999999</v>
      </c>
    </row>
    <row r="1708" spans="1:8" x14ac:dyDescent="0.15">
      <c r="A1708" s="21">
        <v>3.3320309999999999E-2</v>
      </c>
      <c r="B1708" s="21">
        <f t="shared" si="52"/>
        <v>-0.3989029</v>
      </c>
      <c r="D1708">
        <f t="shared" si="53"/>
        <v>-158.82842767295597</v>
      </c>
      <c r="G1708" s="21">
        <v>0.50507440000000003</v>
      </c>
      <c r="H1708" s="21">
        <v>-0.3989029</v>
      </c>
    </row>
    <row r="1709" spans="1:8" x14ac:dyDescent="0.15">
      <c r="A1709" s="21">
        <v>3.3339840000000003E-2</v>
      </c>
      <c r="B1709" s="21">
        <f t="shared" si="52"/>
        <v>-0.50443170000000004</v>
      </c>
      <c r="D1709">
        <f t="shared" si="53"/>
        <v>-201.17811320754717</v>
      </c>
      <c r="G1709" s="21">
        <v>0.63974640000000005</v>
      </c>
      <c r="H1709" s="21">
        <v>-0.50443170000000004</v>
      </c>
    </row>
    <row r="1710" spans="1:8" x14ac:dyDescent="0.15">
      <c r="A1710" s="21">
        <v>3.3359380000000001E-2</v>
      </c>
      <c r="B1710" s="21">
        <f t="shared" si="52"/>
        <v>-0.5942248</v>
      </c>
      <c r="D1710">
        <f t="shared" si="53"/>
        <v>-236.90594339622641</v>
      </c>
      <c r="G1710" s="21">
        <v>0.7533609</v>
      </c>
      <c r="H1710" s="21">
        <v>-0.5942248</v>
      </c>
    </row>
    <row r="1711" spans="1:8" x14ac:dyDescent="0.15">
      <c r="A1711" s="21">
        <v>3.3378909999999998E-2</v>
      </c>
      <c r="B1711" s="21">
        <f t="shared" si="52"/>
        <v>-0.66277609999999998</v>
      </c>
      <c r="D1711">
        <f t="shared" si="53"/>
        <v>-264.45569182389937</v>
      </c>
      <c r="G1711" s="21">
        <v>0.84096910000000002</v>
      </c>
      <c r="H1711" s="21">
        <v>-0.66277609999999998</v>
      </c>
    </row>
    <row r="1712" spans="1:8" x14ac:dyDescent="0.15">
      <c r="A1712" s="21">
        <v>3.3398440000000001E-2</v>
      </c>
      <c r="B1712" s="21">
        <f t="shared" si="52"/>
        <v>-0.70956319999999995</v>
      </c>
      <c r="D1712">
        <f t="shared" si="53"/>
        <v>-283.51295597484273</v>
      </c>
      <c r="G1712" s="21">
        <v>0.90157120000000002</v>
      </c>
      <c r="H1712" s="21">
        <v>-0.70956319999999995</v>
      </c>
    </row>
    <row r="1713" spans="1:8" x14ac:dyDescent="0.15">
      <c r="A1713" s="21">
        <v>3.3417969999999998E-2</v>
      </c>
      <c r="B1713" s="21">
        <f t="shared" si="52"/>
        <v>-0.73238400000000003</v>
      </c>
      <c r="D1713">
        <f t="shared" si="53"/>
        <v>-292.77182389937104</v>
      </c>
      <c r="G1713" s="21">
        <v>0.93101440000000002</v>
      </c>
      <c r="H1713" s="21">
        <v>-0.73238400000000003</v>
      </c>
    </row>
    <row r="1714" spans="1:8" x14ac:dyDescent="0.15">
      <c r="A1714" s="21">
        <v>3.3437500000000002E-2</v>
      </c>
      <c r="B1714" s="21">
        <f t="shared" si="52"/>
        <v>-0.72998649999999998</v>
      </c>
      <c r="D1714">
        <f t="shared" si="53"/>
        <v>-291.97921383647798</v>
      </c>
      <c r="G1714" s="21">
        <v>0.92849389999999998</v>
      </c>
      <c r="H1714" s="21">
        <v>-0.72998649999999998</v>
      </c>
    </row>
    <row r="1715" spans="1:8" x14ac:dyDescent="0.15">
      <c r="A1715" s="21">
        <v>3.3457029999999999E-2</v>
      </c>
      <c r="B1715" s="21">
        <f t="shared" si="52"/>
        <v>-0.70442579999999999</v>
      </c>
      <c r="D1715">
        <f t="shared" si="53"/>
        <v>-281.91867924528299</v>
      </c>
      <c r="G1715" s="21">
        <v>0.8965014</v>
      </c>
      <c r="H1715" s="21">
        <v>-0.70442579999999999</v>
      </c>
    </row>
    <row r="1716" spans="1:8" x14ac:dyDescent="0.15">
      <c r="A1716" s="21">
        <v>3.3476560000000002E-2</v>
      </c>
      <c r="B1716" s="21">
        <f t="shared" si="52"/>
        <v>-0.65488590000000002</v>
      </c>
      <c r="D1716">
        <f t="shared" si="53"/>
        <v>-262.37125786163523</v>
      </c>
      <c r="G1716" s="21">
        <v>0.83434059999999999</v>
      </c>
      <c r="H1716" s="21">
        <v>-0.65488590000000002</v>
      </c>
    </row>
    <row r="1717" spans="1:8" x14ac:dyDescent="0.15">
      <c r="A1717" s="21">
        <v>3.3496089999999999E-2</v>
      </c>
      <c r="B1717" s="21">
        <f t="shared" si="52"/>
        <v>-0.58224549999999997</v>
      </c>
      <c r="D1717">
        <f t="shared" si="53"/>
        <v>-233.5131761006289</v>
      </c>
      <c r="G1717" s="21">
        <v>0.74257189999999995</v>
      </c>
      <c r="H1717" s="21">
        <v>-0.58224549999999997</v>
      </c>
    </row>
    <row r="1718" spans="1:8" x14ac:dyDescent="0.15">
      <c r="A1718" s="21">
        <v>3.3515629999999998E-2</v>
      </c>
      <c r="B1718" s="21">
        <f t="shared" si="52"/>
        <v>-0.48988530000000002</v>
      </c>
      <c r="D1718">
        <f t="shared" si="53"/>
        <v>-196.5359748427673</v>
      </c>
      <c r="G1718" s="21">
        <v>0.6249844</v>
      </c>
      <c r="H1718" s="21">
        <v>-0.48988530000000002</v>
      </c>
    </row>
    <row r="1719" spans="1:8" x14ac:dyDescent="0.15">
      <c r="A1719" s="21">
        <v>3.3535160000000001E-2</v>
      </c>
      <c r="B1719" s="21">
        <f t="shared" si="52"/>
        <v>-0.37951550000000001</v>
      </c>
      <c r="D1719">
        <f t="shared" si="53"/>
        <v>-152.46528301886789</v>
      </c>
      <c r="G1719" s="21">
        <v>0.48483959999999998</v>
      </c>
      <c r="H1719" s="21">
        <v>-0.37951550000000001</v>
      </c>
    </row>
    <row r="1720" spans="1:8" x14ac:dyDescent="0.15">
      <c r="A1720" s="21">
        <v>3.3554689999999998E-2</v>
      </c>
      <c r="B1720" s="21">
        <f t="shared" si="52"/>
        <v>-0.25558589999999998</v>
      </c>
      <c r="D1720">
        <f t="shared" si="53"/>
        <v>-103.01952830188679</v>
      </c>
      <c r="G1720" s="21">
        <v>0.32760210000000001</v>
      </c>
      <c r="H1720" s="21">
        <v>-0.25558589999999998</v>
      </c>
    </row>
    <row r="1721" spans="1:8" x14ac:dyDescent="0.15">
      <c r="A1721" s="21">
        <v>3.3574220000000002E-2</v>
      </c>
      <c r="B1721" s="21">
        <f t="shared" si="52"/>
        <v>-0.1236873</v>
      </c>
      <c r="D1721">
        <f t="shared" si="53"/>
        <v>-50.253270440251569</v>
      </c>
      <c r="G1721" s="21">
        <v>0.15980539999999999</v>
      </c>
      <c r="H1721" s="21">
        <v>-0.1236873</v>
      </c>
    </row>
    <row r="1722" spans="1:8" x14ac:dyDescent="0.15">
      <c r="A1722" s="21">
        <v>3.3593749999999999E-2</v>
      </c>
      <c r="B1722" s="21">
        <f t="shared" si="52"/>
        <v>1.187917E-2</v>
      </c>
      <c r="D1722">
        <f t="shared" si="53"/>
        <v>4.1031886792452825</v>
      </c>
      <c r="G1722" s="21">
        <v>-1.304814E-2</v>
      </c>
      <c r="H1722" s="21">
        <v>1.187917E-2</v>
      </c>
    </row>
    <row r="1723" spans="1:8" x14ac:dyDescent="0.15">
      <c r="A1723" s="21">
        <v>3.3613280000000002E-2</v>
      </c>
      <c r="B1723" s="21">
        <f t="shared" si="52"/>
        <v>0.14606759999999999</v>
      </c>
      <c r="D1723">
        <f t="shared" si="53"/>
        <v>57.966037735849049</v>
      </c>
      <c r="G1723" s="21">
        <v>-0.184332</v>
      </c>
      <c r="H1723" s="21">
        <v>0.14606759999999999</v>
      </c>
    </row>
    <row r="1724" spans="1:8" x14ac:dyDescent="0.15">
      <c r="A1724" s="21">
        <v>3.3632809999999999E-2</v>
      </c>
      <c r="B1724" s="21">
        <f t="shared" si="52"/>
        <v>0.27493859999999998</v>
      </c>
      <c r="D1724">
        <f t="shared" si="53"/>
        <v>109.67751572327043</v>
      </c>
      <c r="G1724" s="21">
        <v>-0.34877449999999999</v>
      </c>
      <c r="H1724" s="21">
        <v>0.27493859999999998</v>
      </c>
    </row>
    <row r="1725" spans="1:8" x14ac:dyDescent="0.15">
      <c r="A1725" s="21">
        <v>3.3652340000000003E-2</v>
      </c>
      <c r="B1725" s="21">
        <f t="shared" si="52"/>
        <v>0.39414100000000002</v>
      </c>
      <c r="D1725">
        <f t="shared" si="53"/>
        <v>157.55745283018865</v>
      </c>
      <c r="G1725" s="21">
        <v>-0.5010327</v>
      </c>
      <c r="H1725" s="21">
        <v>0.39414100000000002</v>
      </c>
    </row>
    <row r="1726" spans="1:8" x14ac:dyDescent="0.15">
      <c r="A1726" s="21">
        <v>3.3671880000000001E-2</v>
      </c>
      <c r="B1726" s="21">
        <f t="shared" si="52"/>
        <v>0.4996467</v>
      </c>
      <c r="D1726">
        <f t="shared" si="53"/>
        <v>200.13864779874211</v>
      </c>
      <c r="G1726" s="21">
        <v>-0.63644089999999998</v>
      </c>
      <c r="H1726" s="21">
        <v>0.4996467</v>
      </c>
    </row>
    <row r="1727" spans="1:8" x14ac:dyDescent="0.15">
      <c r="A1727" s="21">
        <v>3.3691409999999998E-2</v>
      </c>
      <c r="B1727" s="21">
        <f t="shared" si="52"/>
        <v>0.58884510000000001</v>
      </c>
      <c r="D1727">
        <f t="shared" si="53"/>
        <v>236.18355345911951</v>
      </c>
      <c r="G1727" s="21">
        <v>-0.7510637</v>
      </c>
      <c r="H1727" s="21">
        <v>0.58884510000000001</v>
      </c>
    </row>
    <row r="1728" spans="1:8" x14ac:dyDescent="0.15">
      <c r="A1728" s="21">
        <v>3.3710940000000002E-2</v>
      </c>
      <c r="B1728" s="21">
        <f t="shared" si="52"/>
        <v>0.6575318</v>
      </c>
      <c r="D1728">
        <f t="shared" si="53"/>
        <v>263.90729559748428</v>
      </c>
      <c r="G1728" s="21">
        <v>-0.8392252</v>
      </c>
      <c r="H1728" s="21">
        <v>0.6575318</v>
      </c>
    </row>
    <row r="1729" spans="1:8" x14ac:dyDescent="0.15">
      <c r="A1729" s="21">
        <v>3.3730469999999999E-2</v>
      </c>
      <c r="B1729" s="21">
        <f t="shared" si="52"/>
        <v>0.70437530000000004</v>
      </c>
      <c r="D1729">
        <f t="shared" si="53"/>
        <v>283.00908805031446</v>
      </c>
      <c r="G1729" s="21">
        <v>-0.89996889999999996</v>
      </c>
      <c r="H1729" s="21">
        <v>0.70437530000000004</v>
      </c>
    </row>
    <row r="1730" spans="1:8" x14ac:dyDescent="0.15">
      <c r="A1730" s="21">
        <v>3.3750000000000002E-2</v>
      </c>
      <c r="B1730" s="21">
        <f t="shared" ref="B1730:B1793" si="54">H1730</f>
        <v>0.72993680000000005</v>
      </c>
      <c r="D1730">
        <f t="shared" ref="D1730:D1793" si="55">G1730*-1000/3.18</f>
        <v>293.44918238993711</v>
      </c>
      <c r="G1730" s="21">
        <v>-0.93316840000000001</v>
      </c>
      <c r="H1730" s="21">
        <v>0.72993680000000005</v>
      </c>
    </row>
    <row r="1731" spans="1:8" x14ac:dyDescent="0.15">
      <c r="A1731" s="21">
        <v>3.3769529999999999E-2</v>
      </c>
      <c r="B1731" s="21">
        <f t="shared" si="54"/>
        <v>0.73072400000000004</v>
      </c>
      <c r="D1731">
        <f t="shared" si="55"/>
        <v>293.7671383647799</v>
      </c>
      <c r="G1731" s="21">
        <v>-0.93417950000000005</v>
      </c>
      <c r="H1731" s="21">
        <v>0.73072400000000004</v>
      </c>
    </row>
    <row r="1732" spans="1:8" x14ac:dyDescent="0.15">
      <c r="A1732" s="21">
        <v>3.3789060000000003E-2</v>
      </c>
      <c r="B1732" s="21">
        <f t="shared" si="54"/>
        <v>0.70587840000000002</v>
      </c>
      <c r="D1732">
        <f t="shared" si="55"/>
        <v>283.83176100628924</v>
      </c>
      <c r="G1732" s="21">
        <v>-0.90258499999999997</v>
      </c>
      <c r="H1732" s="21">
        <v>0.70587840000000002</v>
      </c>
    </row>
    <row r="1733" spans="1:8" x14ac:dyDescent="0.15">
      <c r="A1733" s="21">
        <v>3.3808589999999999E-2</v>
      </c>
      <c r="B1733" s="21">
        <f t="shared" si="54"/>
        <v>0.65760540000000001</v>
      </c>
      <c r="D1733">
        <f t="shared" si="55"/>
        <v>264.44393081761007</v>
      </c>
      <c r="G1733" s="21">
        <v>-0.84093169999999995</v>
      </c>
      <c r="H1733" s="21">
        <v>0.65760540000000001</v>
      </c>
    </row>
    <row r="1734" spans="1:8" x14ac:dyDescent="0.15">
      <c r="A1734" s="21">
        <v>3.3828129999999998E-2</v>
      </c>
      <c r="B1734" s="21">
        <f t="shared" si="54"/>
        <v>0.5860824</v>
      </c>
      <c r="D1734">
        <f t="shared" si="55"/>
        <v>235.76930817610062</v>
      </c>
      <c r="G1734" s="21">
        <v>-0.74974640000000004</v>
      </c>
      <c r="H1734" s="21">
        <v>0.5860824</v>
      </c>
    </row>
    <row r="1735" spans="1:8" x14ac:dyDescent="0.15">
      <c r="A1735" s="21">
        <v>3.3847660000000002E-2</v>
      </c>
      <c r="B1735" s="21">
        <f t="shared" si="54"/>
        <v>0.49510870000000001</v>
      </c>
      <c r="D1735">
        <f t="shared" si="55"/>
        <v>199.19559748427668</v>
      </c>
      <c r="G1735" s="21">
        <v>-0.63344199999999995</v>
      </c>
      <c r="H1735" s="21">
        <v>0.49510870000000001</v>
      </c>
    </row>
    <row r="1736" spans="1:8" x14ac:dyDescent="0.15">
      <c r="A1736" s="21">
        <v>3.3867189999999998E-2</v>
      </c>
      <c r="B1736" s="21">
        <f t="shared" si="54"/>
        <v>0.38830150000000002</v>
      </c>
      <c r="D1736">
        <f t="shared" si="55"/>
        <v>156.17921383647797</v>
      </c>
      <c r="G1736" s="21">
        <v>-0.49664989999999998</v>
      </c>
      <c r="H1736" s="21">
        <v>0.38830150000000002</v>
      </c>
    </row>
    <row r="1737" spans="1:8" x14ac:dyDescent="0.15">
      <c r="A1737" s="21">
        <v>3.3886720000000002E-2</v>
      </c>
      <c r="B1737" s="21">
        <f t="shared" si="54"/>
        <v>0.26654230000000001</v>
      </c>
      <c r="D1737">
        <f t="shared" si="55"/>
        <v>107.3748113207547</v>
      </c>
      <c r="G1737" s="21">
        <v>-0.34145189999999997</v>
      </c>
      <c r="H1737" s="21">
        <v>0.26654230000000001</v>
      </c>
    </row>
    <row r="1738" spans="1:8" x14ac:dyDescent="0.15">
      <c r="A1738" s="21">
        <v>3.3906249999999999E-2</v>
      </c>
      <c r="B1738" s="21">
        <f t="shared" si="54"/>
        <v>0.1347537</v>
      </c>
      <c r="D1738">
        <f t="shared" si="55"/>
        <v>54.600503144654077</v>
      </c>
      <c r="G1738" s="21">
        <v>-0.1736296</v>
      </c>
      <c r="H1738" s="21">
        <v>0.1347537</v>
      </c>
    </row>
    <row r="1739" spans="1:8" x14ac:dyDescent="0.15">
      <c r="A1739" s="21">
        <v>3.3925780000000003E-2</v>
      </c>
      <c r="B1739" s="21">
        <f t="shared" si="54"/>
        <v>-2.0415490000000001E-3</v>
      </c>
      <c r="D1739">
        <f t="shared" si="55"/>
        <v>-0.10682279874213836</v>
      </c>
      <c r="G1739" s="21">
        <v>3.3969650000000002E-4</v>
      </c>
      <c r="H1739" s="21">
        <v>-2.0415490000000001E-3</v>
      </c>
    </row>
    <row r="1740" spans="1:8" x14ac:dyDescent="0.15">
      <c r="A1740" s="21">
        <v>3.3945309999999999E-2</v>
      </c>
      <c r="B1740" s="21">
        <f t="shared" si="54"/>
        <v>-0.1374002</v>
      </c>
      <c r="D1740">
        <f t="shared" si="55"/>
        <v>-54.049465408805034</v>
      </c>
      <c r="G1740" s="21">
        <v>0.17187730000000001</v>
      </c>
      <c r="H1740" s="21">
        <v>-0.1374002</v>
      </c>
    </row>
    <row r="1741" spans="1:8" x14ac:dyDescent="0.15">
      <c r="A1741" s="21">
        <v>3.3964840000000003E-2</v>
      </c>
      <c r="B1741" s="21">
        <f t="shared" si="54"/>
        <v>-0.2650228</v>
      </c>
      <c r="D1741">
        <f t="shared" si="55"/>
        <v>-105.10437106918241</v>
      </c>
      <c r="G1741" s="21">
        <v>0.33423190000000003</v>
      </c>
      <c r="H1741" s="21">
        <v>-0.2650228</v>
      </c>
    </row>
    <row r="1742" spans="1:8" x14ac:dyDescent="0.15">
      <c r="A1742" s="21">
        <v>3.3984380000000002E-2</v>
      </c>
      <c r="B1742" s="21">
        <f t="shared" si="54"/>
        <v>-0.38438129999999998</v>
      </c>
      <c r="D1742">
        <f t="shared" si="55"/>
        <v>-153.03330188679246</v>
      </c>
      <c r="G1742" s="21">
        <v>0.48664590000000002</v>
      </c>
      <c r="H1742" s="21">
        <v>-0.38438129999999998</v>
      </c>
    </row>
    <row r="1743" spans="1:8" x14ac:dyDescent="0.15">
      <c r="A1743" s="21">
        <v>3.4003909999999998E-2</v>
      </c>
      <c r="B1743" s="21">
        <f t="shared" si="54"/>
        <v>-0.4918302</v>
      </c>
      <c r="D1743">
        <f t="shared" si="55"/>
        <v>-196.01122641509431</v>
      </c>
      <c r="G1743" s="21">
        <v>0.62331570000000003</v>
      </c>
      <c r="H1743" s="21">
        <v>-0.4918302</v>
      </c>
    </row>
    <row r="1744" spans="1:8" x14ac:dyDescent="0.15">
      <c r="A1744" s="21">
        <v>3.4023440000000002E-2</v>
      </c>
      <c r="B1744" s="21">
        <f t="shared" si="54"/>
        <v>-0.58280019999999999</v>
      </c>
      <c r="D1744">
        <f t="shared" si="55"/>
        <v>-232.34465408805031</v>
      </c>
      <c r="G1744" s="21">
        <v>0.73885599999999996</v>
      </c>
      <c r="H1744" s="21">
        <v>-0.58280019999999999</v>
      </c>
    </row>
    <row r="1745" spans="1:8" x14ac:dyDescent="0.15">
      <c r="A1745" s="21">
        <v>3.4042969999999999E-2</v>
      </c>
      <c r="B1745" s="21">
        <f t="shared" si="54"/>
        <v>-0.65511900000000001</v>
      </c>
      <c r="D1745">
        <f t="shared" si="55"/>
        <v>-261.33298742138362</v>
      </c>
      <c r="G1745" s="21">
        <v>0.83103890000000002</v>
      </c>
      <c r="H1745" s="21">
        <v>-0.65511900000000001</v>
      </c>
    </row>
    <row r="1746" spans="1:8" x14ac:dyDescent="0.15">
      <c r="A1746" s="21">
        <v>3.4062500000000002E-2</v>
      </c>
      <c r="B1746" s="21">
        <f t="shared" si="54"/>
        <v>-0.70422530000000005</v>
      </c>
      <c r="D1746">
        <f t="shared" si="55"/>
        <v>-281.23015723270441</v>
      </c>
      <c r="G1746" s="21">
        <v>0.89431190000000005</v>
      </c>
      <c r="H1746" s="21">
        <v>-0.70422530000000005</v>
      </c>
    </row>
    <row r="1747" spans="1:8" x14ac:dyDescent="0.15">
      <c r="A1747" s="21">
        <v>3.4082029999999999E-2</v>
      </c>
      <c r="B1747" s="21">
        <f t="shared" si="54"/>
        <v>-0.72993969999999997</v>
      </c>
      <c r="D1747">
        <f t="shared" si="55"/>
        <v>-291.83823899371066</v>
      </c>
      <c r="G1747" s="21">
        <v>0.92804560000000003</v>
      </c>
      <c r="H1747" s="21">
        <v>-0.72993969999999997</v>
      </c>
    </row>
    <row r="1748" spans="1:8" x14ac:dyDescent="0.15">
      <c r="A1748" s="21">
        <v>3.4101560000000003E-2</v>
      </c>
      <c r="B1748" s="21">
        <f t="shared" si="54"/>
        <v>-0.73264050000000003</v>
      </c>
      <c r="D1748">
        <f t="shared" si="55"/>
        <v>-293.00443396226416</v>
      </c>
      <c r="G1748" s="21">
        <v>0.93175410000000003</v>
      </c>
      <c r="H1748" s="21">
        <v>-0.73264050000000003</v>
      </c>
    </row>
    <row r="1749" spans="1:8" x14ac:dyDescent="0.15">
      <c r="A1749" s="21">
        <v>3.412109E-2</v>
      </c>
      <c r="B1749" s="21">
        <f t="shared" si="54"/>
        <v>-0.70939960000000002</v>
      </c>
      <c r="D1749">
        <f t="shared" si="55"/>
        <v>-283.85981132075466</v>
      </c>
      <c r="G1749" s="21">
        <v>0.90267419999999998</v>
      </c>
      <c r="H1749" s="21">
        <v>-0.70939960000000002</v>
      </c>
    </row>
    <row r="1750" spans="1:8" x14ac:dyDescent="0.15">
      <c r="A1750" s="21">
        <v>3.4140629999999998E-2</v>
      </c>
      <c r="B1750" s="21">
        <f t="shared" si="54"/>
        <v>-0.66248019999999996</v>
      </c>
      <c r="D1750">
        <f t="shared" si="55"/>
        <v>-265.42459119496857</v>
      </c>
      <c r="G1750" s="21">
        <v>0.84405019999999997</v>
      </c>
      <c r="H1750" s="21">
        <v>-0.66248019999999996</v>
      </c>
    </row>
    <row r="1751" spans="1:8" x14ac:dyDescent="0.15">
      <c r="A1751" s="21">
        <v>3.4160160000000002E-2</v>
      </c>
      <c r="B1751" s="21">
        <f t="shared" si="54"/>
        <v>-0.59316579999999997</v>
      </c>
      <c r="D1751">
        <f t="shared" si="55"/>
        <v>-237.81084905660379</v>
      </c>
      <c r="G1751" s="21">
        <v>0.75623850000000004</v>
      </c>
      <c r="H1751" s="21">
        <v>-0.59316579999999997</v>
      </c>
    </row>
    <row r="1752" spans="1:8" x14ac:dyDescent="0.15">
      <c r="A1752" s="21">
        <v>3.4179689999999999E-2</v>
      </c>
      <c r="B1752" s="21">
        <f t="shared" si="54"/>
        <v>-0.50223430000000002</v>
      </c>
      <c r="D1752">
        <f t="shared" si="55"/>
        <v>-201.4854716981132</v>
      </c>
      <c r="G1752" s="21">
        <v>0.64072379999999995</v>
      </c>
      <c r="H1752" s="21">
        <v>-0.50223430000000002</v>
      </c>
    </row>
    <row r="1753" spans="1:8" x14ac:dyDescent="0.15">
      <c r="A1753" s="21">
        <v>3.4199220000000002E-2</v>
      </c>
      <c r="B1753" s="21">
        <f t="shared" si="54"/>
        <v>-0.3949937</v>
      </c>
      <c r="D1753">
        <f t="shared" si="55"/>
        <v>-158.6596855345912</v>
      </c>
      <c r="G1753" s="21">
        <v>0.50453780000000004</v>
      </c>
      <c r="H1753" s="21">
        <v>-0.3949937</v>
      </c>
    </row>
    <row r="1754" spans="1:8" x14ac:dyDescent="0.15">
      <c r="A1754" s="21">
        <v>3.4218749999999999E-2</v>
      </c>
      <c r="B1754" s="21">
        <f t="shared" si="54"/>
        <v>-0.27323750000000002</v>
      </c>
      <c r="D1754">
        <f t="shared" si="55"/>
        <v>-109.98446540880504</v>
      </c>
      <c r="G1754" s="21">
        <v>0.34975060000000002</v>
      </c>
      <c r="H1754" s="21">
        <v>-0.27323750000000002</v>
      </c>
    </row>
    <row r="1755" spans="1:8" x14ac:dyDescent="0.15">
      <c r="A1755" s="21">
        <v>3.4238280000000003E-2</v>
      </c>
      <c r="B1755" s="21">
        <f t="shared" si="54"/>
        <v>-0.14132700000000001</v>
      </c>
      <c r="D1755">
        <f t="shared" si="55"/>
        <v>-57.316163522012573</v>
      </c>
      <c r="G1755" s="21">
        <v>0.18226539999999999</v>
      </c>
      <c r="H1755" s="21">
        <v>-0.14132700000000001</v>
      </c>
    </row>
    <row r="1756" spans="1:8" x14ac:dyDescent="0.15">
      <c r="A1756" s="21">
        <v>3.425781E-2</v>
      </c>
      <c r="B1756" s="21">
        <f t="shared" si="54"/>
        <v>-6.5616759999999998E-3</v>
      </c>
      <c r="D1756">
        <f t="shared" si="55"/>
        <v>-3.3044308176100623</v>
      </c>
      <c r="G1756" s="21">
        <v>1.0508089999999999E-2</v>
      </c>
      <c r="H1756" s="21">
        <v>-6.5616759999999998E-3</v>
      </c>
    </row>
    <row r="1757" spans="1:8" x14ac:dyDescent="0.15">
      <c r="A1757" s="21">
        <v>3.4277340000000003E-2</v>
      </c>
      <c r="B1757" s="21">
        <f t="shared" si="54"/>
        <v>0.12873960000000001</v>
      </c>
      <c r="D1757">
        <f t="shared" si="55"/>
        <v>51.059433962264151</v>
      </c>
      <c r="G1757" s="21">
        <v>-0.16236900000000001</v>
      </c>
      <c r="H1757" s="21">
        <v>0.12873960000000001</v>
      </c>
    </row>
    <row r="1758" spans="1:8" x14ac:dyDescent="0.15">
      <c r="A1758" s="21">
        <v>3.429687E-2</v>
      </c>
      <c r="B1758" s="21">
        <f t="shared" si="54"/>
        <v>0.25887909999999997</v>
      </c>
      <c r="D1758">
        <f t="shared" si="55"/>
        <v>103.20952830188679</v>
      </c>
      <c r="G1758" s="21">
        <v>-0.32820630000000001</v>
      </c>
      <c r="H1758" s="21">
        <v>0.25887909999999997</v>
      </c>
    </row>
    <row r="1759" spans="1:8" x14ac:dyDescent="0.15">
      <c r="A1759" s="21">
        <v>3.4316409999999999E-2</v>
      </c>
      <c r="B1759" s="21">
        <f t="shared" si="54"/>
        <v>0.37852849999999999</v>
      </c>
      <c r="D1759">
        <f t="shared" si="55"/>
        <v>151.27801886792452</v>
      </c>
      <c r="G1759" s="21">
        <v>-0.48106409999999999</v>
      </c>
      <c r="H1759" s="21">
        <v>0.37852849999999999</v>
      </c>
    </row>
    <row r="1760" spans="1:8" x14ac:dyDescent="0.15">
      <c r="A1760" s="21">
        <v>3.4335940000000002E-2</v>
      </c>
      <c r="B1760" s="21">
        <f t="shared" si="54"/>
        <v>0.48661159999999998</v>
      </c>
      <c r="D1760">
        <f t="shared" si="55"/>
        <v>194.90163522012577</v>
      </c>
      <c r="G1760" s="21">
        <v>-0.61978719999999998</v>
      </c>
      <c r="H1760" s="21">
        <v>0.48661159999999998</v>
      </c>
    </row>
    <row r="1761" spans="1:8" x14ac:dyDescent="0.15">
      <c r="A1761" s="21">
        <v>3.4355469999999999E-2</v>
      </c>
      <c r="B1761" s="21">
        <f t="shared" si="54"/>
        <v>0.57806489999999999</v>
      </c>
      <c r="D1761">
        <f t="shared" si="55"/>
        <v>231.79386792452829</v>
      </c>
      <c r="G1761" s="21">
        <v>-0.73710450000000005</v>
      </c>
      <c r="H1761" s="21">
        <v>0.57806489999999999</v>
      </c>
    </row>
    <row r="1762" spans="1:8" x14ac:dyDescent="0.15">
      <c r="A1762" s="21">
        <v>3.4375000000000003E-2</v>
      </c>
      <c r="B1762" s="21">
        <f t="shared" si="54"/>
        <v>0.64927860000000004</v>
      </c>
      <c r="D1762">
        <f t="shared" si="55"/>
        <v>260.55654088050312</v>
      </c>
      <c r="G1762" s="21">
        <v>-0.82856980000000002</v>
      </c>
      <c r="H1762" s="21">
        <v>0.64927860000000004</v>
      </c>
    </row>
    <row r="1763" spans="1:8" x14ac:dyDescent="0.15">
      <c r="A1763" s="21">
        <v>3.439453E-2</v>
      </c>
      <c r="B1763" s="21">
        <f t="shared" si="54"/>
        <v>0.69970690000000002</v>
      </c>
      <c r="D1763">
        <f t="shared" si="55"/>
        <v>281.07377358490567</v>
      </c>
      <c r="G1763" s="21">
        <v>-0.89381460000000001</v>
      </c>
      <c r="H1763" s="21">
        <v>0.69970690000000002</v>
      </c>
    </row>
    <row r="1764" spans="1:8" x14ac:dyDescent="0.15">
      <c r="A1764" s="21">
        <v>3.4414060000000003E-2</v>
      </c>
      <c r="B1764" s="21">
        <f t="shared" si="54"/>
        <v>0.7278114</v>
      </c>
      <c r="D1764">
        <f t="shared" si="55"/>
        <v>292.5961006289308</v>
      </c>
      <c r="G1764" s="21">
        <v>-0.93045560000000005</v>
      </c>
      <c r="H1764" s="21">
        <v>0.7278114</v>
      </c>
    </row>
    <row r="1765" spans="1:8" x14ac:dyDescent="0.15">
      <c r="A1765" s="21">
        <v>3.443359E-2</v>
      </c>
      <c r="B1765" s="21">
        <f t="shared" si="54"/>
        <v>0.73227969999999998</v>
      </c>
      <c r="D1765">
        <f t="shared" si="55"/>
        <v>294.45610062893081</v>
      </c>
      <c r="G1765" s="21">
        <v>-0.93637040000000005</v>
      </c>
      <c r="H1765" s="21">
        <v>0.73227969999999998</v>
      </c>
    </row>
    <row r="1766" spans="1:8" x14ac:dyDescent="0.15">
      <c r="A1766" s="21">
        <v>3.4453129999999998E-2</v>
      </c>
      <c r="B1766" s="21">
        <f t="shared" si="54"/>
        <v>0.71101890000000001</v>
      </c>
      <c r="D1766">
        <f t="shared" si="55"/>
        <v>285.83355345911946</v>
      </c>
      <c r="G1766" s="21">
        <v>-0.9089507</v>
      </c>
      <c r="H1766" s="21">
        <v>0.71101890000000001</v>
      </c>
    </row>
    <row r="1767" spans="1:8" x14ac:dyDescent="0.15">
      <c r="A1767" s="21">
        <v>3.4472660000000002E-2</v>
      </c>
      <c r="B1767" s="21">
        <f t="shared" si="54"/>
        <v>0.66484869999999996</v>
      </c>
      <c r="D1767">
        <f t="shared" si="55"/>
        <v>267.32908805031445</v>
      </c>
      <c r="G1767" s="21">
        <v>-0.85010649999999999</v>
      </c>
      <c r="H1767" s="21">
        <v>0.66484869999999996</v>
      </c>
    </row>
    <row r="1768" spans="1:8" x14ac:dyDescent="0.15">
      <c r="A1768" s="21">
        <v>3.4492189999999999E-2</v>
      </c>
      <c r="B1768" s="21">
        <f t="shared" si="54"/>
        <v>0.59668520000000003</v>
      </c>
      <c r="D1768">
        <f t="shared" si="55"/>
        <v>240.04867924528298</v>
      </c>
      <c r="G1768" s="21">
        <v>-0.7633548</v>
      </c>
      <c r="H1768" s="21">
        <v>0.59668520000000003</v>
      </c>
    </row>
    <row r="1769" spans="1:8" x14ac:dyDescent="0.15">
      <c r="A1769" s="21">
        <v>3.4511720000000003E-2</v>
      </c>
      <c r="B1769" s="21">
        <f t="shared" si="54"/>
        <v>0.50822310000000004</v>
      </c>
      <c r="D1769">
        <f t="shared" si="55"/>
        <v>204.40320754716981</v>
      </c>
      <c r="G1769" s="21">
        <v>-0.65000219999999997</v>
      </c>
      <c r="H1769" s="21">
        <v>0.50822310000000004</v>
      </c>
    </row>
    <row r="1770" spans="1:8" x14ac:dyDescent="0.15">
      <c r="A1770" s="21">
        <v>3.4531249999999999E-2</v>
      </c>
      <c r="B1770" s="21">
        <f t="shared" si="54"/>
        <v>0.40333849999999999</v>
      </c>
      <c r="D1770">
        <f t="shared" si="55"/>
        <v>162.24902515723269</v>
      </c>
      <c r="G1770" s="21">
        <v>-0.51595190000000002</v>
      </c>
      <c r="H1770" s="21">
        <v>0.40333849999999999</v>
      </c>
    </row>
    <row r="1771" spans="1:8" x14ac:dyDescent="0.15">
      <c r="A1771" s="21">
        <v>3.4550780000000003E-2</v>
      </c>
      <c r="B1771" s="21">
        <f t="shared" si="54"/>
        <v>0.28410170000000001</v>
      </c>
      <c r="D1771">
        <f t="shared" si="55"/>
        <v>114.42905660377357</v>
      </c>
      <c r="G1771" s="21">
        <v>-0.3638844</v>
      </c>
      <c r="H1771" s="21">
        <v>0.28410170000000001</v>
      </c>
    </row>
    <row r="1772" spans="1:8" x14ac:dyDescent="0.15">
      <c r="A1772" s="21">
        <v>3.457031E-2</v>
      </c>
      <c r="B1772" s="21">
        <f t="shared" si="54"/>
        <v>0.15233579999999999</v>
      </c>
      <c r="D1772">
        <f t="shared" si="55"/>
        <v>61.594433962264141</v>
      </c>
      <c r="G1772" s="21">
        <v>-0.1958703</v>
      </c>
      <c r="H1772" s="21">
        <v>0.15233579999999999</v>
      </c>
    </row>
    <row r="1773" spans="1:8" x14ac:dyDescent="0.15">
      <c r="A1773" s="21">
        <v>3.4589839999999997E-2</v>
      </c>
      <c r="B1773" s="21">
        <f t="shared" si="54"/>
        <v>1.5752550000000001E-2</v>
      </c>
      <c r="D1773">
        <f t="shared" si="55"/>
        <v>7.1069905660377355</v>
      </c>
      <c r="G1773" s="21">
        <v>-2.2600229999999999E-2</v>
      </c>
      <c r="H1773" s="21">
        <v>1.5752550000000001E-2</v>
      </c>
    </row>
    <row r="1774" spans="1:8" x14ac:dyDescent="0.15">
      <c r="A1774" s="21">
        <v>3.460937E-2</v>
      </c>
      <c r="B1774" s="21">
        <f t="shared" si="54"/>
        <v>-0.11946180000000001</v>
      </c>
      <c r="D1774">
        <f t="shared" si="55"/>
        <v>-46.899779874213834</v>
      </c>
      <c r="G1774" s="21">
        <v>0.1491413</v>
      </c>
      <c r="H1774" s="21">
        <v>-0.11946180000000001</v>
      </c>
    </row>
    <row r="1775" spans="1:8" x14ac:dyDescent="0.15">
      <c r="A1775" s="21">
        <v>3.4628909999999999E-2</v>
      </c>
      <c r="B1775" s="21">
        <f t="shared" si="54"/>
        <v>-0.24922469999999999</v>
      </c>
      <c r="D1775">
        <f t="shared" si="55"/>
        <v>-98.88059748427672</v>
      </c>
      <c r="G1775" s="21">
        <v>0.31444030000000001</v>
      </c>
      <c r="H1775" s="21">
        <v>-0.24922469999999999</v>
      </c>
    </row>
    <row r="1776" spans="1:8" x14ac:dyDescent="0.15">
      <c r="A1776" s="21">
        <v>3.4648440000000003E-2</v>
      </c>
      <c r="B1776" s="21">
        <f t="shared" si="54"/>
        <v>-0.3688514</v>
      </c>
      <c r="D1776">
        <f t="shared" si="55"/>
        <v>-146.73855345911949</v>
      </c>
      <c r="G1776" s="21">
        <v>0.4666286</v>
      </c>
      <c r="H1776" s="21">
        <v>-0.3688514</v>
      </c>
    </row>
    <row r="1777" spans="1:8" x14ac:dyDescent="0.15">
      <c r="A1777" s="21">
        <v>3.4667969999999999E-2</v>
      </c>
      <c r="B1777" s="21">
        <f t="shared" si="54"/>
        <v>-0.47757309999999997</v>
      </c>
      <c r="D1777">
        <f t="shared" si="55"/>
        <v>-190.30955974842766</v>
      </c>
      <c r="G1777" s="21">
        <v>0.60518439999999996</v>
      </c>
      <c r="H1777" s="21">
        <v>-0.47757309999999997</v>
      </c>
    </row>
    <row r="1778" spans="1:8" x14ac:dyDescent="0.15">
      <c r="A1778" s="21">
        <v>3.4687500000000003E-2</v>
      </c>
      <c r="B1778" s="21">
        <f t="shared" si="54"/>
        <v>-0.57219869999999995</v>
      </c>
      <c r="D1778">
        <f t="shared" si="55"/>
        <v>-228.1324528301887</v>
      </c>
      <c r="G1778" s="21">
        <v>0.72546120000000003</v>
      </c>
      <c r="H1778" s="21">
        <v>-0.57219869999999995</v>
      </c>
    </row>
    <row r="1779" spans="1:8" x14ac:dyDescent="0.15">
      <c r="A1779" s="21">
        <v>3.470703E-2</v>
      </c>
      <c r="B1779" s="21">
        <f t="shared" si="54"/>
        <v>-0.64672819999999998</v>
      </c>
      <c r="D1779">
        <f t="shared" si="55"/>
        <v>-257.99119496855343</v>
      </c>
      <c r="G1779" s="21">
        <v>0.82041200000000003</v>
      </c>
      <c r="H1779" s="21">
        <v>-0.64672819999999998</v>
      </c>
    </row>
    <row r="1780" spans="1:8" x14ac:dyDescent="0.15">
      <c r="A1780" s="21">
        <v>3.4726559999999997E-2</v>
      </c>
      <c r="B1780" s="21">
        <f t="shared" si="54"/>
        <v>-0.69933069999999997</v>
      </c>
      <c r="D1780">
        <f t="shared" si="55"/>
        <v>-279.33732704402519</v>
      </c>
      <c r="G1780" s="21">
        <v>0.88829270000000005</v>
      </c>
      <c r="H1780" s="21">
        <v>-0.69933069999999997</v>
      </c>
    </row>
    <row r="1781" spans="1:8" x14ac:dyDescent="0.15">
      <c r="A1781" s="21">
        <v>3.474609E-2</v>
      </c>
      <c r="B1781" s="21">
        <f t="shared" si="54"/>
        <v>-0.72826539999999995</v>
      </c>
      <c r="D1781">
        <f t="shared" si="55"/>
        <v>-291.10238993710692</v>
      </c>
      <c r="G1781" s="21">
        <v>0.92570560000000002</v>
      </c>
      <c r="H1781" s="21">
        <v>-0.72826539999999995</v>
      </c>
    </row>
    <row r="1782" spans="1:8" x14ac:dyDescent="0.15">
      <c r="A1782" s="21">
        <v>3.4765629999999999E-2</v>
      </c>
      <c r="B1782" s="21">
        <f t="shared" si="54"/>
        <v>-0.73291240000000002</v>
      </c>
      <c r="D1782">
        <f t="shared" si="55"/>
        <v>-293.1149056603773</v>
      </c>
      <c r="G1782" s="21">
        <v>0.93210539999999997</v>
      </c>
      <c r="H1782" s="21">
        <v>-0.73291240000000002</v>
      </c>
    </row>
    <row r="1783" spans="1:8" x14ac:dyDescent="0.15">
      <c r="A1783" s="21">
        <v>3.4785160000000002E-2</v>
      </c>
      <c r="B1783" s="21">
        <f t="shared" si="54"/>
        <v>-0.71389499999999995</v>
      </c>
      <c r="D1783">
        <f t="shared" si="55"/>
        <v>-285.70943396226414</v>
      </c>
      <c r="G1783" s="21">
        <v>0.90855600000000003</v>
      </c>
      <c r="H1783" s="21">
        <v>-0.71389499999999995</v>
      </c>
    </row>
    <row r="1784" spans="1:8" x14ac:dyDescent="0.15">
      <c r="A1784" s="21">
        <v>3.4804689999999999E-2</v>
      </c>
      <c r="B1784" s="21">
        <f t="shared" si="54"/>
        <v>-0.67000649999999995</v>
      </c>
      <c r="D1784">
        <f t="shared" si="55"/>
        <v>-268.38974842767294</v>
      </c>
      <c r="G1784" s="21">
        <v>0.8534794</v>
      </c>
      <c r="H1784" s="21">
        <v>-0.67000649999999995</v>
      </c>
    </row>
    <row r="1785" spans="1:8" x14ac:dyDescent="0.15">
      <c r="A1785" s="21">
        <v>3.4824220000000003E-2</v>
      </c>
      <c r="B1785" s="21">
        <f t="shared" si="54"/>
        <v>-0.6032303</v>
      </c>
      <c r="D1785">
        <f t="shared" si="55"/>
        <v>-241.92581761006286</v>
      </c>
      <c r="G1785" s="21">
        <v>0.76932409999999996</v>
      </c>
      <c r="H1785" s="21">
        <v>-0.6032303</v>
      </c>
    </row>
    <row r="1786" spans="1:8" x14ac:dyDescent="0.15">
      <c r="A1786" s="21">
        <v>3.484375E-2</v>
      </c>
      <c r="B1786" s="21">
        <f t="shared" si="54"/>
        <v>-0.51622619999999997</v>
      </c>
      <c r="D1786">
        <f t="shared" si="55"/>
        <v>-207.14622641509433</v>
      </c>
      <c r="G1786" s="21">
        <v>0.658725</v>
      </c>
      <c r="H1786" s="21">
        <v>-0.51622619999999997</v>
      </c>
    </row>
    <row r="1787" spans="1:8" x14ac:dyDescent="0.15">
      <c r="A1787" s="21">
        <v>3.4863280000000003E-2</v>
      </c>
      <c r="B1787" s="21">
        <f t="shared" si="54"/>
        <v>-0.41004350000000001</v>
      </c>
      <c r="D1787">
        <f t="shared" si="55"/>
        <v>-164.59723270440247</v>
      </c>
      <c r="G1787" s="21">
        <v>0.52341919999999997</v>
      </c>
      <c r="H1787" s="21">
        <v>-0.41004350000000001</v>
      </c>
    </row>
    <row r="1788" spans="1:8" x14ac:dyDescent="0.15">
      <c r="A1788" s="21">
        <v>3.488281E-2</v>
      </c>
      <c r="B1788" s="21">
        <f t="shared" si="54"/>
        <v>-0.2894989</v>
      </c>
      <c r="D1788">
        <f t="shared" si="55"/>
        <v>-116.5145283018868</v>
      </c>
      <c r="G1788" s="21">
        <v>0.37051620000000002</v>
      </c>
      <c r="H1788" s="21">
        <v>-0.2894989</v>
      </c>
    </row>
    <row r="1789" spans="1:8" x14ac:dyDescent="0.15">
      <c r="A1789" s="21">
        <v>3.4902339999999997E-2</v>
      </c>
      <c r="B1789" s="21">
        <f t="shared" si="54"/>
        <v>-0.15971089999999999</v>
      </c>
      <c r="D1789">
        <f t="shared" si="55"/>
        <v>-64.716949685534587</v>
      </c>
      <c r="G1789" s="21">
        <v>0.20579990000000001</v>
      </c>
      <c r="H1789" s="21">
        <v>-0.15971089999999999</v>
      </c>
    </row>
    <row r="1790" spans="1:8" x14ac:dyDescent="0.15">
      <c r="A1790" s="21">
        <v>3.4921870000000001E-2</v>
      </c>
      <c r="B1790" s="21">
        <f t="shared" si="54"/>
        <v>-2.41642E-2</v>
      </c>
      <c r="D1790">
        <f t="shared" si="55"/>
        <v>-10.301569182389938</v>
      </c>
      <c r="G1790" s="21">
        <v>3.2758990000000002E-2</v>
      </c>
      <c r="H1790" s="21">
        <v>-2.41642E-2</v>
      </c>
    </row>
    <row r="1791" spans="1:8" x14ac:dyDescent="0.15">
      <c r="A1791" s="21">
        <v>3.4941409999999999E-2</v>
      </c>
      <c r="B1791" s="21">
        <f t="shared" si="54"/>
        <v>0.11102529999999999</v>
      </c>
      <c r="D1791">
        <f t="shared" si="55"/>
        <v>43.962610062893084</v>
      </c>
      <c r="G1791" s="21">
        <v>-0.13980110000000001</v>
      </c>
      <c r="H1791" s="21">
        <v>0.11102529999999999</v>
      </c>
    </row>
    <row r="1792" spans="1:8" x14ac:dyDescent="0.15">
      <c r="A1792" s="21">
        <v>3.4960940000000003E-2</v>
      </c>
      <c r="B1792" s="21">
        <f t="shared" si="54"/>
        <v>0.2411789</v>
      </c>
      <c r="D1792">
        <f t="shared" si="55"/>
        <v>96.13716981132076</v>
      </c>
      <c r="G1792" s="21">
        <v>-0.30571619999999999</v>
      </c>
      <c r="H1792" s="21">
        <v>0.2411789</v>
      </c>
    </row>
    <row r="1793" spans="1:8" x14ac:dyDescent="0.15">
      <c r="A1793" s="21">
        <v>3.498047E-2</v>
      </c>
      <c r="B1793" s="21">
        <f t="shared" si="54"/>
        <v>0.3634908</v>
      </c>
      <c r="D1793">
        <f t="shared" si="55"/>
        <v>145.26292452830188</v>
      </c>
      <c r="G1793" s="21">
        <v>-0.46193610000000002</v>
      </c>
      <c r="H1793" s="21">
        <v>0.3634908</v>
      </c>
    </row>
    <row r="1794" spans="1:8" x14ac:dyDescent="0.15">
      <c r="A1794" s="21">
        <v>3.5000000000000003E-2</v>
      </c>
      <c r="B1794" s="21">
        <f t="shared" ref="B1794:B1857" si="56">H1794</f>
        <v>0.47306910000000002</v>
      </c>
      <c r="D1794">
        <f t="shared" ref="D1794:D1857" si="57">G1794*-1000/3.18</f>
        <v>189.36433962264149</v>
      </c>
      <c r="G1794" s="21">
        <v>-0.60217860000000001</v>
      </c>
      <c r="H1794" s="21">
        <v>0.47306910000000002</v>
      </c>
    </row>
    <row r="1795" spans="1:8" x14ac:dyDescent="0.15">
      <c r="A1795" s="21">
        <v>3.501953E-2</v>
      </c>
      <c r="B1795" s="21">
        <f t="shared" si="56"/>
        <v>0.56692390000000004</v>
      </c>
      <c r="D1795">
        <f t="shared" si="57"/>
        <v>227.31311320754713</v>
      </c>
      <c r="G1795" s="21">
        <v>-0.72285569999999999</v>
      </c>
      <c r="H1795" s="21">
        <v>0.56692390000000004</v>
      </c>
    </row>
    <row r="1796" spans="1:8" x14ac:dyDescent="0.15">
      <c r="A1796" s="21">
        <v>3.5039059999999997E-2</v>
      </c>
      <c r="B1796" s="21">
        <f t="shared" si="56"/>
        <v>0.64152399999999998</v>
      </c>
      <c r="D1796">
        <f t="shared" si="57"/>
        <v>257.43949685534591</v>
      </c>
      <c r="G1796" s="21">
        <v>-0.81865759999999999</v>
      </c>
      <c r="H1796" s="21">
        <v>0.64152399999999998</v>
      </c>
    </row>
    <row r="1797" spans="1:8" x14ac:dyDescent="0.15">
      <c r="A1797" s="21">
        <v>3.5058590000000001E-2</v>
      </c>
      <c r="B1797" s="21">
        <f t="shared" si="56"/>
        <v>0.69361910000000004</v>
      </c>
      <c r="D1797">
        <f t="shared" si="57"/>
        <v>278.53254716981127</v>
      </c>
      <c r="G1797" s="21">
        <v>-0.88573349999999995</v>
      </c>
      <c r="H1797" s="21">
        <v>0.69361910000000004</v>
      </c>
    </row>
    <row r="1798" spans="1:8" x14ac:dyDescent="0.15">
      <c r="A1798" s="21">
        <v>3.5078129999999999E-2</v>
      </c>
      <c r="B1798" s="21">
        <f t="shared" si="56"/>
        <v>0.72507969999999999</v>
      </c>
      <c r="D1798">
        <f t="shared" si="57"/>
        <v>291.49172955974842</v>
      </c>
      <c r="G1798" s="21">
        <v>-0.92694370000000004</v>
      </c>
      <c r="H1798" s="21">
        <v>0.72507969999999999</v>
      </c>
    </row>
    <row r="1799" spans="1:8" x14ac:dyDescent="0.15">
      <c r="A1799" s="21">
        <v>3.5097660000000003E-2</v>
      </c>
      <c r="B1799" s="21">
        <f t="shared" si="56"/>
        <v>0.73324690000000003</v>
      </c>
      <c r="D1799">
        <f t="shared" si="57"/>
        <v>294.78150943396224</v>
      </c>
      <c r="G1799" s="21">
        <v>-0.93740520000000005</v>
      </c>
      <c r="H1799" s="21">
        <v>0.73324690000000003</v>
      </c>
    </row>
    <row r="1800" spans="1:8" x14ac:dyDescent="0.15">
      <c r="A1800" s="21">
        <v>3.511719E-2</v>
      </c>
      <c r="B1800" s="21">
        <f t="shared" si="56"/>
        <v>0.71479499999999996</v>
      </c>
      <c r="D1800">
        <f t="shared" si="57"/>
        <v>287.28729559748422</v>
      </c>
      <c r="G1800" s="21">
        <v>-0.91357359999999999</v>
      </c>
      <c r="H1800" s="21">
        <v>0.71479499999999996</v>
      </c>
    </row>
    <row r="1801" spans="1:8" x14ac:dyDescent="0.15">
      <c r="A1801" s="21">
        <v>3.5136720000000003E-2</v>
      </c>
      <c r="B1801" s="21">
        <f t="shared" si="56"/>
        <v>0.67272339999999997</v>
      </c>
      <c r="D1801">
        <f t="shared" si="57"/>
        <v>270.50833333333333</v>
      </c>
      <c r="G1801" s="21">
        <v>-0.86021650000000005</v>
      </c>
      <c r="H1801" s="21">
        <v>0.67272339999999997</v>
      </c>
    </row>
    <row r="1802" spans="1:8" x14ac:dyDescent="0.15">
      <c r="A1802" s="21">
        <v>3.515625E-2</v>
      </c>
      <c r="B1802" s="21">
        <f t="shared" si="56"/>
        <v>0.60718989999999995</v>
      </c>
      <c r="D1802">
        <f t="shared" si="57"/>
        <v>244.25031446540879</v>
      </c>
      <c r="G1802" s="21">
        <v>-0.77671599999999996</v>
      </c>
      <c r="H1802" s="21">
        <v>0.60718989999999995</v>
      </c>
    </row>
    <row r="1803" spans="1:8" x14ac:dyDescent="0.15">
      <c r="A1803" s="21">
        <v>3.5175779999999997E-2</v>
      </c>
      <c r="B1803" s="21">
        <f t="shared" si="56"/>
        <v>0.52040679999999995</v>
      </c>
      <c r="D1803">
        <f t="shared" si="57"/>
        <v>209.38823899371067</v>
      </c>
      <c r="G1803" s="21">
        <v>-0.66585459999999996</v>
      </c>
      <c r="H1803" s="21">
        <v>0.52040679999999995</v>
      </c>
    </row>
    <row r="1804" spans="1:8" x14ac:dyDescent="0.15">
      <c r="A1804" s="21">
        <v>3.519531E-2</v>
      </c>
      <c r="B1804" s="21">
        <f t="shared" si="56"/>
        <v>0.4178521</v>
      </c>
      <c r="D1804">
        <f t="shared" si="57"/>
        <v>168.10984276729562</v>
      </c>
      <c r="G1804" s="21">
        <v>-0.53458930000000005</v>
      </c>
      <c r="H1804" s="21">
        <v>0.4178521</v>
      </c>
    </row>
    <row r="1805" spans="1:8" x14ac:dyDescent="0.15">
      <c r="A1805" s="21">
        <v>3.5214839999999997E-2</v>
      </c>
      <c r="B1805" s="21">
        <f t="shared" si="56"/>
        <v>0.3001413</v>
      </c>
      <c r="D1805">
        <f t="shared" si="57"/>
        <v>120.8096855345912</v>
      </c>
      <c r="G1805" s="21">
        <v>-0.38417479999999998</v>
      </c>
      <c r="H1805" s="21">
        <v>0.3001413</v>
      </c>
    </row>
    <row r="1806" spans="1:8" x14ac:dyDescent="0.15">
      <c r="A1806" s="21">
        <v>3.5234370000000001E-2</v>
      </c>
      <c r="B1806" s="21">
        <f t="shared" si="56"/>
        <v>0.17015530000000001</v>
      </c>
      <c r="D1806">
        <f t="shared" si="57"/>
        <v>68.78276729559748</v>
      </c>
      <c r="G1806" s="21">
        <v>-0.21872920000000001</v>
      </c>
      <c r="H1806" s="21">
        <v>0.17015530000000001</v>
      </c>
    </row>
    <row r="1807" spans="1:8" x14ac:dyDescent="0.15">
      <c r="A1807" s="21">
        <v>3.5253909999999999E-2</v>
      </c>
      <c r="B1807" s="21">
        <f t="shared" si="56"/>
        <v>3.4105799999999999E-2</v>
      </c>
      <c r="D1807">
        <f t="shared" si="57"/>
        <v>14.372974842767295</v>
      </c>
      <c r="G1807" s="21">
        <v>-4.570606E-2</v>
      </c>
      <c r="H1807" s="21">
        <v>3.4105799999999999E-2</v>
      </c>
    </row>
    <row r="1808" spans="1:8" x14ac:dyDescent="0.15">
      <c r="A1808" s="21">
        <v>3.5273440000000003E-2</v>
      </c>
      <c r="B1808" s="21">
        <f t="shared" si="56"/>
        <v>-0.1023115</v>
      </c>
      <c r="D1808">
        <f t="shared" si="57"/>
        <v>-40.051792452830185</v>
      </c>
      <c r="G1808" s="21">
        <v>0.1273647</v>
      </c>
      <c r="H1808" s="21">
        <v>-0.1023115</v>
      </c>
    </row>
    <row r="1809" spans="1:8" x14ac:dyDescent="0.15">
      <c r="A1809" s="21">
        <v>3.529297E-2</v>
      </c>
      <c r="B1809" s="21">
        <f t="shared" si="56"/>
        <v>-0.2323403</v>
      </c>
      <c r="D1809">
        <f t="shared" si="57"/>
        <v>-91.945754716981142</v>
      </c>
      <c r="G1809" s="21">
        <v>0.29238750000000002</v>
      </c>
      <c r="H1809" s="21">
        <v>-0.2323403</v>
      </c>
    </row>
    <row r="1810" spans="1:8" x14ac:dyDescent="0.15">
      <c r="A1810" s="21">
        <v>3.5312499999999997E-2</v>
      </c>
      <c r="B1810" s="21">
        <f t="shared" si="56"/>
        <v>-0.35348400000000002</v>
      </c>
      <c r="D1810">
        <f t="shared" si="57"/>
        <v>-140.5754716981132</v>
      </c>
      <c r="G1810" s="21">
        <v>0.44702999999999998</v>
      </c>
      <c r="H1810" s="21">
        <v>-0.35348400000000002</v>
      </c>
    </row>
    <row r="1811" spans="1:8" x14ac:dyDescent="0.15">
      <c r="A1811" s="21">
        <v>3.533203E-2</v>
      </c>
      <c r="B1811" s="21">
        <f t="shared" si="56"/>
        <v>-0.46465309999999999</v>
      </c>
      <c r="D1811">
        <f t="shared" si="57"/>
        <v>-185.13698113207545</v>
      </c>
      <c r="G1811" s="21">
        <v>0.58873560000000003</v>
      </c>
      <c r="H1811" s="21">
        <v>-0.46465309999999999</v>
      </c>
    </row>
    <row r="1812" spans="1:8" x14ac:dyDescent="0.15">
      <c r="A1812" s="21">
        <v>3.5351559999999997E-2</v>
      </c>
      <c r="B1812" s="21">
        <f t="shared" si="56"/>
        <v>-0.5605734</v>
      </c>
      <c r="D1812">
        <f t="shared" si="57"/>
        <v>-223.39481132075468</v>
      </c>
      <c r="G1812" s="21">
        <v>0.71039549999999996</v>
      </c>
      <c r="H1812" s="21">
        <v>-0.5605734</v>
      </c>
    </row>
    <row r="1813" spans="1:8" x14ac:dyDescent="0.15">
      <c r="A1813" s="21">
        <v>3.5371090000000001E-2</v>
      </c>
      <c r="B1813" s="21">
        <f t="shared" si="56"/>
        <v>-0.63794050000000002</v>
      </c>
      <c r="D1813">
        <f t="shared" si="57"/>
        <v>-254.38358490566037</v>
      </c>
      <c r="G1813" s="21">
        <v>0.80893979999999999</v>
      </c>
      <c r="H1813" s="21">
        <v>-0.63794050000000002</v>
      </c>
    </row>
    <row r="1814" spans="1:8" x14ac:dyDescent="0.15">
      <c r="A1814" s="21">
        <v>3.5390629999999999E-2</v>
      </c>
      <c r="B1814" s="21">
        <f t="shared" si="56"/>
        <v>-0.69385759999999996</v>
      </c>
      <c r="D1814">
        <f t="shared" si="57"/>
        <v>-277.02927672955974</v>
      </c>
      <c r="G1814" s="21">
        <v>0.88095310000000004</v>
      </c>
      <c r="H1814" s="21">
        <v>-0.69385759999999996</v>
      </c>
    </row>
    <row r="1815" spans="1:8" x14ac:dyDescent="0.15">
      <c r="A1815" s="21">
        <v>3.5410160000000003E-2</v>
      </c>
      <c r="B1815" s="21">
        <f t="shared" si="56"/>
        <v>-0.7255007</v>
      </c>
      <c r="D1815">
        <f t="shared" si="57"/>
        <v>-289.96820754716981</v>
      </c>
      <c r="G1815" s="21">
        <v>0.92209890000000005</v>
      </c>
      <c r="H1815" s="21">
        <v>-0.7255007</v>
      </c>
    </row>
    <row r="1816" spans="1:8" x14ac:dyDescent="0.15">
      <c r="A1816" s="21">
        <v>3.542969E-2</v>
      </c>
      <c r="B1816" s="21">
        <f t="shared" si="56"/>
        <v>-0.73385549999999999</v>
      </c>
      <c r="D1816">
        <f t="shared" si="57"/>
        <v>-293.43525157232705</v>
      </c>
      <c r="G1816" s="21">
        <v>0.93312410000000001</v>
      </c>
      <c r="H1816" s="21">
        <v>-0.73385549999999999</v>
      </c>
    </row>
    <row r="1817" spans="1:8" x14ac:dyDescent="0.15">
      <c r="A1817" s="21">
        <v>3.5449219999999997E-2</v>
      </c>
      <c r="B1817" s="21">
        <f t="shared" si="56"/>
        <v>-0.71770109999999998</v>
      </c>
      <c r="D1817">
        <f t="shared" si="57"/>
        <v>-287.13704402515725</v>
      </c>
      <c r="G1817" s="21">
        <v>0.91309580000000001</v>
      </c>
      <c r="H1817" s="21">
        <v>-0.71770109999999998</v>
      </c>
    </row>
    <row r="1818" spans="1:8" x14ac:dyDescent="0.15">
      <c r="A1818" s="21">
        <v>3.546875E-2</v>
      </c>
      <c r="B1818" s="21">
        <f t="shared" si="56"/>
        <v>-0.67692770000000002</v>
      </c>
      <c r="D1818">
        <f t="shared" si="57"/>
        <v>-271.12911949685531</v>
      </c>
      <c r="G1818" s="21">
        <v>0.86219060000000003</v>
      </c>
      <c r="H1818" s="21">
        <v>-0.67692770000000002</v>
      </c>
    </row>
    <row r="1819" spans="1:8" x14ac:dyDescent="0.15">
      <c r="A1819" s="21">
        <v>3.5488279999999997E-2</v>
      </c>
      <c r="B1819" s="21">
        <f t="shared" si="56"/>
        <v>-0.61374810000000002</v>
      </c>
      <c r="D1819">
        <f t="shared" si="57"/>
        <v>-246.02946540880501</v>
      </c>
      <c r="G1819" s="21">
        <v>0.78237369999999995</v>
      </c>
      <c r="H1819" s="21">
        <v>-0.61374810000000002</v>
      </c>
    </row>
    <row r="1820" spans="1:8" x14ac:dyDescent="0.15">
      <c r="A1820" s="21">
        <v>3.5507810000000001E-2</v>
      </c>
      <c r="B1820" s="21">
        <f t="shared" si="56"/>
        <v>-0.52833719999999995</v>
      </c>
      <c r="D1820">
        <f t="shared" si="57"/>
        <v>-211.91308176100628</v>
      </c>
      <c r="G1820" s="21">
        <v>0.67388360000000003</v>
      </c>
      <c r="H1820" s="21">
        <v>-0.52833719999999995</v>
      </c>
    </row>
    <row r="1821" spans="1:8" x14ac:dyDescent="0.15">
      <c r="A1821" s="21">
        <v>3.5527339999999998E-2</v>
      </c>
      <c r="B1821" s="21">
        <f t="shared" si="56"/>
        <v>-0.42496489999999998</v>
      </c>
      <c r="D1821">
        <f t="shared" si="57"/>
        <v>-170.65374213836478</v>
      </c>
      <c r="G1821" s="21">
        <v>0.54267889999999996</v>
      </c>
      <c r="H1821" s="21">
        <v>-0.42496489999999998</v>
      </c>
    </row>
    <row r="1822" spans="1:8" x14ac:dyDescent="0.15">
      <c r="A1822" s="21">
        <v>3.5546870000000001E-2</v>
      </c>
      <c r="B1822" s="21">
        <f t="shared" si="56"/>
        <v>-0.30696230000000002</v>
      </c>
      <c r="D1822">
        <f t="shared" si="57"/>
        <v>-123.5048427672956</v>
      </c>
      <c r="G1822" s="21">
        <v>0.39274540000000002</v>
      </c>
      <c r="H1822" s="21">
        <v>-0.30696230000000002</v>
      </c>
    </row>
    <row r="1823" spans="1:8" x14ac:dyDescent="0.15">
      <c r="A1823" s="21">
        <v>3.556641E-2</v>
      </c>
      <c r="B1823" s="21">
        <f t="shared" si="56"/>
        <v>-0.17673050000000001</v>
      </c>
      <c r="D1823">
        <f t="shared" si="57"/>
        <v>-71.434339622641502</v>
      </c>
      <c r="G1823" s="21">
        <v>0.22716120000000001</v>
      </c>
      <c r="H1823" s="21">
        <v>-0.17673050000000001</v>
      </c>
    </row>
    <row r="1824" spans="1:8" x14ac:dyDescent="0.15">
      <c r="A1824" s="21">
        <v>3.5585940000000003E-2</v>
      </c>
      <c r="B1824" s="21">
        <f t="shared" si="56"/>
        <v>-4.2007360000000001E-2</v>
      </c>
      <c r="D1824">
        <f t="shared" si="57"/>
        <v>-17.467132075471696</v>
      </c>
      <c r="G1824" s="21">
        <v>5.5545480000000001E-2</v>
      </c>
      <c r="H1824" s="21">
        <v>-4.2007360000000001E-2</v>
      </c>
    </row>
    <row r="1825" spans="1:8" x14ac:dyDescent="0.15">
      <c r="A1825" s="21">
        <v>3.560547E-2</v>
      </c>
      <c r="B1825" s="21">
        <f t="shared" si="56"/>
        <v>9.3242820000000004E-2</v>
      </c>
      <c r="D1825">
        <f t="shared" si="57"/>
        <v>36.805188679245283</v>
      </c>
      <c r="G1825" s="21">
        <v>-0.11704050000000001</v>
      </c>
      <c r="H1825" s="21">
        <v>9.3242820000000004E-2</v>
      </c>
    </row>
    <row r="1826" spans="1:8" x14ac:dyDescent="0.15">
      <c r="A1826" s="21">
        <v>3.5624999999999997E-2</v>
      </c>
      <c r="B1826" s="21">
        <f t="shared" si="56"/>
        <v>0.22515180000000001</v>
      </c>
      <c r="D1826">
        <f t="shared" si="57"/>
        <v>89.681163522012582</v>
      </c>
      <c r="G1826" s="21">
        <v>-0.2851861</v>
      </c>
      <c r="H1826" s="21">
        <v>0.22515180000000001</v>
      </c>
    </row>
    <row r="1827" spans="1:8" x14ac:dyDescent="0.15">
      <c r="A1827" s="21">
        <v>3.5644530000000001E-2</v>
      </c>
      <c r="B1827" s="21">
        <f t="shared" si="56"/>
        <v>0.34775499999999998</v>
      </c>
      <c r="D1827">
        <f t="shared" si="57"/>
        <v>138.97166666666666</v>
      </c>
      <c r="G1827" s="21">
        <v>-0.44192989999999999</v>
      </c>
      <c r="H1827" s="21">
        <v>0.34775499999999998</v>
      </c>
    </row>
    <row r="1828" spans="1:8" x14ac:dyDescent="0.15">
      <c r="A1828" s="21">
        <v>3.5664059999999997E-2</v>
      </c>
      <c r="B1828" s="21">
        <f t="shared" si="56"/>
        <v>0.45947830000000001</v>
      </c>
      <c r="D1828">
        <f t="shared" si="57"/>
        <v>184.03540880503147</v>
      </c>
      <c r="G1828" s="21">
        <v>-0.58523259999999999</v>
      </c>
      <c r="H1828" s="21">
        <v>0.45947830000000001</v>
      </c>
    </row>
    <row r="1829" spans="1:8" x14ac:dyDescent="0.15">
      <c r="A1829" s="21">
        <v>3.5683590000000001E-2</v>
      </c>
      <c r="B1829" s="21">
        <f t="shared" si="56"/>
        <v>0.55598429999999999</v>
      </c>
      <c r="D1829">
        <f t="shared" si="57"/>
        <v>222.91276729559749</v>
      </c>
      <c r="G1829" s="21">
        <v>-0.70886260000000001</v>
      </c>
      <c r="H1829" s="21">
        <v>0.55598429999999999</v>
      </c>
    </row>
    <row r="1830" spans="1:8" x14ac:dyDescent="0.15">
      <c r="A1830" s="21">
        <v>3.570313E-2</v>
      </c>
      <c r="B1830" s="21">
        <f t="shared" si="56"/>
        <v>0.63260539999999998</v>
      </c>
      <c r="D1830">
        <f t="shared" si="57"/>
        <v>253.83632075471695</v>
      </c>
      <c r="G1830" s="21">
        <v>-0.80719949999999996</v>
      </c>
      <c r="H1830" s="21">
        <v>0.63260539999999998</v>
      </c>
    </row>
    <row r="1831" spans="1:8" x14ac:dyDescent="0.15">
      <c r="A1831" s="21">
        <v>3.5722660000000003E-2</v>
      </c>
      <c r="B1831" s="21">
        <f t="shared" si="56"/>
        <v>0.68855679999999997</v>
      </c>
      <c r="D1831">
        <f t="shared" si="57"/>
        <v>276.51943396226415</v>
      </c>
      <c r="G1831" s="21">
        <v>-0.8793318</v>
      </c>
      <c r="H1831" s="21">
        <v>0.68855679999999997</v>
      </c>
    </row>
    <row r="1832" spans="1:8" x14ac:dyDescent="0.15">
      <c r="A1832" s="21">
        <v>3.574219E-2</v>
      </c>
      <c r="B1832" s="21">
        <f t="shared" si="56"/>
        <v>0.72240789999999999</v>
      </c>
      <c r="D1832">
        <f t="shared" si="57"/>
        <v>290.35374213836474</v>
      </c>
      <c r="G1832" s="21">
        <v>-0.9233249</v>
      </c>
      <c r="H1832" s="21">
        <v>0.72240789999999999</v>
      </c>
    </row>
    <row r="1833" spans="1:8" x14ac:dyDescent="0.15">
      <c r="A1833" s="21">
        <v>3.5761719999999997E-2</v>
      </c>
      <c r="B1833" s="21">
        <f t="shared" si="56"/>
        <v>0.73356399999999999</v>
      </c>
      <c r="D1833">
        <f t="shared" si="57"/>
        <v>294.98408805031443</v>
      </c>
      <c r="G1833" s="21">
        <v>-0.93804940000000003</v>
      </c>
      <c r="H1833" s="21">
        <v>0.73356399999999999</v>
      </c>
    </row>
    <row r="1834" spans="1:8" x14ac:dyDescent="0.15">
      <c r="A1834" s="21">
        <v>3.5781250000000001E-2</v>
      </c>
      <c r="B1834" s="21">
        <f t="shared" si="56"/>
        <v>0.71966090000000005</v>
      </c>
      <c r="D1834">
        <f t="shared" si="57"/>
        <v>289.27424528301884</v>
      </c>
      <c r="G1834" s="21">
        <v>-0.91989209999999999</v>
      </c>
      <c r="H1834" s="21">
        <v>0.71966090000000005</v>
      </c>
    </row>
    <row r="1835" spans="1:8" x14ac:dyDescent="0.15">
      <c r="A1835" s="21">
        <v>3.5800779999999997E-2</v>
      </c>
      <c r="B1835" s="21">
        <f t="shared" si="56"/>
        <v>0.67921350000000003</v>
      </c>
      <c r="D1835">
        <f t="shared" si="57"/>
        <v>272.98823899371064</v>
      </c>
      <c r="G1835" s="21">
        <v>-0.86810259999999995</v>
      </c>
      <c r="H1835" s="21">
        <v>0.67921350000000003</v>
      </c>
    </row>
    <row r="1836" spans="1:8" x14ac:dyDescent="0.15">
      <c r="A1836" s="21">
        <v>3.5820310000000001E-2</v>
      </c>
      <c r="B1836" s="21">
        <f t="shared" si="56"/>
        <v>0.61642370000000002</v>
      </c>
      <c r="D1836">
        <f t="shared" si="57"/>
        <v>247.99515723270437</v>
      </c>
      <c r="G1836" s="21">
        <v>-0.78862460000000001</v>
      </c>
      <c r="H1836" s="21">
        <v>0.61642370000000002</v>
      </c>
    </row>
    <row r="1837" spans="1:8" x14ac:dyDescent="0.15">
      <c r="A1837" s="21">
        <v>3.5839839999999998E-2</v>
      </c>
      <c r="B1837" s="21">
        <f t="shared" si="56"/>
        <v>0.53349100000000005</v>
      </c>
      <c r="D1837">
        <f t="shared" si="57"/>
        <v>214.7021383647799</v>
      </c>
      <c r="G1837" s="21">
        <v>-0.68275280000000005</v>
      </c>
      <c r="H1837" s="21">
        <v>0.53349100000000005</v>
      </c>
    </row>
    <row r="1838" spans="1:8" x14ac:dyDescent="0.15">
      <c r="A1838" s="21">
        <v>3.5859370000000002E-2</v>
      </c>
      <c r="B1838" s="21">
        <f t="shared" si="56"/>
        <v>0.43224689999999999</v>
      </c>
      <c r="D1838">
        <f t="shared" si="57"/>
        <v>173.91323899371071</v>
      </c>
      <c r="G1838" s="21">
        <v>-0.55304410000000004</v>
      </c>
      <c r="H1838" s="21">
        <v>0.43224689999999999</v>
      </c>
    </row>
    <row r="1839" spans="1:8" x14ac:dyDescent="0.15">
      <c r="A1839" s="21">
        <v>3.587891E-2</v>
      </c>
      <c r="B1839" s="21">
        <f t="shared" si="56"/>
        <v>0.31670609999999999</v>
      </c>
      <c r="D1839">
        <f t="shared" si="57"/>
        <v>127.52955974842767</v>
      </c>
      <c r="G1839" s="21">
        <v>-0.40554400000000002</v>
      </c>
      <c r="H1839" s="21">
        <v>0.31670609999999999</v>
      </c>
    </row>
    <row r="1840" spans="1:8" x14ac:dyDescent="0.15">
      <c r="A1840" s="21">
        <v>3.5898439999999997E-2</v>
      </c>
      <c r="B1840" s="21">
        <f t="shared" si="56"/>
        <v>0.18800459999999999</v>
      </c>
      <c r="D1840">
        <f t="shared" si="57"/>
        <v>75.922955974842765</v>
      </c>
      <c r="G1840" s="21">
        <v>-0.24143500000000001</v>
      </c>
      <c r="H1840" s="21">
        <v>0.18800459999999999</v>
      </c>
    </row>
    <row r="1841" spans="1:8" x14ac:dyDescent="0.15">
      <c r="A1841" s="21">
        <v>3.591797E-2</v>
      </c>
      <c r="B1841" s="21">
        <f t="shared" si="56"/>
        <v>5.1461460000000001E-2</v>
      </c>
      <c r="D1841">
        <f t="shared" si="57"/>
        <v>21.354238993710691</v>
      </c>
      <c r="G1841" s="21">
        <v>-6.7906480000000005E-2</v>
      </c>
      <c r="H1841" s="21">
        <v>5.1461460000000001E-2</v>
      </c>
    </row>
    <row r="1842" spans="1:8" x14ac:dyDescent="0.15">
      <c r="A1842" s="21">
        <v>3.5937499999999997E-2</v>
      </c>
      <c r="B1842" s="21">
        <f t="shared" si="56"/>
        <v>-8.412712E-2</v>
      </c>
      <c r="D1842">
        <f t="shared" si="57"/>
        <v>-32.735503144654089</v>
      </c>
      <c r="G1842" s="21">
        <v>0.10409889999999999</v>
      </c>
      <c r="H1842" s="21">
        <v>-8.412712E-2</v>
      </c>
    </row>
    <row r="1843" spans="1:8" x14ac:dyDescent="0.15">
      <c r="A1843" s="21">
        <v>3.5957030000000001E-2</v>
      </c>
      <c r="B1843" s="21">
        <f t="shared" si="56"/>
        <v>-0.21521750000000001</v>
      </c>
      <c r="D1843">
        <f t="shared" si="57"/>
        <v>-85.205817610062894</v>
      </c>
      <c r="G1843" s="21">
        <v>0.27095449999999999</v>
      </c>
      <c r="H1843" s="21">
        <v>-0.21521750000000001</v>
      </c>
    </row>
    <row r="1844" spans="1:8" x14ac:dyDescent="0.15">
      <c r="A1844" s="21">
        <v>3.5976559999999998E-2</v>
      </c>
      <c r="B1844" s="21">
        <f t="shared" si="56"/>
        <v>-0.33834599999999998</v>
      </c>
      <c r="D1844">
        <f t="shared" si="57"/>
        <v>-134.57619496855344</v>
      </c>
      <c r="G1844" s="21">
        <v>0.42795230000000001</v>
      </c>
      <c r="H1844" s="21">
        <v>-0.33834599999999998</v>
      </c>
    </row>
    <row r="1845" spans="1:8" x14ac:dyDescent="0.15">
      <c r="A1845" s="21">
        <v>3.5996090000000001E-2</v>
      </c>
      <c r="B1845" s="21">
        <f t="shared" si="56"/>
        <v>-0.45043240000000001</v>
      </c>
      <c r="D1845">
        <f t="shared" si="57"/>
        <v>-179.4580503144654</v>
      </c>
      <c r="G1845" s="21">
        <v>0.57067659999999998</v>
      </c>
      <c r="H1845" s="21">
        <v>-0.45043240000000001</v>
      </c>
    </row>
    <row r="1846" spans="1:8" x14ac:dyDescent="0.15">
      <c r="A1846" s="21">
        <v>3.601563E-2</v>
      </c>
      <c r="B1846" s="21">
        <f t="shared" si="56"/>
        <v>-0.54936249999999998</v>
      </c>
      <c r="D1846">
        <f t="shared" si="57"/>
        <v>-219.01116352201257</v>
      </c>
      <c r="G1846" s="21">
        <v>0.69645550000000001</v>
      </c>
      <c r="H1846" s="21">
        <v>-0.54936249999999998</v>
      </c>
    </row>
    <row r="1847" spans="1:8" x14ac:dyDescent="0.15">
      <c r="A1847" s="21">
        <v>3.6035159999999997E-2</v>
      </c>
      <c r="B1847" s="21">
        <f t="shared" si="56"/>
        <v>-0.6291118</v>
      </c>
      <c r="D1847">
        <f t="shared" si="57"/>
        <v>-250.94952830188677</v>
      </c>
      <c r="G1847" s="21">
        <v>0.79801949999999999</v>
      </c>
      <c r="H1847" s="21">
        <v>-0.6291118</v>
      </c>
    </row>
    <row r="1848" spans="1:8" x14ac:dyDescent="0.15">
      <c r="A1848" s="21">
        <v>3.605469E-2</v>
      </c>
      <c r="B1848" s="21">
        <f t="shared" si="56"/>
        <v>-0.68714030000000004</v>
      </c>
      <c r="D1848">
        <f t="shared" si="57"/>
        <v>-274.41421383647798</v>
      </c>
      <c r="G1848" s="21">
        <v>0.8726372</v>
      </c>
      <c r="H1848" s="21">
        <v>-0.68714030000000004</v>
      </c>
    </row>
    <row r="1849" spans="1:8" x14ac:dyDescent="0.15">
      <c r="A1849" s="21">
        <v>3.6074219999999997E-2</v>
      </c>
      <c r="B1849" s="21">
        <f t="shared" si="56"/>
        <v>-0.7232925</v>
      </c>
      <c r="D1849">
        <f t="shared" si="57"/>
        <v>-289.170786163522</v>
      </c>
      <c r="G1849" s="21">
        <v>0.91956309999999997</v>
      </c>
      <c r="H1849" s="21">
        <v>-0.7232925</v>
      </c>
    </row>
    <row r="1850" spans="1:8" x14ac:dyDescent="0.15">
      <c r="A1850" s="21">
        <v>3.6093750000000001E-2</v>
      </c>
      <c r="B1850" s="21">
        <f t="shared" si="56"/>
        <v>-0.73442580000000002</v>
      </c>
      <c r="D1850">
        <f t="shared" si="57"/>
        <v>-293.67194968553457</v>
      </c>
      <c r="G1850" s="21">
        <v>0.93387679999999995</v>
      </c>
      <c r="H1850" s="21">
        <v>-0.73442580000000002</v>
      </c>
    </row>
    <row r="1851" spans="1:8" x14ac:dyDescent="0.15">
      <c r="A1851" s="21">
        <v>3.6113279999999998E-2</v>
      </c>
      <c r="B1851" s="21">
        <f t="shared" si="56"/>
        <v>-0.72112860000000001</v>
      </c>
      <c r="D1851">
        <f t="shared" si="57"/>
        <v>-288.4564150943396</v>
      </c>
      <c r="G1851" s="21">
        <v>0.91729139999999998</v>
      </c>
      <c r="H1851" s="21">
        <v>-0.72112860000000001</v>
      </c>
    </row>
    <row r="1852" spans="1:8" x14ac:dyDescent="0.15">
      <c r="A1852" s="21">
        <v>3.6132810000000001E-2</v>
      </c>
      <c r="B1852" s="21">
        <f t="shared" si="56"/>
        <v>-0.68443710000000002</v>
      </c>
      <c r="D1852">
        <f t="shared" si="57"/>
        <v>-274.14141509433961</v>
      </c>
      <c r="G1852" s="21">
        <v>0.87176969999999998</v>
      </c>
      <c r="H1852" s="21">
        <v>-0.68443710000000002</v>
      </c>
    </row>
    <row r="1853" spans="1:8" x14ac:dyDescent="0.15">
      <c r="A1853" s="21">
        <v>3.6152339999999998E-2</v>
      </c>
      <c r="B1853" s="21">
        <f t="shared" si="56"/>
        <v>-0.62326809999999999</v>
      </c>
      <c r="D1853">
        <f t="shared" si="57"/>
        <v>-249.8725786163522</v>
      </c>
      <c r="G1853" s="21">
        <v>0.79459480000000005</v>
      </c>
      <c r="H1853" s="21">
        <v>-0.62326809999999999</v>
      </c>
    </row>
    <row r="1854" spans="1:8" x14ac:dyDescent="0.15">
      <c r="A1854" s="21">
        <v>3.6171870000000002E-2</v>
      </c>
      <c r="B1854" s="21">
        <f t="shared" si="56"/>
        <v>-0.54085519999999998</v>
      </c>
      <c r="D1854">
        <f t="shared" si="57"/>
        <v>-216.90616352201255</v>
      </c>
      <c r="G1854" s="21">
        <v>0.68976159999999997</v>
      </c>
      <c r="H1854" s="21">
        <v>-0.54085519999999998</v>
      </c>
    </row>
    <row r="1855" spans="1:8" x14ac:dyDescent="0.15">
      <c r="A1855" s="21">
        <v>3.619141E-2</v>
      </c>
      <c r="B1855" s="21">
        <f t="shared" si="56"/>
        <v>-0.44013259999999998</v>
      </c>
      <c r="D1855">
        <f t="shared" si="57"/>
        <v>-176.64578616352202</v>
      </c>
      <c r="G1855" s="21">
        <v>0.56173360000000006</v>
      </c>
      <c r="H1855" s="21">
        <v>-0.44013259999999998</v>
      </c>
    </row>
    <row r="1856" spans="1:8" x14ac:dyDescent="0.15">
      <c r="A1856" s="21">
        <v>3.6210939999999997E-2</v>
      </c>
      <c r="B1856" s="21">
        <f t="shared" si="56"/>
        <v>-0.32296809999999998</v>
      </c>
      <c r="D1856">
        <f t="shared" si="57"/>
        <v>-129.88789308176101</v>
      </c>
      <c r="G1856" s="21">
        <v>0.41304350000000001</v>
      </c>
      <c r="H1856" s="21">
        <v>-0.32296809999999998</v>
      </c>
    </row>
    <row r="1857" spans="1:8" x14ac:dyDescent="0.15">
      <c r="A1857" s="21">
        <v>3.6230470000000001E-2</v>
      </c>
      <c r="B1857" s="21">
        <f t="shared" si="56"/>
        <v>-0.19483990000000001</v>
      </c>
      <c r="D1857">
        <f t="shared" si="57"/>
        <v>-78.722484276729546</v>
      </c>
      <c r="G1857" s="21">
        <v>0.25033749999999999</v>
      </c>
      <c r="H1857" s="21">
        <v>-0.19483990000000001</v>
      </c>
    </row>
    <row r="1858" spans="1:8" x14ac:dyDescent="0.15">
      <c r="A1858" s="21">
        <v>3.6249999999999998E-2</v>
      </c>
      <c r="B1858" s="21">
        <f t="shared" ref="B1858:B1921" si="58">H1858</f>
        <v>-6.0159619999999997E-2</v>
      </c>
      <c r="D1858">
        <f t="shared" ref="D1858:D1921" si="59">G1858*-1000/3.18</f>
        <v>-24.73830503144654</v>
      </c>
      <c r="G1858" s="21">
        <v>7.8667810000000005E-2</v>
      </c>
      <c r="H1858" s="21">
        <v>-6.0159619999999997E-2</v>
      </c>
    </row>
    <row r="1859" spans="1:8" x14ac:dyDescent="0.15">
      <c r="A1859" s="21">
        <v>3.6269530000000001E-2</v>
      </c>
      <c r="B1859" s="21">
        <f t="shared" si="58"/>
        <v>7.5798500000000005E-2</v>
      </c>
      <c r="D1859">
        <f t="shared" si="59"/>
        <v>29.770424528301884</v>
      </c>
      <c r="G1859" s="21">
        <v>-9.4669950000000003E-2</v>
      </c>
      <c r="H1859" s="21">
        <v>7.5798500000000005E-2</v>
      </c>
    </row>
    <row r="1860" spans="1:8" x14ac:dyDescent="0.15">
      <c r="A1860" s="21">
        <v>3.6289059999999998E-2</v>
      </c>
      <c r="B1860" s="21">
        <f t="shared" si="58"/>
        <v>0.2072494</v>
      </c>
      <c r="D1860">
        <f t="shared" si="59"/>
        <v>82.480880503144647</v>
      </c>
      <c r="G1860" s="21">
        <v>-0.2622892</v>
      </c>
      <c r="H1860" s="21">
        <v>0.2072494</v>
      </c>
    </row>
    <row r="1861" spans="1:8" x14ac:dyDescent="0.15">
      <c r="A1861" s="21">
        <v>3.6308590000000002E-2</v>
      </c>
      <c r="B1861" s="21">
        <f t="shared" si="58"/>
        <v>0.3322542</v>
      </c>
      <c r="D1861">
        <f t="shared" si="59"/>
        <v>132.75044025157231</v>
      </c>
      <c r="G1861" s="21">
        <v>-0.42214639999999998</v>
      </c>
      <c r="H1861" s="21">
        <v>0.3322542</v>
      </c>
    </row>
    <row r="1862" spans="1:8" x14ac:dyDescent="0.15">
      <c r="A1862" s="21">
        <v>3.632813E-2</v>
      </c>
      <c r="B1862" s="21">
        <f t="shared" si="58"/>
        <v>0.44588739999999999</v>
      </c>
      <c r="D1862">
        <f t="shared" si="59"/>
        <v>178.44446540880503</v>
      </c>
      <c r="G1862" s="21">
        <v>-0.5674534</v>
      </c>
      <c r="H1862" s="21">
        <v>0.44588739999999999</v>
      </c>
    </row>
    <row r="1863" spans="1:8" x14ac:dyDescent="0.15">
      <c r="A1863" s="21">
        <v>3.6347659999999997E-2</v>
      </c>
      <c r="B1863" s="21">
        <f t="shared" si="58"/>
        <v>0.54353870000000004</v>
      </c>
      <c r="D1863">
        <f t="shared" si="59"/>
        <v>217.77798742138364</v>
      </c>
      <c r="G1863" s="21">
        <v>-0.69253399999999998</v>
      </c>
      <c r="H1863" s="21">
        <v>0.54353870000000004</v>
      </c>
    </row>
    <row r="1864" spans="1:8" x14ac:dyDescent="0.15">
      <c r="A1864" s="21">
        <v>3.6367190000000001E-2</v>
      </c>
      <c r="B1864" s="21">
        <f t="shared" si="58"/>
        <v>0.62394070000000001</v>
      </c>
      <c r="D1864">
        <f t="shared" si="59"/>
        <v>250.34301886792448</v>
      </c>
      <c r="G1864" s="21">
        <v>-0.79609079999999999</v>
      </c>
      <c r="H1864" s="21">
        <v>0.62394070000000001</v>
      </c>
    </row>
    <row r="1865" spans="1:8" x14ac:dyDescent="0.15">
      <c r="A1865" s="21">
        <v>3.6386719999999997E-2</v>
      </c>
      <c r="B1865" s="21">
        <f t="shared" si="58"/>
        <v>0.68270439999999999</v>
      </c>
      <c r="D1865">
        <f t="shared" si="59"/>
        <v>274.17044025157236</v>
      </c>
      <c r="G1865" s="21">
        <v>-0.87186200000000003</v>
      </c>
      <c r="H1865" s="21">
        <v>0.68270439999999999</v>
      </c>
    </row>
    <row r="1866" spans="1:8" x14ac:dyDescent="0.15">
      <c r="A1866" s="21">
        <v>3.6406250000000001E-2</v>
      </c>
      <c r="B1866" s="21">
        <f t="shared" si="58"/>
        <v>0.71894930000000001</v>
      </c>
      <c r="D1866">
        <f t="shared" si="59"/>
        <v>288.89163522012581</v>
      </c>
      <c r="G1866" s="21">
        <v>-0.91867540000000003</v>
      </c>
      <c r="H1866" s="21">
        <v>0.71894930000000001</v>
      </c>
    </row>
    <row r="1867" spans="1:8" x14ac:dyDescent="0.15">
      <c r="A1867" s="21">
        <v>3.6425779999999998E-2</v>
      </c>
      <c r="B1867" s="21">
        <f t="shared" si="58"/>
        <v>0.73362559999999999</v>
      </c>
      <c r="D1867">
        <f t="shared" si="59"/>
        <v>294.97166666666664</v>
      </c>
      <c r="G1867" s="21">
        <v>-0.93800989999999995</v>
      </c>
      <c r="H1867" s="21">
        <v>0.73362559999999999</v>
      </c>
    </row>
    <row r="1868" spans="1:8" x14ac:dyDescent="0.15">
      <c r="A1868" s="21">
        <v>3.6445310000000002E-2</v>
      </c>
      <c r="B1868" s="21">
        <f t="shared" si="58"/>
        <v>0.72249479999999999</v>
      </c>
      <c r="D1868">
        <f t="shared" si="59"/>
        <v>290.5194025157233</v>
      </c>
      <c r="G1868" s="21">
        <v>-0.92385170000000005</v>
      </c>
      <c r="H1868" s="21">
        <v>0.72249479999999999</v>
      </c>
    </row>
    <row r="1869" spans="1:8" x14ac:dyDescent="0.15">
      <c r="A1869" s="21">
        <v>3.6464839999999998E-2</v>
      </c>
      <c r="B1869" s="21">
        <f t="shared" si="58"/>
        <v>0.68590989999999996</v>
      </c>
      <c r="D1869">
        <f t="shared" si="59"/>
        <v>275.81556603773583</v>
      </c>
      <c r="G1869" s="21">
        <v>-0.87709349999999997</v>
      </c>
      <c r="H1869" s="21">
        <v>0.68590989999999996</v>
      </c>
    </row>
    <row r="1870" spans="1:8" x14ac:dyDescent="0.15">
      <c r="A1870" s="21">
        <v>3.6484370000000002E-2</v>
      </c>
      <c r="B1870" s="21">
        <f t="shared" si="58"/>
        <v>0.62687760000000003</v>
      </c>
      <c r="D1870">
        <f t="shared" si="59"/>
        <v>252.17440251572327</v>
      </c>
      <c r="G1870" s="21">
        <v>-0.80191460000000003</v>
      </c>
      <c r="H1870" s="21">
        <v>0.62687760000000003</v>
      </c>
    </row>
    <row r="1871" spans="1:8" x14ac:dyDescent="0.15">
      <c r="A1871" s="21">
        <v>3.6503910000000001E-2</v>
      </c>
      <c r="B1871" s="21">
        <f t="shared" si="58"/>
        <v>0.54592189999999996</v>
      </c>
      <c r="D1871">
        <f t="shared" si="59"/>
        <v>219.60128930817609</v>
      </c>
      <c r="G1871" s="21">
        <v>-0.69833210000000001</v>
      </c>
      <c r="H1871" s="21">
        <v>0.54592189999999996</v>
      </c>
    </row>
    <row r="1872" spans="1:8" x14ac:dyDescent="0.15">
      <c r="A1872" s="21">
        <v>3.6523439999999997E-2</v>
      </c>
      <c r="B1872" s="21">
        <f t="shared" si="58"/>
        <v>0.44715929999999998</v>
      </c>
      <c r="D1872">
        <f t="shared" si="59"/>
        <v>179.92849056603771</v>
      </c>
      <c r="G1872" s="21">
        <v>-0.57217260000000003</v>
      </c>
      <c r="H1872" s="21">
        <v>0.44715929999999998</v>
      </c>
    </row>
    <row r="1873" spans="1:8" x14ac:dyDescent="0.15">
      <c r="A1873" s="21">
        <v>3.6542970000000001E-2</v>
      </c>
      <c r="B1873" s="21">
        <f t="shared" si="58"/>
        <v>0.33281359999999999</v>
      </c>
      <c r="D1873">
        <f t="shared" si="59"/>
        <v>133.98707547169809</v>
      </c>
      <c r="G1873" s="21">
        <v>-0.42607889999999998</v>
      </c>
      <c r="H1873" s="21">
        <v>0.33281359999999999</v>
      </c>
    </row>
    <row r="1874" spans="1:8" x14ac:dyDescent="0.15">
      <c r="A1874" s="21">
        <v>3.6562499999999998E-2</v>
      </c>
      <c r="B1874" s="21">
        <f t="shared" si="58"/>
        <v>0.2049511</v>
      </c>
      <c r="D1874">
        <f t="shared" si="59"/>
        <v>82.615849056603778</v>
      </c>
      <c r="G1874" s="21">
        <v>-0.26271840000000002</v>
      </c>
      <c r="H1874" s="21">
        <v>0.2049511</v>
      </c>
    </row>
    <row r="1875" spans="1:8" x14ac:dyDescent="0.15">
      <c r="A1875" s="21">
        <v>3.6582030000000001E-2</v>
      </c>
      <c r="B1875" s="21">
        <f t="shared" si="58"/>
        <v>7.0641200000000001E-2</v>
      </c>
      <c r="D1875">
        <f t="shared" si="59"/>
        <v>28.980393081761001</v>
      </c>
      <c r="G1875" s="21">
        <v>-9.2157649999999994E-2</v>
      </c>
      <c r="H1875" s="21">
        <v>7.0641200000000001E-2</v>
      </c>
    </row>
    <row r="1876" spans="1:8" x14ac:dyDescent="0.15">
      <c r="A1876" s="21">
        <v>3.6601559999999998E-2</v>
      </c>
      <c r="B1876" s="21">
        <f t="shared" si="58"/>
        <v>-6.5493919999999997E-2</v>
      </c>
      <c r="D1876">
        <f t="shared" si="59"/>
        <v>-25.358194968553459</v>
      </c>
      <c r="G1876" s="21">
        <v>8.0639059999999999E-2</v>
      </c>
      <c r="H1876" s="21">
        <v>-6.5493919999999997E-2</v>
      </c>
    </row>
    <row r="1877" spans="1:8" x14ac:dyDescent="0.15">
      <c r="A1877" s="21">
        <v>3.6621090000000002E-2</v>
      </c>
      <c r="B1877" s="21">
        <f t="shared" si="58"/>
        <v>-0.19793369999999999</v>
      </c>
      <c r="D1877">
        <f t="shared" si="59"/>
        <v>-78.333930817610053</v>
      </c>
      <c r="G1877" s="21">
        <v>0.24910189999999999</v>
      </c>
      <c r="H1877" s="21">
        <v>-0.19793369999999999</v>
      </c>
    </row>
    <row r="1878" spans="1:8" x14ac:dyDescent="0.15">
      <c r="A1878" s="21">
        <v>3.664063E-2</v>
      </c>
      <c r="B1878" s="21">
        <f t="shared" si="58"/>
        <v>-0.32149240000000001</v>
      </c>
      <c r="D1878">
        <f t="shared" si="59"/>
        <v>-127.77861635220124</v>
      </c>
      <c r="G1878" s="21">
        <v>0.40633599999999997</v>
      </c>
      <c r="H1878" s="21">
        <v>-0.32149240000000001</v>
      </c>
    </row>
    <row r="1879" spans="1:8" x14ac:dyDescent="0.15">
      <c r="A1879" s="21">
        <v>3.6660159999999997E-2</v>
      </c>
      <c r="B1879" s="21">
        <f t="shared" si="58"/>
        <v>-0.43584620000000002</v>
      </c>
      <c r="D1879">
        <f t="shared" si="59"/>
        <v>-173.66754716981134</v>
      </c>
      <c r="G1879" s="21">
        <v>0.55226280000000005</v>
      </c>
      <c r="H1879" s="21">
        <v>-0.43584620000000002</v>
      </c>
    </row>
    <row r="1880" spans="1:8" x14ac:dyDescent="0.15">
      <c r="A1880" s="21">
        <v>3.6679690000000001E-2</v>
      </c>
      <c r="B1880" s="21">
        <f t="shared" si="58"/>
        <v>-0.53681449999999997</v>
      </c>
      <c r="D1880">
        <f t="shared" si="59"/>
        <v>-214.02955974842766</v>
      </c>
      <c r="G1880" s="21">
        <v>0.68061400000000005</v>
      </c>
      <c r="H1880" s="21">
        <v>-0.53681449999999997</v>
      </c>
    </row>
    <row r="1881" spans="1:8" x14ac:dyDescent="0.15">
      <c r="A1881" s="21">
        <v>3.6699219999999998E-2</v>
      </c>
      <c r="B1881" s="21">
        <f t="shared" si="58"/>
        <v>-0.61922330000000003</v>
      </c>
      <c r="D1881">
        <f t="shared" si="59"/>
        <v>-246.89899371069183</v>
      </c>
      <c r="G1881" s="21">
        <v>0.78513880000000003</v>
      </c>
      <c r="H1881" s="21">
        <v>-0.61922330000000003</v>
      </c>
    </row>
    <row r="1882" spans="1:8" x14ac:dyDescent="0.15">
      <c r="A1882" s="21">
        <v>3.6718750000000001E-2</v>
      </c>
      <c r="B1882" s="21">
        <f t="shared" si="58"/>
        <v>-0.68067350000000004</v>
      </c>
      <c r="D1882">
        <f t="shared" si="59"/>
        <v>-271.71110062893081</v>
      </c>
      <c r="G1882" s="21">
        <v>0.86404130000000001</v>
      </c>
      <c r="H1882" s="21">
        <v>-0.68067350000000004</v>
      </c>
    </row>
    <row r="1883" spans="1:8" x14ac:dyDescent="0.15">
      <c r="A1883" s="21">
        <v>3.6738279999999998E-2</v>
      </c>
      <c r="B1883" s="21">
        <f t="shared" si="58"/>
        <v>-0.71843219999999997</v>
      </c>
      <c r="D1883">
        <f t="shared" si="59"/>
        <v>-287.10342767295595</v>
      </c>
      <c r="G1883" s="21">
        <v>0.91298889999999999</v>
      </c>
      <c r="H1883" s="21">
        <v>-0.71843219999999997</v>
      </c>
    </row>
    <row r="1884" spans="1:8" x14ac:dyDescent="0.15">
      <c r="A1884" s="21">
        <v>3.6757810000000002E-2</v>
      </c>
      <c r="B1884" s="21">
        <f t="shared" si="58"/>
        <v>-0.73310390000000003</v>
      </c>
      <c r="D1884">
        <f t="shared" si="59"/>
        <v>-293.14632075471695</v>
      </c>
      <c r="G1884" s="21">
        <v>0.93220530000000001</v>
      </c>
      <c r="H1884" s="21">
        <v>-0.73310390000000003</v>
      </c>
    </row>
    <row r="1885" spans="1:8" x14ac:dyDescent="0.15">
      <c r="A1885" s="21">
        <v>3.6777339999999999E-2</v>
      </c>
      <c r="B1885" s="21">
        <f t="shared" si="58"/>
        <v>-0.72419040000000001</v>
      </c>
      <c r="D1885">
        <f t="shared" si="59"/>
        <v>-289.6923899371069</v>
      </c>
      <c r="G1885" s="21">
        <v>0.92122179999999998</v>
      </c>
      <c r="H1885" s="21">
        <v>-0.72419040000000001</v>
      </c>
    </row>
    <row r="1886" spans="1:8" x14ac:dyDescent="0.15">
      <c r="A1886" s="21">
        <v>3.6796870000000002E-2</v>
      </c>
      <c r="B1886" s="21">
        <f t="shared" si="58"/>
        <v>-0.6896968</v>
      </c>
      <c r="D1886">
        <f t="shared" si="59"/>
        <v>-276.09160377358489</v>
      </c>
      <c r="G1886" s="21">
        <v>0.87797130000000001</v>
      </c>
      <c r="H1886" s="21">
        <v>-0.6896968</v>
      </c>
    </row>
    <row r="1887" spans="1:8" x14ac:dyDescent="0.15">
      <c r="A1887" s="21">
        <v>3.6816410000000001E-2</v>
      </c>
      <c r="B1887" s="21">
        <f t="shared" si="58"/>
        <v>-0.63213149999999996</v>
      </c>
      <c r="D1887">
        <f t="shared" si="59"/>
        <v>-253.37449685534591</v>
      </c>
      <c r="G1887" s="21">
        <v>0.80573090000000003</v>
      </c>
      <c r="H1887" s="21">
        <v>-0.63213149999999996</v>
      </c>
    </row>
    <row r="1888" spans="1:8" x14ac:dyDescent="0.15">
      <c r="A1888" s="21">
        <v>3.6835939999999998E-2</v>
      </c>
      <c r="B1888" s="21">
        <f t="shared" si="58"/>
        <v>-0.55268510000000004</v>
      </c>
      <c r="D1888">
        <f t="shared" si="59"/>
        <v>-221.67845911949684</v>
      </c>
      <c r="G1888" s="21">
        <v>0.70493749999999999</v>
      </c>
      <c r="H1888" s="21">
        <v>-0.55268510000000004</v>
      </c>
    </row>
    <row r="1889" spans="1:8" x14ac:dyDescent="0.15">
      <c r="A1889" s="21">
        <v>3.6855470000000001E-2</v>
      </c>
      <c r="B1889" s="21">
        <f t="shared" si="58"/>
        <v>-0.4533085</v>
      </c>
      <c r="D1889">
        <f t="shared" si="59"/>
        <v>-181.92311320754715</v>
      </c>
      <c r="G1889" s="21">
        <v>0.57851549999999996</v>
      </c>
      <c r="H1889" s="21">
        <v>-0.4533085</v>
      </c>
    </row>
    <row r="1890" spans="1:8" x14ac:dyDescent="0.15">
      <c r="A1890" s="21">
        <v>3.6874999999999998E-2</v>
      </c>
      <c r="B1890" s="21">
        <f t="shared" si="58"/>
        <v>-0.33868130000000002</v>
      </c>
      <c r="D1890">
        <f t="shared" si="59"/>
        <v>-136.15389937106917</v>
      </c>
      <c r="G1890" s="21">
        <v>0.4329694</v>
      </c>
      <c r="H1890" s="21">
        <v>-0.33868130000000002</v>
      </c>
    </row>
    <row r="1891" spans="1:8" x14ac:dyDescent="0.15">
      <c r="A1891" s="21">
        <v>3.6894530000000002E-2</v>
      </c>
      <c r="B1891" s="21">
        <f t="shared" si="58"/>
        <v>-0.21159159999999999</v>
      </c>
      <c r="D1891">
        <f t="shared" si="59"/>
        <v>-85.379276729559734</v>
      </c>
      <c r="G1891" s="21">
        <v>0.27150609999999997</v>
      </c>
      <c r="H1891" s="21">
        <v>-0.21159159999999999</v>
      </c>
    </row>
    <row r="1892" spans="1:8" x14ac:dyDescent="0.15">
      <c r="A1892" s="21">
        <v>3.6914059999999999E-2</v>
      </c>
      <c r="B1892" s="21">
        <f t="shared" si="58"/>
        <v>-7.7802759999999999E-2</v>
      </c>
      <c r="D1892">
        <f t="shared" si="59"/>
        <v>-31.889025157232702</v>
      </c>
      <c r="G1892" s="21">
        <v>0.1014071</v>
      </c>
      <c r="H1892" s="21">
        <v>-7.7802759999999999E-2</v>
      </c>
    </row>
    <row r="1893" spans="1:8" x14ac:dyDescent="0.15">
      <c r="A1893" s="21">
        <v>3.6933590000000002E-2</v>
      </c>
      <c r="B1893" s="21">
        <f t="shared" si="58"/>
        <v>5.7568800000000003E-2</v>
      </c>
      <c r="D1893">
        <f t="shared" si="59"/>
        <v>22.487962264150941</v>
      </c>
      <c r="G1893" s="21">
        <v>-7.1511720000000001E-2</v>
      </c>
      <c r="H1893" s="21">
        <v>5.7568800000000003E-2</v>
      </c>
    </row>
    <row r="1894" spans="1:8" x14ac:dyDescent="0.15">
      <c r="A1894" s="21">
        <v>3.6953130000000001E-2</v>
      </c>
      <c r="B1894" s="21">
        <f t="shared" si="58"/>
        <v>0.1913348</v>
      </c>
      <c r="D1894">
        <f t="shared" si="59"/>
        <v>76.179559748427664</v>
      </c>
      <c r="G1894" s="21">
        <v>-0.24225099999999999</v>
      </c>
      <c r="H1894" s="21">
        <v>0.1913348</v>
      </c>
    </row>
    <row r="1895" spans="1:8" x14ac:dyDescent="0.15">
      <c r="A1895" s="21">
        <v>3.6972659999999997E-2</v>
      </c>
      <c r="B1895" s="21">
        <f t="shared" si="58"/>
        <v>0.31702770000000002</v>
      </c>
      <c r="D1895">
        <f t="shared" si="59"/>
        <v>126.49553459119497</v>
      </c>
      <c r="G1895" s="21">
        <v>-0.4022558</v>
      </c>
      <c r="H1895" s="21">
        <v>0.31702770000000002</v>
      </c>
    </row>
    <row r="1896" spans="1:8" x14ac:dyDescent="0.15">
      <c r="A1896" s="21">
        <v>3.6992190000000001E-2</v>
      </c>
      <c r="B1896" s="21">
        <f t="shared" si="58"/>
        <v>0.4315948</v>
      </c>
      <c r="D1896">
        <f t="shared" si="59"/>
        <v>172.70150943396226</v>
      </c>
      <c r="G1896" s="21">
        <v>-0.54919079999999998</v>
      </c>
      <c r="H1896" s="21">
        <v>0.4315948</v>
      </c>
    </row>
    <row r="1897" spans="1:8" x14ac:dyDescent="0.15">
      <c r="A1897" s="21">
        <v>3.7011719999999998E-2</v>
      </c>
      <c r="B1897" s="21">
        <f t="shared" si="58"/>
        <v>0.53240549999999998</v>
      </c>
      <c r="D1897">
        <f t="shared" si="59"/>
        <v>213.4208176100629</v>
      </c>
      <c r="G1897" s="21">
        <v>-0.67867820000000001</v>
      </c>
      <c r="H1897" s="21">
        <v>0.53240549999999998</v>
      </c>
    </row>
    <row r="1898" spans="1:8" x14ac:dyDescent="0.15">
      <c r="A1898" s="21">
        <v>3.7031250000000002E-2</v>
      </c>
      <c r="B1898" s="21">
        <f t="shared" si="58"/>
        <v>0.61406620000000001</v>
      </c>
      <c r="D1898">
        <f t="shared" si="59"/>
        <v>246.33078616352199</v>
      </c>
      <c r="G1898" s="21">
        <v>-0.78333189999999997</v>
      </c>
      <c r="H1898" s="21">
        <v>0.61406620000000001</v>
      </c>
    </row>
    <row r="1899" spans="1:8" x14ac:dyDescent="0.15">
      <c r="A1899" s="21">
        <v>3.7050779999999998E-2</v>
      </c>
      <c r="B1899" s="21">
        <f t="shared" si="58"/>
        <v>0.67564829999999998</v>
      </c>
      <c r="D1899">
        <f t="shared" si="59"/>
        <v>271.29738993710691</v>
      </c>
      <c r="G1899" s="21">
        <v>-0.86272570000000004</v>
      </c>
      <c r="H1899" s="21">
        <v>0.67564829999999998</v>
      </c>
    </row>
    <row r="1900" spans="1:8" x14ac:dyDescent="0.15">
      <c r="A1900" s="21">
        <v>3.7070310000000002E-2</v>
      </c>
      <c r="B1900" s="21">
        <f t="shared" si="58"/>
        <v>0.71622929999999996</v>
      </c>
      <c r="D1900">
        <f t="shared" si="59"/>
        <v>287.78295597484276</v>
      </c>
      <c r="G1900" s="21">
        <v>-0.91514980000000001</v>
      </c>
      <c r="H1900" s="21">
        <v>0.71622929999999996</v>
      </c>
    </row>
    <row r="1901" spans="1:8" x14ac:dyDescent="0.15">
      <c r="A1901" s="21">
        <v>3.7089839999999999E-2</v>
      </c>
      <c r="B1901" s="21">
        <f t="shared" si="58"/>
        <v>0.73323970000000005</v>
      </c>
      <c r="D1901">
        <f t="shared" si="59"/>
        <v>294.76632075471696</v>
      </c>
      <c r="G1901" s="21">
        <v>-0.93735690000000005</v>
      </c>
      <c r="H1901" s="21">
        <v>0.73323970000000005</v>
      </c>
    </row>
    <row r="1902" spans="1:8" x14ac:dyDescent="0.15">
      <c r="A1902" s="21">
        <v>3.7109379999999997E-2</v>
      </c>
      <c r="B1902" s="21">
        <f t="shared" si="58"/>
        <v>0.72575219999999996</v>
      </c>
      <c r="D1902">
        <f t="shared" si="59"/>
        <v>291.81160377358486</v>
      </c>
      <c r="G1902" s="21">
        <v>-0.92796089999999998</v>
      </c>
      <c r="H1902" s="21">
        <v>0.72575219999999996</v>
      </c>
    </row>
    <row r="1903" spans="1:8" x14ac:dyDescent="0.15">
      <c r="A1903" s="21">
        <v>3.7128910000000001E-2</v>
      </c>
      <c r="B1903" s="21">
        <f t="shared" si="58"/>
        <v>0.69239289999999998</v>
      </c>
      <c r="D1903">
        <f t="shared" si="59"/>
        <v>278.40034591194967</v>
      </c>
      <c r="G1903" s="21">
        <v>-0.88531309999999996</v>
      </c>
      <c r="H1903" s="21">
        <v>0.69239289999999998</v>
      </c>
    </row>
    <row r="1904" spans="1:8" x14ac:dyDescent="0.15">
      <c r="A1904" s="21">
        <v>3.7148439999999998E-2</v>
      </c>
      <c r="B1904" s="21">
        <f t="shared" si="58"/>
        <v>0.63515750000000004</v>
      </c>
      <c r="D1904">
        <f t="shared" si="59"/>
        <v>255.54154088050313</v>
      </c>
      <c r="G1904" s="21">
        <v>-0.81262210000000001</v>
      </c>
      <c r="H1904" s="21">
        <v>0.63515750000000004</v>
      </c>
    </row>
    <row r="1905" spans="1:8" x14ac:dyDescent="0.15">
      <c r="A1905" s="21">
        <v>3.7167970000000002E-2</v>
      </c>
      <c r="B1905" s="21">
        <f t="shared" si="58"/>
        <v>0.55759130000000001</v>
      </c>
      <c r="D1905">
        <f t="shared" si="59"/>
        <v>224.3498427672956</v>
      </c>
      <c r="G1905" s="21">
        <v>-0.71343250000000002</v>
      </c>
      <c r="H1905" s="21">
        <v>0.55759130000000001</v>
      </c>
    </row>
    <row r="1906" spans="1:8" x14ac:dyDescent="0.15">
      <c r="A1906" s="21">
        <v>3.7187499999999998E-2</v>
      </c>
      <c r="B1906" s="21">
        <f t="shared" si="58"/>
        <v>0.46081719999999998</v>
      </c>
      <c r="D1906">
        <f t="shared" si="59"/>
        <v>185.36166666666665</v>
      </c>
      <c r="G1906" s="21">
        <v>-0.58945009999999998</v>
      </c>
      <c r="H1906" s="21">
        <v>0.46081719999999998</v>
      </c>
    </row>
    <row r="1907" spans="1:8" x14ac:dyDescent="0.15">
      <c r="A1907" s="21">
        <v>3.7207030000000002E-2</v>
      </c>
      <c r="B1907" s="21">
        <f t="shared" si="58"/>
        <v>0.348609</v>
      </c>
      <c r="D1907">
        <f t="shared" si="59"/>
        <v>140.35022012578614</v>
      </c>
      <c r="G1907" s="21">
        <v>-0.44631369999999998</v>
      </c>
      <c r="H1907" s="21">
        <v>0.348609</v>
      </c>
    </row>
    <row r="1908" spans="1:8" x14ac:dyDescent="0.15">
      <c r="A1908" s="21">
        <v>3.7226559999999999E-2</v>
      </c>
      <c r="B1908" s="21">
        <f t="shared" si="58"/>
        <v>0.22364690000000001</v>
      </c>
      <c r="D1908">
        <f t="shared" si="59"/>
        <v>90.145817610062892</v>
      </c>
      <c r="G1908" s="21">
        <v>-0.28666370000000002</v>
      </c>
      <c r="H1908" s="21">
        <v>0.22364690000000001</v>
      </c>
    </row>
    <row r="1909" spans="1:8" x14ac:dyDescent="0.15">
      <c r="A1909" s="21">
        <v>3.7246090000000003E-2</v>
      </c>
      <c r="B1909" s="21">
        <f t="shared" si="58"/>
        <v>8.8395130000000002E-2</v>
      </c>
      <c r="D1909">
        <f t="shared" si="59"/>
        <v>36.001226415094337</v>
      </c>
      <c r="G1909" s="21">
        <v>-0.1144839</v>
      </c>
      <c r="H1909" s="21">
        <v>8.8395130000000002E-2</v>
      </c>
    </row>
    <row r="1910" spans="1:8" x14ac:dyDescent="0.15">
      <c r="A1910" s="21">
        <v>3.7265630000000001E-2</v>
      </c>
      <c r="B1910" s="21">
        <f t="shared" si="58"/>
        <v>-4.8287429999999999E-2</v>
      </c>
      <c r="D1910">
        <f t="shared" si="59"/>
        <v>-18.482801886792451</v>
      </c>
      <c r="G1910" s="21">
        <v>5.8775309999999997E-2</v>
      </c>
      <c r="H1910" s="21">
        <v>-4.8287429999999999E-2</v>
      </c>
    </row>
    <row r="1911" spans="1:8" x14ac:dyDescent="0.15">
      <c r="A1911" s="21">
        <v>3.7285159999999998E-2</v>
      </c>
      <c r="B1911" s="21">
        <f t="shared" si="58"/>
        <v>-0.18069109999999999</v>
      </c>
      <c r="D1911">
        <f t="shared" si="59"/>
        <v>-71.435062893081763</v>
      </c>
      <c r="G1911" s="21">
        <v>0.22716349999999999</v>
      </c>
      <c r="H1911" s="21">
        <v>-0.18069109999999999</v>
      </c>
    </row>
    <row r="1912" spans="1:8" x14ac:dyDescent="0.15">
      <c r="A1912" s="21">
        <v>3.7304690000000001E-2</v>
      </c>
      <c r="B1912" s="21">
        <f t="shared" si="58"/>
        <v>-0.3065541</v>
      </c>
      <c r="D1912">
        <f t="shared" si="59"/>
        <v>-121.83283018867924</v>
      </c>
      <c r="G1912" s="21">
        <v>0.38742840000000001</v>
      </c>
      <c r="H1912" s="21">
        <v>-0.3065541</v>
      </c>
    </row>
    <row r="1913" spans="1:8" x14ac:dyDescent="0.15">
      <c r="A1913" s="21">
        <v>3.7324219999999998E-2</v>
      </c>
      <c r="B1913" s="21">
        <f t="shared" si="58"/>
        <v>-0.42160160000000002</v>
      </c>
      <c r="D1913">
        <f t="shared" si="59"/>
        <v>-167.91283018867924</v>
      </c>
      <c r="G1913" s="21">
        <v>0.53396279999999996</v>
      </c>
      <c r="H1913" s="21">
        <v>-0.42160160000000002</v>
      </c>
    </row>
    <row r="1914" spans="1:8" x14ac:dyDescent="0.15">
      <c r="A1914" s="21">
        <v>3.7343750000000002E-2</v>
      </c>
      <c r="B1914" s="21">
        <f t="shared" si="58"/>
        <v>-0.52427210000000002</v>
      </c>
      <c r="D1914">
        <f t="shared" si="59"/>
        <v>-208.96773584905662</v>
      </c>
      <c r="G1914" s="21">
        <v>0.66451740000000004</v>
      </c>
      <c r="H1914" s="21">
        <v>-0.52427210000000002</v>
      </c>
    </row>
    <row r="1915" spans="1:8" x14ac:dyDescent="0.15">
      <c r="A1915" s="21">
        <v>3.7363279999999999E-2</v>
      </c>
      <c r="B1915" s="21">
        <f t="shared" si="58"/>
        <v>-0.61004720000000001</v>
      </c>
      <c r="D1915">
        <f t="shared" si="59"/>
        <v>-243.17550314465407</v>
      </c>
      <c r="G1915" s="21">
        <v>0.77329809999999999</v>
      </c>
      <c r="H1915" s="21">
        <v>-0.61004720000000001</v>
      </c>
    </row>
    <row r="1916" spans="1:8" x14ac:dyDescent="0.15">
      <c r="A1916" s="21">
        <v>3.7382810000000002E-2</v>
      </c>
      <c r="B1916" s="21">
        <f t="shared" si="58"/>
        <v>-0.67366689999999996</v>
      </c>
      <c r="D1916">
        <f t="shared" si="59"/>
        <v>-268.82481132075469</v>
      </c>
      <c r="G1916" s="21">
        <v>0.85486289999999998</v>
      </c>
      <c r="H1916" s="21">
        <v>-0.67366689999999996</v>
      </c>
    </row>
    <row r="1917" spans="1:8" x14ac:dyDescent="0.15">
      <c r="A1917" s="21">
        <v>3.7402339999999999E-2</v>
      </c>
      <c r="B1917" s="21">
        <f t="shared" si="58"/>
        <v>-0.71561870000000005</v>
      </c>
      <c r="D1917">
        <f t="shared" si="59"/>
        <v>-285.90757861635217</v>
      </c>
      <c r="G1917" s="21">
        <v>0.9091861</v>
      </c>
      <c r="H1917" s="21">
        <v>-0.71561870000000005</v>
      </c>
    </row>
    <row r="1918" spans="1:8" x14ac:dyDescent="0.15">
      <c r="A1918" s="21">
        <v>3.7421879999999998E-2</v>
      </c>
      <c r="B1918" s="21">
        <f t="shared" si="58"/>
        <v>-0.7335431</v>
      </c>
      <c r="D1918">
        <f t="shared" si="59"/>
        <v>-293.18827044025159</v>
      </c>
      <c r="G1918" s="21">
        <v>0.93233869999999996</v>
      </c>
      <c r="H1918" s="21">
        <v>-0.7335431</v>
      </c>
    </row>
    <row r="1919" spans="1:8" x14ac:dyDescent="0.15">
      <c r="A1919" s="21">
        <v>3.7441410000000001E-2</v>
      </c>
      <c r="B1919" s="21">
        <f t="shared" si="58"/>
        <v>-0.72626520000000006</v>
      </c>
      <c r="D1919">
        <f t="shared" si="59"/>
        <v>-290.43336477987418</v>
      </c>
      <c r="G1919" s="21">
        <v>0.92357809999999996</v>
      </c>
      <c r="H1919" s="21">
        <v>-0.72626520000000006</v>
      </c>
    </row>
    <row r="1920" spans="1:8" x14ac:dyDescent="0.15">
      <c r="A1920" s="21">
        <v>3.7460939999999998E-2</v>
      </c>
      <c r="B1920" s="21">
        <f t="shared" si="58"/>
        <v>-0.69623840000000004</v>
      </c>
      <c r="D1920">
        <f t="shared" si="59"/>
        <v>-278.70358490566036</v>
      </c>
      <c r="G1920" s="21">
        <v>0.88627739999999999</v>
      </c>
      <c r="H1920" s="21">
        <v>-0.69623840000000004</v>
      </c>
    </row>
    <row r="1921" spans="1:8" x14ac:dyDescent="0.15">
      <c r="A1921" s="21">
        <v>3.7480470000000002E-2</v>
      </c>
      <c r="B1921" s="21">
        <f t="shared" si="58"/>
        <v>-0.64147469999999995</v>
      </c>
      <c r="D1921">
        <f t="shared" si="59"/>
        <v>-257.03229559748428</v>
      </c>
      <c r="G1921" s="21">
        <v>0.8173627</v>
      </c>
      <c r="H1921" s="21">
        <v>-0.64147469999999995</v>
      </c>
    </row>
    <row r="1922" spans="1:8" x14ac:dyDescent="0.15">
      <c r="A1922" s="21">
        <v>3.7499999999999999E-2</v>
      </c>
      <c r="B1922" s="21">
        <f t="shared" ref="B1922:B1985" si="60">H1922</f>
        <v>-0.56373680000000004</v>
      </c>
      <c r="D1922">
        <f t="shared" ref="D1922:D1985" si="61">G1922*-1000/3.18</f>
        <v>-226.06267295597482</v>
      </c>
      <c r="G1922" s="21">
        <v>0.7188793</v>
      </c>
      <c r="H1922" s="21">
        <v>-0.56373680000000004</v>
      </c>
    </row>
    <row r="1923" spans="1:8" x14ac:dyDescent="0.15">
      <c r="A1923" s="21">
        <v>3.7519530000000002E-2</v>
      </c>
      <c r="B1923" s="21">
        <f t="shared" si="60"/>
        <v>-0.46824179999999999</v>
      </c>
      <c r="D1923">
        <f t="shared" si="61"/>
        <v>-187.94031446540882</v>
      </c>
      <c r="G1923" s="21">
        <v>0.59765020000000002</v>
      </c>
      <c r="H1923" s="21">
        <v>-0.46824179999999999</v>
      </c>
    </row>
    <row r="1924" spans="1:8" x14ac:dyDescent="0.15">
      <c r="A1924" s="21">
        <v>3.7539059999999999E-2</v>
      </c>
      <c r="B1924" s="21">
        <f t="shared" si="60"/>
        <v>-0.35518290000000002</v>
      </c>
      <c r="D1924">
        <f t="shared" si="61"/>
        <v>-142.71132075471698</v>
      </c>
      <c r="G1924" s="21">
        <v>0.453822</v>
      </c>
      <c r="H1924" s="21">
        <v>-0.35518290000000002</v>
      </c>
    </row>
    <row r="1925" spans="1:8" x14ac:dyDescent="0.15">
      <c r="A1925" s="21">
        <v>3.7558590000000003E-2</v>
      </c>
      <c r="B1925" s="21">
        <f t="shared" si="60"/>
        <v>-0.22880439999999999</v>
      </c>
      <c r="D1925">
        <f t="shared" si="61"/>
        <v>-92.197641509433964</v>
      </c>
      <c r="G1925" s="21">
        <v>0.29318850000000002</v>
      </c>
      <c r="H1925" s="21">
        <v>-0.22880439999999999</v>
      </c>
    </row>
    <row r="1926" spans="1:8" x14ac:dyDescent="0.15">
      <c r="A1926" s="21">
        <v>3.7578130000000001E-2</v>
      </c>
      <c r="B1926" s="21">
        <f t="shared" si="60"/>
        <v>-9.6042100000000005E-2</v>
      </c>
      <c r="D1926">
        <f t="shared" si="61"/>
        <v>-39.161352201257856</v>
      </c>
      <c r="G1926" s="21">
        <v>0.12453309999999999</v>
      </c>
      <c r="H1926" s="21">
        <v>-9.6042100000000005E-2</v>
      </c>
    </row>
    <row r="1927" spans="1:8" x14ac:dyDescent="0.15">
      <c r="A1927" s="21">
        <v>3.7597659999999998E-2</v>
      </c>
      <c r="B1927" s="21">
        <f t="shared" si="60"/>
        <v>4.0115230000000002E-2</v>
      </c>
      <c r="D1927">
        <f t="shared" si="61"/>
        <v>15.479418238993711</v>
      </c>
      <c r="G1927" s="21">
        <v>-4.9224549999999999E-2</v>
      </c>
      <c r="H1927" s="21">
        <v>4.0115230000000002E-2</v>
      </c>
    </row>
    <row r="1928" spans="1:8" x14ac:dyDescent="0.15">
      <c r="A1928" s="21">
        <v>3.7617190000000002E-2</v>
      </c>
      <c r="B1928" s="21">
        <f t="shared" si="60"/>
        <v>0.17384930000000001</v>
      </c>
      <c r="D1928">
        <f t="shared" si="61"/>
        <v>69.195188679245291</v>
      </c>
      <c r="G1928" s="21">
        <v>-0.22004070000000001</v>
      </c>
      <c r="H1928" s="21">
        <v>0.17384930000000001</v>
      </c>
    </row>
    <row r="1929" spans="1:8" x14ac:dyDescent="0.15">
      <c r="A1929" s="21">
        <v>3.7636719999999999E-2</v>
      </c>
      <c r="B1929" s="21">
        <f t="shared" si="60"/>
        <v>0.30021550000000002</v>
      </c>
      <c r="D1929">
        <f t="shared" si="61"/>
        <v>119.87597484276729</v>
      </c>
      <c r="G1929" s="21">
        <v>-0.38120559999999998</v>
      </c>
      <c r="H1929" s="21">
        <v>0.30021550000000002</v>
      </c>
    </row>
    <row r="1930" spans="1:8" x14ac:dyDescent="0.15">
      <c r="A1930" s="21">
        <v>3.7656250000000002E-2</v>
      </c>
      <c r="B1930" s="21">
        <f t="shared" si="60"/>
        <v>0.41705629999999999</v>
      </c>
      <c r="D1930">
        <f t="shared" si="61"/>
        <v>166.87676100628929</v>
      </c>
      <c r="G1930" s="21">
        <v>-0.53066809999999998</v>
      </c>
      <c r="H1930" s="21">
        <v>0.41705629999999999</v>
      </c>
    </row>
    <row r="1931" spans="1:8" x14ac:dyDescent="0.15">
      <c r="A1931" s="21">
        <v>3.7675779999999999E-2</v>
      </c>
      <c r="B1931" s="21">
        <f t="shared" si="60"/>
        <v>0.51956690000000005</v>
      </c>
      <c r="D1931">
        <f t="shared" si="61"/>
        <v>208.19305031446541</v>
      </c>
      <c r="G1931" s="21">
        <v>-0.66205389999999997</v>
      </c>
      <c r="H1931" s="21">
        <v>0.51956690000000005</v>
      </c>
    </row>
    <row r="1932" spans="1:8" x14ac:dyDescent="0.15">
      <c r="A1932" s="21">
        <v>3.7695310000000003E-2</v>
      </c>
      <c r="B1932" s="21">
        <f t="shared" si="60"/>
        <v>0.60469260000000002</v>
      </c>
      <c r="D1932">
        <f t="shared" si="61"/>
        <v>242.59015723270437</v>
      </c>
      <c r="G1932" s="21">
        <v>-0.77143669999999998</v>
      </c>
      <c r="H1932" s="21">
        <v>0.60469260000000002</v>
      </c>
    </row>
    <row r="1933" spans="1:8" x14ac:dyDescent="0.15">
      <c r="A1933" s="21">
        <v>3.7714839999999999E-2</v>
      </c>
      <c r="B1933" s="21">
        <f t="shared" si="60"/>
        <v>0.66952540000000005</v>
      </c>
      <c r="D1933">
        <f t="shared" si="61"/>
        <v>268.870534591195</v>
      </c>
      <c r="G1933" s="21">
        <v>-0.85500830000000005</v>
      </c>
      <c r="H1933" s="21">
        <v>0.66952540000000005</v>
      </c>
    </row>
    <row r="1934" spans="1:8" x14ac:dyDescent="0.15">
      <c r="A1934" s="21">
        <v>3.7734379999999998E-2</v>
      </c>
      <c r="B1934" s="21">
        <f t="shared" si="60"/>
        <v>0.71153350000000004</v>
      </c>
      <c r="D1934">
        <f t="shared" si="61"/>
        <v>285.92575471698109</v>
      </c>
      <c r="G1934" s="21">
        <v>-0.90924389999999999</v>
      </c>
      <c r="H1934" s="21">
        <v>0.71153350000000004</v>
      </c>
    </row>
    <row r="1935" spans="1:8" x14ac:dyDescent="0.15">
      <c r="A1935" s="21">
        <v>3.7753910000000002E-2</v>
      </c>
      <c r="B1935" s="21">
        <f t="shared" si="60"/>
        <v>0.73207710000000004</v>
      </c>
      <c r="D1935">
        <f t="shared" si="61"/>
        <v>294.39443396226415</v>
      </c>
      <c r="G1935" s="21">
        <v>-0.93617430000000001</v>
      </c>
      <c r="H1935" s="21">
        <v>0.73207710000000004</v>
      </c>
    </row>
    <row r="1936" spans="1:8" x14ac:dyDescent="0.15">
      <c r="A1936" s="21">
        <v>3.7773439999999998E-2</v>
      </c>
      <c r="B1936" s="21">
        <f t="shared" si="60"/>
        <v>0.72849810000000004</v>
      </c>
      <c r="D1936">
        <f t="shared" si="61"/>
        <v>292.99141509433957</v>
      </c>
      <c r="G1936" s="21">
        <v>-0.93171269999999995</v>
      </c>
      <c r="H1936" s="21">
        <v>0.72849810000000004</v>
      </c>
    </row>
    <row r="1937" spans="1:8" x14ac:dyDescent="0.15">
      <c r="A1937" s="21">
        <v>3.7792970000000002E-2</v>
      </c>
      <c r="B1937" s="21">
        <f t="shared" si="60"/>
        <v>0.69846390000000003</v>
      </c>
      <c r="D1937">
        <f t="shared" si="61"/>
        <v>280.84028301886792</v>
      </c>
      <c r="G1937" s="21">
        <v>-0.89307210000000004</v>
      </c>
      <c r="H1937" s="21">
        <v>0.69846390000000003</v>
      </c>
    </row>
    <row r="1938" spans="1:8" x14ac:dyDescent="0.15">
      <c r="A1938" s="21">
        <v>3.7812499999999999E-2</v>
      </c>
      <c r="B1938" s="21">
        <f t="shared" si="60"/>
        <v>0.64484439999999998</v>
      </c>
      <c r="D1938">
        <f t="shared" si="61"/>
        <v>259.35081761006285</v>
      </c>
      <c r="G1938" s="21">
        <v>-0.82473560000000001</v>
      </c>
      <c r="H1938" s="21">
        <v>0.64484439999999998</v>
      </c>
    </row>
    <row r="1939" spans="1:8" x14ac:dyDescent="0.15">
      <c r="A1939" s="21">
        <v>3.7832030000000003E-2</v>
      </c>
      <c r="B1939" s="21">
        <f t="shared" si="60"/>
        <v>0.56905539999999999</v>
      </c>
      <c r="D1939">
        <f t="shared" si="61"/>
        <v>228.94009433962262</v>
      </c>
      <c r="G1939" s="21">
        <v>-0.7280295</v>
      </c>
      <c r="H1939" s="21">
        <v>0.56905539999999999</v>
      </c>
    </row>
    <row r="1940" spans="1:8" x14ac:dyDescent="0.15">
      <c r="A1940" s="21">
        <v>3.7851559999999999E-2</v>
      </c>
      <c r="B1940" s="21">
        <f t="shared" si="60"/>
        <v>0.47462850000000001</v>
      </c>
      <c r="D1940">
        <f t="shared" si="61"/>
        <v>191.01132075471696</v>
      </c>
      <c r="G1940" s="21">
        <v>-0.60741599999999996</v>
      </c>
      <c r="H1940" s="21">
        <v>0.47462850000000001</v>
      </c>
    </row>
    <row r="1941" spans="1:8" x14ac:dyDescent="0.15">
      <c r="A1941" s="21">
        <v>3.7871090000000003E-2</v>
      </c>
      <c r="B1941" s="21">
        <f t="shared" si="60"/>
        <v>0.36472779999999999</v>
      </c>
      <c r="D1941">
        <f t="shared" si="61"/>
        <v>146.79446540880502</v>
      </c>
      <c r="G1941" s="21">
        <v>-0.46680640000000001</v>
      </c>
      <c r="H1941" s="21">
        <v>0.36472779999999999</v>
      </c>
    </row>
    <row r="1942" spans="1:8" x14ac:dyDescent="0.15">
      <c r="A1942" s="21">
        <v>3.7890630000000002E-2</v>
      </c>
      <c r="B1942" s="21">
        <f t="shared" si="60"/>
        <v>0.24037500000000001</v>
      </c>
      <c r="D1942">
        <f t="shared" si="61"/>
        <v>96.903333333333336</v>
      </c>
      <c r="G1942" s="21">
        <v>-0.3081526</v>
      </c>
      <c r="H1942" s="21">
        <v>0.24037500000000001</v>
      </c>
    </row>
    <row r="1943" spans="1:8" x14ac:dyDescent="0.15">
      <c r="A1943" s="21">
        <v>3.7910159999999998E-2</v>
      </c>
      <c r="B1943" s="21">
        <f t="shared" si="60"/>
        <v>0.1072727</v>
      </c>
      <c r="D1943">
        <f t="shared" si="61"/>
        <v>43.748113207547171</v>
      </c>
      <c r="G1943" s="21">
        <v>-0.13911899999999999</v>
      </c>
      <c r="H1943" s="21">
        <v>0.1072727</v>
      </c>
    </row>
    <row r="1944" spans="1:8" x14ac:dyDescent="0.15">
      <c r="A1944" s="21">
        <v>3.7929690000000002E-2</v>
      </c>
      <c r="B1944" s="21">
        <f t="shared" si="60"/>
        <v>-2.9602920000000001E-2</v>
      </c>
      <c r="D1944">
        <f t="shared" si="61"/>
        <v>-11.01803144654088</v>
      </c>
      <c r="G1944" s="21">
        <v>3.503734E-2</v>
      </c>
      <c r="H1944" s="21">
        <v>-2.9602920000000001E-2</v>
      </c>
    </row>
    <row r="1945" spans="1:8" x14ac:dyDescent="0.15">
      <c r="A1945" s="21">
        <v>3.7949219999999999E-2</v>
      </c>
      <c r="B1945" s="21">
        <f t="shared" si="60"/>
        <v>-0.16439419999999999</v>
      </c>
      <c r="D1945">
        <f t="shared" si="61"/>
        <v>-64.835345911949688</v>
      </c>
      <c r="G1945" s="21">
        <v>0.20617640000000001</v>
      </c>
      <c r="H1945" s="21">
        <v>-0.16439419999999999</v>
      </c>
    </row>
    <row r="1946" spans="1:8" x14ac:dyDescent="0.15">
      <c r="A1946" s="21">
        <v>3.7968750000000002E-2</v>
      </c>
      <c r="B1946" s="21">
        <f t="shared" si="60"/>
        <v>-0.2898906</v>
      </c>
      <c r="D1946">
        <f t="shared" si="61"/>
        <v>-114.93132075471698</v>
      </c>
      <c r="G1946" s="21">
        <v>0.36548160000000002</v>
      </c>
      <c r="H1946" s="21">
        <v>-0.2898906</v>
      </c>
    </row>
    <row r="1947" spans="1:8" x14ac:dyDescent="0.15">
      <c r="A1947" s="21">
        <v>3.7988279999999999E-2</v>
      </c>
      <c r="B1947" s="21">
        <f t="shared" si="60"/>
        <v>-0.40638920000000001</v>
      </c>
      <c r="D1947">
        <f t="shared" si="61"/>
        <v>-161.7788364779874</v>
      </c>
      <c r="G1947" s="21">
        <v>0.51445669999999999</v>
      </c>
      <c r="H1947" s="21">
        <v>-0.40638920000000001</v>
      </c>
    </row>
    <row r="1948" spans="1:8" x14ac:dyDescent="0.15">
      <c r="A1948" s="21">
        <v>3.8007810000000003E-2</v>
      </c>
      <c r="B1948" s="21">
        <f t="shared" si="60"/>
        <v>-0.51168259999999999</v>
      </c>
      <c r="D1948">
        <f t="shared" si="61"/>
        <v>-203.93411949685532</v>
      </c>
      <c r="G1948" s="21">
        <v>0.64851049999999999</v>
      </c>
      <c r="H1948" s="21">
        <v>-0.51168259999999999</v>
      </c>
    </row>
    <row r="1949" spans="1:8" x14ac:dyDescent="0.15">
      <c r="A1949" s="21">
        <v>3.802734E-2</v>
      </c>
      <c r="B1949" s="21">
        <f t="shared" si="60"/>
        <v>-0.59902010000000006</v>
      </c>
      <c r="D1949">
        <f t="shared" si="61"/>
        <v>-238.72823899371068</v>
      </c>
      <c r="G1949" s="21">
        <v>0.75915580000000005</v>
      </c>
      <c r="H1949" s="21">
        <v>-0.59902010000000006</v>
      </c>
    </row>
    <row r="1950" spans="1:8" x14ac:dyDescent="0.15">
      <c r="A1950" s="21">
        <v>3.8046879999999998E-2</v>
      </c>
      <c r="B1950" s="21">
        <f t="shared" si="60"/>
        <v>-0.66641790000000001</v>
      </c>
      <c r="D1950">
        <f t="shared" si="61"/>
        <v>-265.88833333333332</v>
      </c>
      <c r="G1950" s="21">
        <v>0.84552490000000002</v>
      </c>
      <c r="H1950" s="21">
        <v>-0.66641790000000001</v>
      </c>
    </row>
    <row r="1951" spans="1:8" x14ac:dyDescent="0.15">
      <c r="A1951" s="21">
        <v>3.8066410000000002E-2</v>
      </c>
      <c r="B1951" s="21">
        <f t="shared" si="60"/>
        <v>-0.71113769999999998</v>
      </c>
      <c r="D1951">
        <f t="shared" si="61"/>
        <v>-284.09163522012574</v>
      </c>
      <c r="G1951" s="21">
        <v>0.90341139999999998</v>
      </c>
      <c r="H1951" s="21">
        <v>-0.71113769999999998</v>
      </c>
    </row>
    <row r="1952" spans="1:8" x14ac:dyDescent="0.15">
      <c r="A1952" s="21">
        <v>3.8085939999999999E-2</v>
      </c>
      <c r="B1952" s="21">
        <f t="shared" si="60"/>
        <v>-0.73159339999999995</v>
      </c>
      <c r="D1952">
        <f t="shared" si="61"/>
        <v>-292.51830188679247</v>
      </c>
      <c r="G1952" s="21">
        <v>0.93020820000000004</v>
      </c>
      <c r="H1952" s="21">
        <v>-0.73159339999999995</v>
      </c>
    </row>
    <row r="1953" spans="1:8" x14ac:dyDescent="0.15">
      <c r="A1953" s="21">
        <v>3.8105470000000002E-2</v>
      </c>
      <c r="B1953" s="21">
        <f t="shared" si="60"/>
        <v>-0.72880789999999995</v>
      </c>
      <c r="D1953">
        <f t="shared" si="61"/>
        <v>-291.51663522012575</v>
      </c>
      <c r="G1953" s="21">
        <v>0.92702289999999998</v>
      </c>
      <c r="H1953" s="21">
        <v>-0.72880789999999995</v>
      </c>
    </row>
    <row r="1954" spans="1:8" x14ac:dyDescent="0.15">
      <c r="A1954" s="21">
        <v>3.8124999999999999E-2</v>
      </c>
      <c r="B1954" s="21">
        <f t="shared" si="60"/>
        <v>-0.70108420000000005</v>
      </c>
      <c r="D1954">
        <f t="shared" si="61"/>
        <v>-280.52377358490565</v>
      </c>
      <c r="G1954" s="21">
        <v>0.89206560000000001</v>
      </c>
      <c r="H1954" s="21">
        <v>-0.70108420000000005</v>
      </c>
    </row>
    <row r="1955" spans="1:8" x14ac:dyDescent="0.15">
      <c r="A1955" s="21">
        <v>3.8144530000000003E-2</v>
      </c>
      <c r="B1955" s="21">
        <f t="shared" si="60"/>
        <v>-0.64951899999999996</v>
      </c>
      <c r="D1955">
        <f t="shared" si="61"/>
        <v>-260.24345911949683</v>
      </c>
      <c r="G1955" s="21">
        <v>0.82757420000000004</v>
      </c>
      <c r="H1955" s="21">
        <v>-0.64951899999999996</v>
      </c>
    </row>
    <row r="1956" spans="1:8" x14ac:dyDescent="0.15">
      <c r="A1956" s="21">
        <v>3.816406E-2</v>
      </c>
      <c r="B1956" s="21">
        <f t="shared" si="60"/>
        <v>-0.57596769999999997</v>
      </c>
      <c r="D1956">
        <f t="shared" si="61"/>
        <v>-231.0130188679245</v>
      </c>
      <c r="G1956" s="21">
        <v>0.73462139999999998</v>
      </c>
      <c r="H1956" s="21">
        <v>-0.57596769999999997</v>
      </c>
    </row>
    <row r="1957" spans="1:8" x14ac:dyDescent="0.15">
      <c r="A1957" s="21">
        <v>3.8183590000000003E-2</v>
      </c>
      <c r="B1957" s="21">
        <f t="shared" si="60"/>
        <v>-0.48124840000000002</v>
      </c>
      <c r="D1957">
        <f t="shared" si="61"/>
        <v>-193.05757861635223</v>
      </c>
      <c r="G1957" s="21">
        <v>0.61392310000000005</v>
      </c>
      <c r="H1957" s="21">
        <v>-0.48124840000000002</v>
      </c>
    </row>
    <row r="1958" spans="1:8" x14ac:dyDescent="0.15">
      <c r="A1958" s="21">
        <v>3.820312E-2</v>
      </c>
      <c r="B1958" s="21">
        <f t="shared" si="60"/>
        <v>-0.37036289999999999</v>
      </c>
      <c r="D1958">
        <f t="shared" si="61"/>
        <v>-148.8062893081761</v>
      </c>
      <c r="G1958" s="21">
        <v>0.47320400000000001</v>
      </c>
      <c r="H1958" s="21">
        <v>-0.37036289999999999</v>
      </c>
    </row>
    <row r="1959" spans="1:8" x14ac:dyDescent="0.15">
      <c r="A1959" s="21">
        <v>3.8222659999999999E-2</v>
      </c>
      <c r="B1959" s="21">
        <f t="shared" si="60"/>
        <v>-0.24648200000000001</v>
      </c>
      <c r="D1959">
        <f t="shared" si="61"/>
        <v>-99.321886792452815</v>
      </c>
      <c r="G1959" s="21">
        <v>0.3158436</v>
      </c>
      <c r="H1959" s="21">
        <v>-0.24648200000000001</v>
      </c>
    </row>
    <row r="1960" spans="1:8" x14ac:dyDescent="0.15">
      <c r="A1960" s="21">
        <v>3.8242190000000002E-2</v>
      </c>
      <c r="B1960" s="21">
        <f t="shared" si="60"/>
        <v>-0.1130982</v>
      </c>
      <c r="D1960">
        <f t="shared" si="61"/>
        <v>-45.922138364779869</v>
      </c>
      <c r="G1960" s="21">
        <v>0.14603240000000001</v>
      </c>
      <c r="H1960" s="21">
        <v>-0.1130982</v>
      </c>
    </row>
    <row r="1961" spans="1:8" x14ac:dyDescent="0.15">
      <c r="A1961" s="21">
        <v>3.8261719999999999E-2</v>
      </c>
      <c r="B1961" s="21">
        <f t="shared" si="60"/>
        <v>2.222385E-2</v>
      </c>
      <c r="D1961">
        <f t="shared" si="61"/>
        <v>8.2627861635220121</v>
      </c>
      <c r="G1961" s="21">
        <v>-2.6275659999999999E-2</v>
      </c>
      <c r="H1961" s="21">
        <v>2.222385E-2</v>
      </c>
    </row>
    <row r="1962" spans="1:8" x14ac:dyDescent="0.15">
      <c r="A1962" s="21">
        <v>3.8281250000000003E-2</v>
      </c>
      <c r="B1962" s="21">
        <f t="shared" si="60"/>
        <v>0.15603310000000001</v>
      </c>
      <c r="D1962">
        <f t="shared" si="61"/>
        <v>61.988270440251569</v>
      </c>
      <c r="G1962" s="21">
        <v>-0.19712270000000001</v>
      </c>
      <c r="H1962" s="21">
        <v>0.15603310000000001</v>
      </c>
    </row>
    <row r="1963" spans="1:8" x14ac:dyDescent="0.15">
      <c r="A1963" s="21">
        <v>3.830078E-2</v>
      </c>
      <c r="B1963" s="21">
        <f t="shared" si="60"/>
        <v>0.28467209999999998</v>
      </c>
      <c r="D1963">
        <f t="shared" si="61"/>
        <v>113.56276729559747</v>
      </c>
      <c r="G1963" s="21">
        <v>-0.3611296</v>
      </c>
      <c r="H1963" s="21">
        <v>0.28467209999999998</v>
      </c>
    </row>
    <row r="1964" spans="1:8" x14ac:dyDescent="0.15">
      <c r="A1964" s="21">
        <v>3.8320310000000003E-2</v>
      </c>
      <c r="B1964" s="21">
        <f t="shared" si="60"/>
        <v>0.40261619999999998</v>
      </c>
      <c r="D1964">
        <f t="shared" si="61"/>
        <v>160.95531446540878</v>
      </c>
      <c r="G1964" s="21">
        <v>-0.51183789999999996</v>
      </c>
      <c r="H1964" s="21">
        <v>0.40261619999999998</v>
      </c>
    </row>
    <row r="1965" spans="1:8" x14ac:dyDescent="0.15">
      <c r="A1965" s="21">
        <v>3.833984E-2</v>
      </c>
      <c r="B1965" s="21">
        <f t="shared" si="60"/>
        <v>0.50754429999999995</v>
      </c>
      <c r="D1965">
        <f t="shared" si="61"/>
        <v>203.35</v>
      </c>
      <c r="G1965" s="21">
        <v>-0.64665300000000003</v>
      </c>
      <c r="H1965" s="21">
        <v>0.50754429999999995</v>
      </c>
    </row>
    <row r="1966" spans="1:8" x14ac:dyDescent="0.15">
      <c r="A1966" s="21">
        <v>3.8359379999999998E-2</v>
      </c>
      <c r="B1966" s="21">
        <f t="shared" si="60"/>
        <v>0.59501660000000001</v>
      </c>
      <c r="D1966">
        <f t="shared" si="61"/>
        <v>238.59767295597482</v>
      </c>
      <c r="G1966" s="21">
        <v>-0.75874059999999999</v>
      </c>
      <c r="H1966" s="21">
        <v>0.59501660000000001</v>
      </c>
    </row>
    <row r="1967" spans="1:8" x14ac:dyDescent="0.15">
      <c r="A1967" s="21">
        <v>3.8378910000000002E-2</v>
      </c>
      <c r="B1967" s="21">
        <f t="shared" si="60"/>
        <v>0.6618271</v>
      </c>
      <c r="D1967">
        <f t="shared" si="61"/>
        <v>265.65619496855345</v>
      </c>
      <c r="G1967" s="21">
        <v>-0.8447867</v>
      </c>
      <c r="H1967" s="21">
        <v>0.6618271</v>
      </c>
    </row>
    <row r="1968" spans="1:8" x14ac:dyDescent="0.15">
      <c r="A1968" s="21">
        <v>3.8398439999999999E-2</v>
      </c>
      <c r="B1968" s="21">
        <f t="shared" si="60"/>
        <v>0.70800549999999995</v>
      </c>
      <c r="D1968">
        <f t="shared" si="61"/>
        <v>284.46650943396224</v>
      </c>
      <c r="G1968" s="21">
        <v>-0.9046035</v>
      </c>
      <c r="H1968" s="21">
        <v>0.70800549999999995</v>
      </c>
    </row>
    <row r="1969" spans="1:8" x14ac:dyDescent="0.15">
      <c r="A1969" s="21">
        <v>3.8417970000000003E-2</v>
      </c>
      <c r="B1969" s="21">
        <f t="shared" si="60"/>
        <v>0.73123150000000003</v>
      </c>
      <c r="D1969">
        <f t="shared" si="61"/>
        <v>293.87433962264151</v>
      </c>
      <c r="G1969" s="21">
        <v>-0.93452040000000003</v>
      </c>
      <c r="H1969" s="21">
        <v>0.73123150000000003</v>
      </c>
    </row>
    <row r="1970" spans="1:8" x14ac:dyDescent="0.15">
      <c r="A1970" s="21">
        <v>3.8437499999999999E-2</v>
      </c>
      <c r="B1970" s="21">
        <f t="shared" si="60"/>
        <v>0.73034160000000004</v>
      </c>
      <c r="D1970">
        <f t="shared" si="61"/>
        <v>293.62</v>
      </c>
      <c r="G1970" s="21">
        <v>-0.93371159999999997</v>
      </c>
      <c r="H1970" s="21">
        <v>0.73034160000000004</v>
      </c>
    </row>
    <row r="1971" spans="1:8" x14ac:dyDescent="0.15">
      <c r="A1971" s="21">
        <v>3.8457030000000003E-2</v>
      </c>
      <c r="B1971" s="21">
        <f t="shared" si="60"/>
        <v>0.70458469999999995</v>
      </c>
      <c r="D1971">
        <f t="shared" si="61"/>
        <v>283.29965408805026</v>
      </c>
      <c r="G1971" s="21">
        <v>-0.9008929</v>
      </c>
      <c r="H1971" s="21">
        <v>0.70458469999999995</v>
      </c>
    </row>
    <row r="1972" spans="1:8" x14ac:dyDescent="0.15">
      <c r="A1972" s="21">
        <v>3.847656E-2</v>
      </c>
      <c r="B1972" s="21">
        <f t="shared" si="60"/>
        <v>0.65324850000000001</v>
      </c>
      <c r="D1972">
        <f t="shared" si="61"/>
        <v>262.67490566037736</v>
      </c>
      <c r="G1972" s="21">
        <v>-0.8353062</v>
      </c>
      <c r="H1972" s="21">
        <v>0.65324850000000001</v>
      </c>
    </row>
    <row r="1973" spans="1:8" x14ac:dyDescent="0.15">
      <c r="A1973" s="21">
        <v>3.8496089999999997E-2</v>
      </c>
      <c r="B1973" s="21">
        <f t="shared" si="60"/>
        <v>0.57999310000000004</v>
      </c>
      <c r="D1973">
        <f t="shared" si="61"/>
        <v>233.32836477987419</v>
      </c>
      <c r="G1973" s="21">
        <v>-0.74198419999999998</v>
      </c>
      <c r="H1973" s="21">
        <v>0.57999310000000004</v>
      </c>
    </row>
    <row r="1974" spans="1:8" x14ac:dyDescent="0.15">
      <c r="A1974" s="21">
        <v>3.851562E-2</v>
      </c>
      <c r="B1974" s="21">
        <f t="shared" si="60"/>
        <v>0.48839959999999999</v>
      </c>
      <c r="D1974">
        <f t="shared" si="61"/>
        <v>196.53911949685531</v>
      </c>
      <c r="G1974" s="21">
        <v>-0.62499439999999995</v>
      </c>
      <c r="H1974" s="21">
        <v>0.48839959999999999</v>
      </c>
    </row>
    <row r="1975" spans="1:8" x14ac:dyDescent="0.15">
      <c r="A1975" s="21">
        <v>3.8535159999999999E-2</v>
      </c>
      <c r="B1975" s="21">
        <f t="shared" si="60"/>
        <v>0.38016440000000001</v>
      </c>
      <c r="D1975">
        <f t="shared" si="61"/>
        <v>153.03446540880503</v>
      </c>
      <c r="G1975" s="21">
        <v>-0.48664960000000002</v>
      </c>
      <c r="H1975" s="21">
        <v>0.38016440000000001</v>
      </c>
    </row>
    <row r="1976" spans="1:8" x14ac:dyDescent="0.15">
      <c r="A1976" s="21">
        <v>3.8554690000000003E-2</v>
      </c>
      <c r="B1976" s="21">
        <f t="shared" si="60"/>
        <v>0.25799850000000002</v>
      </c>
      <c r="D1976">
        <f t="shared" si="61"/>
        <v>103.94861635220126</v>
      </c>
      <c r="G1976" s="21">
        <v>-0.33055659999999998</v>
      </c>
      <c r="H1976" s="21">
        <v>0.25799850000000002</v>
      </c>
    </row>
    <row r="1977" spans="1:8" x14ac:dyDescent="0.15">
      <c r="A1977" s="21">
        <v>3.8574219999999999E-2</v>
      </c>
      <c r="B1977" s="21">
        <f t="shared" si="60"/>
        <v>0.12541040000000001</v>
      </c>
      <c r="D1977">
        <f t="shared" si="61"/>
        <v>50.771729559748422</v>
      </c>
      <c r="G1977" s="21">
        <v>-0.16145409999999999</v>
      </c>
      <c r="H1977" s="21">
        <v>0.12541040000000001</v>
      </c>
    </row>
    <row r="1978" spans="1:8" x14ac:dyDescent="0.15">
      <c r="A1978" s="21">
        <v>3.8593750000000003E-2</v>
      </c>
      <c r="B1978" s="21">
        <f t="shared" si="60"/>
        <v>-1.160664E-2</v>
      </c>
      <c r="D1978">
        <f t="shared" si="61"/>
        <v>-3.8970597484276728</v>
      </c>
      <c r="G1978" s="21">
        <v>1.239265E-2</v>
      </c>
      <c r="H1978" s="21">
        <v>-1.160664E-2</v>
      </c>
    </row>
    <row r="1979" spans="1:8" x14ac:dyDescent="0.15">
      <c r="A1979" s="21">
        <v>3.861328E-2</v>
      </c>
      <c r="B1979" s="21">
        <f t="shared" si="60"/>
        <v>-0.14623710000000001</v>
      </c>
      <c r="D1979">
        <f t="shared" si="61"/>
        <v>-57.614182389937106</v>
      </c>
      <c r="G1979" s="21">
        <v>0.18321309999999999</v>
      </c>
      <c r="H1979" s="21">
        <v>-0.14623710000000001</v>
      </c>
    </row>
    <row r="1980" spans="1:8" x14ac:dyDescent="0.15">
      <c r="A1980" s="21">
        <v>3.8632809999999997E-2</v>
      </c>
      <c r="B1980" s="21">
        <f t="shared" si="60"/>
        <v>-0.27414040000000001</v>
      </c>
      <c r="D1980">
        <f t="shared" si="61"/>
        <v>-108.82751572327042</v>
      </c>
      <c r="G1980" s="21">
        <v>0.34607149999999998</v>
      </c>
      <c r="H1980" s="21">
        <v>-0.27414040000000001</v>
      </c>
    </row>
    <row r="1981" spans="1:8" x14ac:dyDescent="0.15">
      <c r="A1981" s="21">
        <v>3.865234E-2</v>
      </c>
      <c r="B1981" s="21">
        <f t="shared" si="60"/>
        <v>-0.39179140000000001</v>
      </c>
      <c r="D1981">
        <f t="shared" si="61"/>
        <v>-155.93056603773584</v>
      </c>
      <c r="G1981" s="21">
        <v>0.4958592</v>
      </c>
      <c r="H1981" s="21">
        <v>-0.39179140000000001</v>
      </c>
    </row>
    <row r="1982" spans="1:8" x14ac:dyDescent="0.15">
      <c r="A1982" s="21">
        <v>3.8671879999999999E-2</v>
      </c>
      <c r="B1982" s="21">
        <f t="shared" si="60"/>
        <v>-0.49767220000000001</v>
      </c>
      <c r="D1982">
        <f t="shared" si="61"/>
        <v>-198.36276729559748</v>
      </c>
      <c r="G1982" s="21">
        <v>0.63079359999999995</v>
      </c>
      <c r="H1982" s="21">
        <v>-0.49767220000000001</v>
      </c>
    </row>
    <row r="1983" spans="1:8" x14ac:dyDescent="0.15">
      <c r="A1983" s="21">
        <v>3.8691410000000002E-2</v>
      </c>
      <c r="B1983" s="21">
        <f t="shared" si="60"/>
        <v>-0.58890160000000003</v>
      </c>
      <c r="D1983">
        <f t="shared" si="61"/>
        <v>-234.85242138364779</v>
      </c>
      <c r="G1983" s="21">
        <v>0.74683069999999996</v>
      </c>
      <c r="H1983" s="21">
        <v>-0.58890160000000003</v>
      </c>
    </row>
    <row r="1984" spans="1:8" x14ac:dyDescent="0.15">
      <c r="A1984" s="21">
        <v>3.8710939999999999E-2</v>
      </c>
      <c r="B1984" s="21">
        <f t="shared" si="60"/>
        <v>-0.65909649999999997</v>
      </c>
      <c r="D1984">
        <f t="shared" si="61"/>
        <v>-262.91955974842767</v>
      </c>
      <c r="G1984" s="21">
        <v>0.83608420000000006</v>
      </c>
      <c r="H1984" s="21">
        <v>-0.65909649999999997</v>
      </c>
    </row>
    <row r="1985" spans="1:8" x14ac:dyDescent="0.15">
      <c r="A1985" s="21">
        <v>3.8730470000000003E-2</v>
      </c>
      <c r="B1985" s="21">
        <f t="shared" si="60"/>
        <v>-0.70656750000000001</v>
      </c>
      <c r="D1985">
        <f t="shared" si="61"/>
        <v>-282.22499999999997</v>
      </c>
      <c r="G1985" s="21">
        <v>0.89747549999999998</v>
      </c>
      <c r="H1985" s="21">
        <v>-0.70656750000000001</v>
      </c>
    </row>
    <row r="1986" spans="1:8" x14ac:dyDescent="0.15">
      <c r="A1986" s="21">
        <v>3.875E-2</v>
      </c>
      <c r="B1986" s="21">
        <f t="shared" ref="B1986:B2001" si="62">H1986</f>
        <v>-0.73114049999999997</v>
      </c>
      <c r="D1986">
        <f t="shared" ref="D1986:D2001" si="63">G1986*-1000/3.18</f>
        <v>-292.35138364779874</v>
      </c>
      <c r="G1986" s="21">
        <v>0.92967739999999999</v>
      </c>
      <c r="H1986" s="21">
        <v>-0.73114049999999997</v>
      </c>
    </row>
    <row r="1987" spans="1:8" x14ac:dyDescent="0.15">
      <c r="A1987" s="21">
        <v>3.8769530000000003E-2</v>
      </c>
      <c r="B1987" s="21">
        <f t="shared" si="62"/>
        <v>-0.73034469999999996</v>
      </c>
      <c r="D1987">
        <f t="shared" si="63"/>
        <v>-292.10396226415094</v>
      </c>
      <c r="G1987" s="21">
        <v>0.92889060000000001</v>
      </c>
      <c r="H1987" s="21">
        <v>-0.73034469999999996</v>
      </c>
    </row>
    <row r="1988" spans="1:8" x14ac:dyDescent="0.15">
      <c r="A1988" s="21">
        <v>3.878906E-2</v>
      </c>
      <c r="B1988" s="21">
        <f t="shared" si="62"/>
        <v>-0.70547649999999995</v>
      </c>
      <c r="D1988">
        <f t="shared" si="63"/>
        <v>-282.38610062893082</v>
      </c>
      <c r="G1988" s="21">
        <v>0.8979878</v>
      </c>
      <c r="H1988" s="21">
        <v>-0.70547649999999995</v>
      </c>
    </row>
    <row r="1989" spans="1:8" x14ac:dyDescent="0.15">
      <c r="A1989" s="21">
        <v>3.8808589999999997E-2</v>
      </c>
      <c r="B1989" s="21">
        <f t="shared" si="62"/>
        <v>-0.65783380000000002</v>
      </c>
      <c r="D1989">
        <f t="shared" si="63"/>
        <v>-263.6316666666666</v>
      </c>
      <c r="G1989" s="21">
        <v>0.83834869999999995</v>
      </c>
      <c r="H1989" s="21">
        <v>-0.65783380000000002</v>
      </c>
    </row>
    <row r="1990" spans="1:8" x14ac:dyDescent="0.15">
      <c r="A1990" s="21">
        <v>3.8828120000000001E-2</v>
      </c>
      <c r="B1990" s="21">
        <f t="shared" si="62"/>
        <v>-0.58683770000000002</v>
      </c>
      <c r="D1990">
        <f t="shared" si="63"/>
        <v>-235.32638364779874</v>
      </c>
      <c r="G1990" s="21">
        <v>0.7483379</v>
      </c>
      <c r="H1990" s="21">
        <v>-0.58683770000000002</v>
      </c>
    </row>
    <row r="1991" spans="1:8" x14ac:dyDescent="0.15">
      <c r="A1991" s="21">
        <v>3.8847659999999999E-2</v>
      </c>
      <c r="B1991" s="21">
        <f t="shared" si="62"/>
        <v>-0.49529469999999998</v>
      </c>
      <c r="D1991">
        <f t="shared" si="63"/>
        <v>-198.74915094339624</v>
      </c>
      <c r="G1991" s="21">
        <v>0.63202230000000004</v>
      </c>
      <c r="H1991" s="21">
        <v>-0.49529469999999998</v>
      </c>
    </row>
    <row r="1992" spans="1:8" x14ac:dyDescent="0.15">
      <c r="A1992" s="21">
        <v>3.8867190000000003E-2</v>
      </c>
      <c r="B1992" s="21">
        <f t="shared" si="62"/>
        <v>-0.38625999999999999</v>
      </c>
      <c r="D1992">
        <f t="shared" si="63"/>
        <v>-155.18433962264149</v>
      </c>
      <c r="G1992" s="21">
        <v>0.49348619999999999</v>
      </c>
      <c r="H1992" s="21">
        <v>-0.38625999999999999</v>
      </c>
    </row>
    <row r="1993" spans="1:8" x14ac:dyDescent="0.15">
      <c r="A1993" s="21">
        <v>3.888672E-2</v>
      </c>
      <c r="B1993" s="21">
        <f t="shared" si="62"/>
        <v>-0.26295479999999999</v>
      </c>
      <c r="D1993">
        <f t="shared" si="63"/>
        <v>-105.97201257861634</v>
      </c>
      <c r="G1993" s="21">
        <v>0.33699099999999999</v>
      </c>
      <c r="H1993" s="21">
        <v>-0.26295479999999999</v>
      </c>
    </row>
    <row r="1994" spans="1:8" x14ac:dyDescent="0.15">
      <c r="A1994" s="21">
        <v>3.8906250000000003E-2</v>
      </c>
      <c r="B1994" s="21">
        <f t="shared" si="62"/>
        <v>-0.131467</v>
      </c>
      <c r="D1994">
        <f t="shared" si="63"/>
        <v>-53.444339622641508</v>
      </c>
      <c r="G1994" s="21">
        <v>0.16995299999999999</v>
      </c>
      <c r="H1994" s="21">
        <v>-0.131467</v>
      </c>
    </row>
    <row r="1995" spans="1:8" x14ac:dyDescent="0.15">
      <c r="A1995" s="21">
        <v>3.892578E-2</v>
      </c>
      <c r="B1995" s="21">
        <f t="shared" si="62"/>
        <v>4.0929010000000004E-3</v>
      </c>
      <c r="D1995">
        <f t="shared" si="63"/>
        <v>1.0121748427672956</v>
      </c>
      <c r="G1995" s="21">
        <v>-3.2187159999999999E-3</v>
      </c>
      <c r="H1995" s="21">
        <v>4.0929010000000004E-3</v>
      </c>
    </row>
    <row r="1996" spans="1:8" x14ac:dyDescent="0.15">
      <c r="A1996" s="21">
        <v>3.8945309999999997E-2</v>
      </c>
      <c r="B1996" s="21">
        <f t="shared" si="62"/>
        <v>0.13906279999999999</v>
      </c>
      <c r="D1996">
        <f t="shared" si="63"/>
        <v>55.177138364779864</v>
      </c>
      <c r="G1996" s="21">
        <v>-0.17546329999999999</v>
      </c>
      <c r="H1996" s="21">
        <v>0.13906279999999999</v>
      </c>
    </row>
    <row r="1997" spans="1:8" x14ac:dyDescent="0.15">
      <c r="A1997" s="21">
        <v>3.8964840000000001E-2</v>
      </c>
      <c r="B1997" s="21">
        <f t="shared" si="62"/>
        <v>0.2674359</v>
      </c>
      <c r="D1997">
        <f t="shared" si="63"/>
        <v>106.58040880503144</v>
      </c>
      <c r="G1997" s="21">
        <v>-0.3389257</v>
      </c>
      <c r="H1997" s="21">
        <v>0.2674359</v>
      </c>
    </row>
    <row r="1998" spans="1:8" x14ac:dyDescent="0.15">
      <c r="A1998" s="21">
        <v>3.8984379999999999E-2</v>
      </c>
      <c r="B1998" s="21">
        <f t="shared" si="62"/>
        <v>0.38708160000000003</v>
      </c>
      <c r="D1998">
        <f t="shared" si="63"/>
        <v>154.74522012578618</v>
      </c>
      <c r="G1998" s="21">
        <v>-0.49208980000000002</v>
      </c>
      <c r="H1998" s="21">
        <v>0.38708160000000003</v>
      </c>
    </row>
    <row r="1999" spans="1:8" x14ac:dyDescent="0.15">
      <c r="A1999" s="21">
        <v>3.9003910000000003E-2</v>
      </c>
      <c r="B1999" s="21">
        <f t="shared" si="62"/>
        <v>0.49434</v>
      </c>
      <c r="D1999">
        <f t="shared" si="63"/>
        <v>198.01610062893081</v>
      </c>
      <c r="G1999" s="21">
        <v>-0.62969120000000001</v>
      </c>
      <c r="H1999" s="21">
        <v>0.49434</v>
      </c>
    </row>
    <row r="2000" spans="1:8" x14ac:dyDescent="0.15">
      <c r="A2000" s="21">
        <v>3.902344E-2</v>
      </c>
      <c r="B2000" s="21">
        <f t="shared" si="62"/>
        <v>0.58428290000000005</v>
      </c>
      <c r="D2000">
        <f t="shared" si="63"/>
        <v>234.25921383647798</v>
      </c>
      <c r="G2000" s="21">
        <v>-0.7449443</v>
      </c>
      <c r="H2000" s="21">
        <v>0.58428290000000005</v>
      </c>
    </row>
    <row r="2001" spans="1:8" x14ac:dyDescent="0.15">
      <c r="A2001" s="21">
        <v>3.9042970000000003E-2</v>
      </c>
      <c r="B2001" s="21">
        <f t="shared" si="62"/>
        <v>0.65457920000000003</v>
      </c>
      <c r="D2001">
        <f t="shared" si="63"/>
        <v>262.6872012578616</v>
      </c>
      <c r="G2001" s="21">
        <v>-0.83534529999999996</v>
      </c>
      <c r="H2001" s="21">
        <v>0.65457920000000003</v>
      </c>
    </row>
    <row r="2002" spans="1:8" x14ac:dyDescent="0.15">
      <c r="A2002" s="21"/>
      <c r="B2002" s="21"/>
      <c r="G2002" s="21">
        <v>-0.8979123</v>
      </c>
      <c r="H2002" s="21">
        <v>0.70298400000000005</v>
      </c>
    </row>
    <row r="2003" spans="1:8" x14ac:dyDescent="0.15">
      <c r="A2003" s="21"/>
      <c r="B2003" s="21"/>
      <c r="G2003" s="21">
        <v>-0.93213279999999998</v>
      </c>
      <c r="H2003" s="21">
        <v>0.72925649999999997</v>
      </c>
    </row>
    <row r="2004" spans="1:8" x14ac:dyDescent="0.15">
      <c r="A2004" s="21"/>
      <c r="B2004" s="21"/>
      <c r="G2004" s="21">
        <v>-0.93571899999999997</v>
      </c>
      <c r="H2004" s="21">
        <v>0.73191329999999999</v>
      </c>
    </row>
    <row r="2005" spans="1:8" x14ac:dyDescent="0.15">
      <c r="A2005" s="21"/>
      <c r="B2005" s="21"/>
      <c r="G2005" s="21">
        <v>-0.90587589999999996</v>
      </c>
      <c r="H2005" s="21">
        <v>0.70861719999999995</v>
      </c>
    </row>
    <row r="2006" spans="1:8" x14ac:dyDescent="0.15">
      <c r="A2006" s="21"/>
      <c r="B2006" s="21"/>
      <c r="G2006" s="21">
        <v>-0.84609880000000004</v>
      </c>
      <c r="H2006" s="21">
        <v>0.66165600000000002</v>
      </c>
    </row>
    <row r="2007" spans="1:8" x14ac:dyDescent="0.15">
      <c r="A2007" s="21"/>
      <c r="B2007" s="21"/>
      <c r="G2007" s="21">
        <v>-0.75673239999999997</v>
      </c>
      <c r="H2007" s="21">
        <v>0.59176839999999997</v>
      </c>
    </row>
    <row r="2008" spans="1:8" x14ac:dyDescent="0.15">
      <c r="A2008" s="21"/>
      <c r="B2008" s="21"/>
      <c r="G2008" s="21">
        <v>-0.64085910000000001</v>
      </c>
      <c r="H2008" s="21">
        <v>0.50115010000000004</v>
      </c>
    </row>
    <row r="2009" spans="1:8" x14ac:dyDescent="0.15">
      <c r="A2009" s="21"/>
      <c r="B2009" s="21"/>
      <c r="G2009" s="21">
        <v>-0.50596070000000004</v>
      </c>
      <c r="H2009" s="21">
        <v>0.39531440000000001</v>
      </c>
    </row>
    <row r="2010" spans="1:8" x14ac:dyDescent="0.15">
      <c r="A2010" s="21"/>
      <c r="B2010" s="21"/>
      <c r="G2010" s="21">
        <v>-0.35181390000000001</v>
      </c>
      <c r="H2010" s="21">
        <v>0.27466170000000001</v>
      </c>
    </row>
    <row r="2011" spans="1:8" x14ac:dyDescent="0.15">
      <c r="A2011" s="21"/>
      <c r="B2011" s="21"/>
      <c r="G2011" s="21">
        <v>-0.18358669999999999</v>
      </c>
      <c r="H2011" s="21">
        <v>0.1427368</v>
      </c>
    </row>
    <row r="2012" spans="1:8" x14ac:dyDescent="0.15">
      <c r="A2012" s="21"/>
      <c r="B2012" s="21"/>
      <c r="G2012" s="21">
        <v>-1.1302309999999999E-2</v>
      </c>
      <c r="H2012" s="21">
        <v>6.940117E-3</v>
      </c>
    </row>
    <row r="2013" spans="1:8" x14ac:dyDescent="0.15">
      <c r="A2013" s="21"/>
      <c r="B2013" s="21"/>
      <c r="G2013" s="21">
        <v>0.16060959999999999</v>
      </c>
      <c r="H2013" s="21">
        <v>-0.12851309999999999</v>
      </c>
    </row>
    <row r="2014" spans="1:8" x14ac:dyDescent="0.15">
      <c r="A2014" s="21"/>
      <c r="B2014" s="21"/>
      <c r="G2014" s="21">
        <v>0.32472780000000001</v>
      </c>
      <c r="H2014" s="21">
        <v>-0.25747160000000002</v>
      </c>
    </row>
    <row r="2015" spans="1:8" x14ac:dyDescent="0.15">
      <c r="A2015" s="21"/>
      <c r="B2015" s="21"/>
      <c r="G2015" s="21">
        <v>0.47684209999999999</v>
      </c>
      <c r="H2015" s="21">
        <v>-0.3766195</v>
      </c>
    </row>
    <row r="2016" spans="1:8" x14ac:dyDescent="0.15">
      <c r="A2016" s="21"/>
      <c r="B2016" s="21"/>
      <c r="G2016" s="21">
        <v>0.61511420000000006</v>
      </c>
      <c r="H2016" s="21">
        <v>-0.4851451</v>
      </c>
    </row>
    <row r="2017" spans="1:8" x14ac:dyDescent="0.15">
      <c r="A2017" s="21"/>
      <c r="B2017" s="21"/>
      <c r="G2017" s="21">
        <v>0.73217359999999998</v>
      </c>
      <c r="H2017" s="21">
        <v>-0.57754620000000001</v>
      </c>
    </row>
    <row r="2018" spans="1:8" x14ac:dyDescent="0.15">
      <c r="A2018" s="21"/>
      <c r="B2018" s="21"/>
      <c r="G2018" s="21">
        <v>0.82505209999999995</v>
      </c>
      <c r="H2018" s="21">
        <v>-0.65030489999999996</v>
      </c>
    </row>
    <row r="2019" spans="1:8" x14ac:dyDescent="0.15">
      <c r="A2019" s="21"/>
      <c r="B2019" s="21"/>
      <c r="G2019" s="21">
        <v>0.89109550000000004</v>
      </c>
      <c r="H2019" s="21">
        <v>-0.70145789999999997</v>
      </c>
    </row>
    <row r="2020" spans="1:8" x14ac:dyDescent="0.15">
      <c r="A2020" s="21"/>
      <c r="B2020" s="21"/>
      <c r="G2020" s="21">
        <v>0.92585510000000004</v>
      </c>
      <c r="H2020" s="21">
        <v>-0.72823179999999998</v>
      </c>
    </row>
    <row r="2021" spans="1:8" x14ac:dyDescent="0.15">
      <c r="A2021" s="21"/>
      <c r="B2021" s="21"/>
      <c r="G2021" s="21">
        <v>0.93059250000000004</v>
      </c>
      <c r="H2021" s="21">
        <v>-0.73151520000000003</v>
      </c>
    </row>
    <row r="2022" spans="1:8" x14ac:dyDescent="0.15">
      <c r="A2022" s="21"/>
      <c r="B2022" s="21"/>
      <c r="G2022" s="21">
        <v>0.9047712</v>
      </c>
      <c r="H2022" s="21">
        <v>-0.71092690000000003</v>
      </c>
    </row>
    <row r="2023" spans="1:8" x14ac:dyDescent="0.15">
      <c r="A2023" s="21"/>
      <c r="B2023" s="21"/>
      <c r="G2023" s="21">
        <v>0.84731480000000003</v>
      </c>
      <c r="H2023" s="21">
        <v>-0.66520230000000002</v>
      </c>
    </row>
    <row r="2024" spans="1:8" x14ac:dyDescent="0.15">
      <c r="A2024" s="21"/>
      <c r="B2024" s="21"/>
      <c r="G2024" s="21">
        <v>0.76129420000000003</v>
      </c>
      <c r="H2024" s="21">
        <v>-0.59689040000000004</v>
      </c>
    </row>
    <row r="2025" spans="1:8" x14ac:dyDescent="0.15">
      <c r="A2025" s="21"/>
      <c r="B2025" s="21"/>
      <c r="G2025" s="21">
        <v>0.64801540000000002</v>
      </c>
      <c r="H2025" s="21">
        <v>-0.50782499999999997</v>
      </c>
    </row>
    <row r="2026" spans="1:8" x14ac:dyDescent="0.15">
      <c r="A2026" s="21"/>
      <c r="B2026" s="21"/>
      <c r="G2026" s="21">
        <v>0.51159270000000001</v>
      </c>
      <c r="H2026" s="21">
        <v>-0.40063969999999999</v>
      </c>
    </row>
    <row r="2027" spans="1:8" x14ac:dyDescent="0.15">
      <c r="A2027" s="21"/>
      <c r="B2027" s="21"/>
      <c r="G2027" s="21">
        <v>0.35830580000000001</v>
      </c>
      <c r="H2027" s="21">
        <v>-0.27982760000000001</v>
      </c>
    </row>
    <row r="2028" spans="1:8" x14ac:dyDescent="0.15">
      <c r="A2028" s="21"/>
      <c r="B2028" s="21"/>
      <c r="G2028" s="21">
        <v>0.1917645</v>
      </c>
      <c r="H2028" s="21">
        <v>-0.1489221</v>
      </c>
    </row>
    <row r="2029" spans="1:8" x14ac:dyDescent="0.15">
      <c r="A2029" s="21"/>
      <c r="B2029" s="21"/>
      <c r="G2029" s="21">
        <v>1.9406409999999999E-2</v>
      </c>
      <c r="H2029" s="21">
        <v>-1.360514E-2</v>
      </c>
    </row>
    <row r="2030" spans="1:8" x14ac:dyDescent="0.15">
      <c r="A2030" s="21"/>
      <c r="B2030" s="21"/>
      <c r="G2030" s="21">
        <v>-0.152695</v>
      </c>
      <c r="H2030" s="21">
        <v>0.12130299999999999</v>
      </c>
    </row>
    <row r="2031" spans="1:8" x14ac:dyDescent="0.15">
      <c r="A2031" s="21"/>
      <c r="B2031" s="21"/>
      <c r="G2031" s="21">
        <v>-0.31965500000000002</v>
      </c>
      <c r="H2031" s="21">
        <v>0.25204019999999999</v>
      </c>
    </row>
    <row r="2032" spans="1:8" x14ac:dyDescent="0.15">
      <c r="A2032" s="21"/>
      <c r="B2032" s="21"/>
      <c r="G2032" s="21">
        <v>-0.47380030000000001</v>
      </c>
      <c r="H2032" s="21">
        <v>0.3728976</v>
      </c>
    </row>
    <row r="2033" spans="1:8" x14ac:dyDescent="0.15">
      <c r="A2033" s="21"/>
      <c r="B2033" s="21"/>
      <c r="G2033" s="21">
        <v>-0.6130871</v>
      </c>
      <c r="H2033" s="21">
        <v>0.48138140000000001</v>
      </c>
    </row>
    <row r="2034" spans="1:8" x14ac:dyDescent="0.15">
      <c r="A2034" s="21"/>
      <c r="B2034" s="21"/>
      <c r="G2034" s="21">
        <v>-0.73243780000000003</v>
      </c>
      <c r="H2034" s="21">
        <v>0.57429200000000002</v>
      </c>
    </row>
    <row r="2035" spans="1:8" x14ac:dyDescent="0.15">
      <c r="A2035" s="21"/>
      <c r="B2035" s="21"/>
      <c r="G2035" s="21">
        <v>-0.82498850000000001</v>
      </c>
      <c r="H2035" s="21">
        <v>0.6465381</v>
      </c>
    </row>
    <row r="2036" spans="1:8" x14ac:dyDescent="0.15">
      <c r="A2036" s="21"/>
      <c r="B2036" s="21"/>
      <c r="G2036" s="21">
        <v>-0.89179339999999996</v>
      </c>
      <c r="H2036" s="21">
        <v>0.69800320000000005</v>
      </c>
    </row>
    <row r="2037" spans="1:8" x14ac:dyDescent="0.15">
      <c r="A2037" s="21"/>
      <c r="B2037" s="21"/>
      <c r="G2037" s="21">
        <v>-0.93045710000000004</v>
      </c>
      <c r="H2037" s="21">
        <v>0.72797639999999997</v>
      </c>
    </row>
    <row r="2038" spans="1:8" x14ac:dyDescent="0.15">
      <c r="A2038" s="21"/>
      <c r="B2038" s="21"/>
      <c r="G2038" s="21">
        <v>-0.93761380000000005</v>
      </c>
      <c r="H2038" s="21">
        <v>0.73347739999999995</v>
      </c>
    </row>
    <row r="2039" spans="1:8" x14ac:dyDescent="0.15">
      <c r="A2039" s="21"/>
      <c r="B2039" s="21"/>
      <c r="G2039" s="21">
        <v>-0.91313610000000001</v>
      </c>
      <c r="H2039" s="21">
        <v>0.71404429999999997</v>
      </c>
    </row>
    <row r="2040" spans="1:8" x14ac:dyDescent="0.15">
      <c r="A2040" s="21"/>
      <c r="B2040" s="21"/>
      <c r="G2040" s="21">
        <v>-0.85576680000000005</v>
      </c>
      <c r="H2040" s="21">
        <v>0.6694099</v>
      </c>
    </row>
    <row r="2041" spans="1:8" x14ac:dyDescent="0.15">
      <c r="A2041" s="21"/>
      <c r="B2041" s="21"/>
      <c r="G2041" s="21">
        <v>-0.76933180000000001</v>
      </c>
      <c r="H2041" s="21">
        <v>0.60149350000000001</v>
      </c>
    </row>
    <row r="2042" spans="1:8" x14ac:dyDescent="0.15">
      <c r="A2042" s="21"/>
      <c r="B2042" s="21"/>
      <c r="G2042" s="21">
        <v>-0.65897269999999997</v>
      </c>
      <c r="H2042" s="21">
        <v>0.51487300000000003</v>
      </c>
    </row>
    <row r="2043" spans="1:8" x14ac:dyDescent="0.15">
      <c r="A2043" s="21"/>
      <c r="B2043" s="21"/>
      <c r="G2043" s="21">
        <v>-0.52555839999999998</v>
      </c>
      <c r="H2043" s="21">
        <v>0.41082010000000002</v>
      </c>
    </row>
    <row r="2044" spans="1:8" x14ac:dyDescent="0.15">
      <c r="A2044" s="21"/>
      <c r="B2044" s="21"/>
      <c r="G2044" s="21">
        <v>-0.37328119999999998</v>
      </c>
      <c r="H2044" s="21">
        <v>0.29145949999999998</v>
      </c>
    </row>
    <row r="2045" spans="1:8" x14ac:dyDescent="0.15">
      <c r="A2045" s="21"/>
      <c r="B2045" s="21"/>
      <c r="G2045" s="21">
        <v>-0.2077253</v>
      </c>
      <c r="H2045" s="21">
        <v>0.16139229999999999</v>
      </c>
    </row>
    <row r="2046" spans="1:8" x14ac:dyDescent="0.15">
      <c r="A2046" s="21"/>
      <c r="B2046" s="21"/>
      <c r="G2046" s="21">
        <v>-3.3867559999999998E-2</v>
      </c>
      <c r="H2046" s="21">
        <v>2.4664419999999999E-2</v>
      </c>
    </row>
    <row r="2047" spans="1:8" x14ac:dyDescent="0.15">
      <c r="A2047" s="21"/>
      <c r="B2047" s="21"/>
      <c r="G2047" s="21">
        <v>0.13833809999999999</v>
      </c>
      <c r="H2047" s="21">
        <v>-0.11112569999999999</v>
      </c>
    </row>
    <row r="2048" spans="1:8" x14ac:dyDescent="0.15">
      <c r="A2048" s="21"/>
      <c r="B2048" s="21"/>
      <c r="G2048" s="21">
        <v>0.30301260000000002</v>
      </c>
      <c r="H2048" s="21">
        <v>-0.24054130000000001</v>
      </c>
    </row>
    <row r="2049" spans="1:8" x14ac:dyDescent="0.15">
      <c r="A2049" s="21"/>
      <c r="B2049" s="21"/>
      <c r="G2049" s="21">
        <v>0.45773019999999998</v>
      </c>
      <c r="H2049" s="21">
        <v>-0.36183759999999998</v>
      </c>
    </row>
    <row r="2050" spans="1:8" x14ac:dyDescent="0.15">
      <c r="D2050">
        <f t="shared" ref="D2050" si="64">G2050*-1000/3.18</f>
        <v>0</v>
      </c>
    </row>
  </sheetData>
  <phoneticPr fontId="1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F2451E0501</cp:lastModifiedBy>
  <dcterms:created xsi:type="dcterms:W3CDTF">2026-05-16T13:35:05Z</dcterms:created>
  <dcterms:modified xsi:type="dcterms:W3CDTF">2026-09-25T13:13:54Z</dcterms:modified>
</cp:coreProperties>
</file>