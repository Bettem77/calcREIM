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Box\Personal\01_Study\03_Paper\02_2nd paper\Experiment\01_Ediss_Powder_Damper_test\Box\"/>
    </mc:Choice>
  </mc:AlternateContent>
  <xr:revisionPtr revIDLastSave="0" documentId="13_ncr:1_{513391CC-6C7E-4D84-A1BD-2007EE4F6AA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<sst xmlns="http://schemas.openxmlformats.org/spreadsheetml/2006/main" count="123" uniqueCount="69">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</sst>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"/>
    <numFmt numFmtId="177" formatCode="0.000E+00"/>
    <numFmt numFmtId="178" formatCode="0.0000"/>
    <numFmt numFmtId="179" formatCode="0.00000"/>
  </numFmts>
  <fonts count="13" x14ac:knownFonts="1">
    <font>
      <sz val="11"/>
      <color theme="1"/>
      <name val="ＭＳ Ｐゴシック"/>
      <family val="2"/>
      <scheme val="minor"/>
    </font>
    <font>
      <b/>
      <sz val="14"/>
      <color rgb="FFFFFFFF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i/>
      <sz val="9"/>
      <color rgb="FF606060"/>
      <name val="Arial"/>
      <family val="2"/>
    </font>
    <font>
      <sz val="9"/>
      <name val="Arial"/>
      <family val="2"/>
    </font>
    <font>
      <sz val="9"/>
      <color rgb="FF404040"/>
      <name val="Consolas"/>
      <family val="3"/>
    </font>
    <font>
      <b/>
      <sz val="12"/>
      <name val="Arial"/>
      <family val="2"/>
    </font>
    <font>
      <b/>
      <sz val="14"/>
      <color rgb="FFC00000"/>
      <name val="Arial"/>
      <family val="2"/>
    </font>
    <font>
      <i/>
      <sz val="10"/>
      <color rgb="FFC00000"/>
      <name val="Arial"/>
      <family val="2"/>
    </font>
    <font>
      <i/>
      <sz val="10"/>
      <color rgb="FF305496"/>
      <name val="Arial"/>
      <family val="2"/>
    </font>
    <font>
      <i/>
      <sz val="10"/>
      <color rgb="FFC65911"/>
      <name val="Arial"/>
      <family val="2"/>
    </font>
    <font>
      <sz val="6"/>
      <name val="ＭＳ Ｐ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76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0" fontId="7" fillId="0" borderId="0" xfId="0" applyFont="1"/>
    <xf numFmtId="176" fontId="8" fillId="7" borderId="0" xfId="0" applyNumberFormat="1" applyFont="1" applyFill="1" applyAlignment="1">
      <alignment horizontal="center" vertical="center"/>
    </xf>
    <xf numFmtId="177" fontId="3" fillId="0" borderId="0" xfId="0" applyNumberFormat="1" applyFont="1"/>
    <xf numFmtId="176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11" fontId="0" fillId="0" borderId="0" xfId="0" applyNumberFormat="1"/>
    <xf numFmtId="0" fontId="1" fillId="8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2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3.5" x14ac:dyDescent="0.1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15">
      <c r="A1" s="26" t="s">
        <v>0</v>
      </c>
      <c r="B1" s="23"/>
      <c r="C1" s="23"/>
      <c r="D1" s="23"/>
      <c r="E1" s="23"/>
      <c r="F1" s="23"/>
      <c r="G1" s="23"/>
      <c r="H1" s="23"/>
    </row>
    <row r="3" spans="1:8" ht="15" x14ac:dyDescent="0.25">
      <c r="A3" s="1" t="s">
        <v>1</v>
      </c>
    </row>
    <row r="4" spans="1:8" ht="14.25" x14ac:dyDescent="0.2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ht="14.25" x14ac:dyDescent="0.2">
      <c r="A5" s="2" t="s">
        <v>5</v>
      </c>
      <c r="B5" s="5">
        <f>COUNT(TimeData!A2:A100000)</f>
        <v>2000</v>
      </c>
      <c r="C5" s="2" t="s">
        <v>6</v>
      </c>
    </row>
    <row r="6" spans="1:8" ht="14.25" x14ac:dyDescent="0.2">
      <c r="A6" s="2" t="s">
        <v>7</v>
      </c>
      <c r="B6" s="6">
        <v>50</v>
      </c>
      <c r="C6" s="2" t="s">
        <v>3</v>
      </c>
      <c r="D6" s="4" t="s">
        <v>8</v>
      </c>
    </row>
    <row r="7" spans="1:8" ht="14.25" x14ac:dyDescent="0.2">
      <c r="A7" s="2" t="s">
        <v>9</v>
      </c>
      <c r="B7" s="6">
        <v>1.61</v>
      </c>
      <c r="C7" s="2" t="s">
        <v>10</v>
      </c>
      <c r="D7" s="4" t="s">
        <v>11</v>
      </c>
    </row>
    <row r="8" spans="1:8" ht="14.25" x14ac:dyDescent="0.2">
      <c r="A8" s="2" t="s">
        <v>12</v>
      </c>
      <c r="B8" s="6">
        <v>2.1</v>
      </c>
      <c r="C8" s="2" t="s">
        <v>10</v>
      </c>
      <c r="D8" s="4" t="s">
        <v>13</v>
      </c>
    </row>
    <row r="9" spans="1:8" ht="14.25" x14ac:dyDescent="0.2">
      <c r="A9" s="2" t="s">
        <v>14</v>
      </c>
      <c r="B9" s="7">
        <f>B7+B8</f>
        <v>3.71</v>
      </c>
      <c r="C9" s="2" t="s">
        <v>10</v>
      </c>
    </row>
    <row r="10" spans="1:8" ht="14.25" x14ac:dyDescent="0.2">
      <c r="A10" s="2" t="s">
        <v>15</v>
      </c>
      <c r="B10" s="8">
        <f>2*PI()*B6</f>
        <v>314.15926535897933</v>
      </c>
      <c r="C10" s="2" t="s">
        <v>16</v>
      </c>
    </row>
    <row r="12" spans="1:8" ht="15" x14ac:dyDescent="0.25">
      <c r="A12" s="1" t="s">
        <v>17</v>
      </c>
    </row>
    <row r="13" spans="1:8" ht="14.25" x14ac:dyDescent="0.2">
      <c r="A13" s="25" t="s">
        <v>18</v>
      </c>
      <c r="B13" s="23"/>
      <c r="C13" s="23"/>
      <c r="D13" s="23"/>
      <c r="E13" s="23"/>
      <c r="F13" s="23"/>
      <c r="G13" s="23"/>
      <c r="H13" s="23"/>
    </row>
    <row r="14" spans="1:8" ht="14.25" x14ac:dyDescent="0.2">
      <c r="A14" s="25" t="s">
        <v>19</v>
      </c>
      <c r="B14" s="23"/>
      <c r="C14" s="23"/>
      <c r="D14" s="23"/>
      <c r="E14" s="23"/>
      <c r="F14" s="23"/>
      <c r="G14" s="23"/>
      <c r="H14" s="23"/>
    </row>
    <row r="15" spans="1:8" ht="14.25" x14ac:dyDescent="0.2">
      <c r="A15" s="25" t="s">
        <v>20</v>
      </c>
      <c r="B15" s="23"/>
      <c r="C15" s="23"/>
      <c r="D15" s="23"/>
      <c r="E15" s="23"/>
      <c r="F15" s="23"/>
      <c r="G15" s="23"/>
      <c r="H15" s="23"/>
    </row>
    <row r="16" spans="1:8" ht="14.25" x14ac:dyDescent="0.2">
      <c r="A16" s="25" t="s">
        <v>21</v>
      </c>
      <c r="B16" s="23"/>
      <c r="C16" s="23"/>
      <c r="D16" s="23"/>
      <c r="E16" s="23"/>
      <c r="F16" s="23"/>
      <c r="G16" s="23"/>
      <c r="H16" s="23"/>
    </row>
    <row r="18" spans="1:8" ht="15" x14ac:dyDescent="0.25">
      <c r="A18" s="1" t="s">
        <v>22</v>
      </c>
    </row>
    <row r="19" spans="1:8" ht="14.25" x14ac:dyDescent="0.2">
      <c r="A19" s="24" t="s">
        <v>23</v>
      </c>
      <c r="B19" s="23"/>
      <c r="C19" s="23"/>
      <c r="D19" s="23"/>
      <c r="E19" s="23"/>
      <c r="F19" s="23"/>
      <c r="G19" s="23"/>
      <c r="H19" s="23"/>
    </row>
    <row r="20" spans="1:8" ht="14.25" x14ac:dyDescent="0.2">
      <c r="A20" s="24" t="s">
        <v>24</v>
      </c>
      <c r="B20" s="23"/>
      <c r="C20" s="23"/>
      <c r="D20" s="23"/>
      <c r="E20" s="23"/>
      <c r="F20" s="23"/>
      <c r="G20" s="23"/>
      <c r="H20" s="23"/>
    </row>
    <row r="21" spans="1:8" ht="14.25" x14ac:dyDescent="0.2">
      <c r="A21" s="24" t="s">
        <v>25</v>
      </c>
      <c r="B21" s="23"/>
      <c r="C21" s="23"/>
      <c r="D21" s="23"/>
      <c r="E21" s="23"/>
      <c r="F21" s="23"/>
      <c r="G21" s="23"/>
      <c r="H21" s="23"/>
    </row>
    <row r="22" spans="1:8" ht="14.25" x14ac:dyDescent="0.2">
      <c r="A22" s="24" t="s">
        <v>26</v>
      </c>
      <c r="B22" s="23"/>
      <c r="C22" s="23"/>
      <c r="D22" s="23"/>
      <c r="E22" s="23"/>
      <c r="F22" s="23"/>
      <c r="G22" s="23"/>
      <c r="H22" s="23"/>
    </row>
    <row r="27" spans="1:8" ht="15" x14ac:dyDescent="0.25">
      <c r="A27" s="1" t="s">
        <v>27</v>
      </c>
    </row>
    <row r="28" spans="1:8" ht="15" x14ac:dyDescent="0.15">
      <c r="A28" s="9" t="s">
        <v>28</v>
      </c>
      <c r="B28" s="9" t="s">
        <v>29</v>
      </c>
      <c r="C28" s="9" t="s">
        <v>30</v>
      </c>
      <c r="D28" s="9" t="s">
        <v>31</v>
      </c>
    </row>
    <row r="29" spans="1:8" ht="14.25" x14ac:dyDescent="0.2">
      <c r="A29" s="2" t="s">
        <v>32</v>
      </c>
      <c r="B29" s="10">
        <f>SUMPRODUCT(TimeData!C2:C100000, COS(2*PI()*$B$6*TimeData!A2:A100000))</f>
        <v>0</v>
      </c>
      <c r="C29" s="2"/>
    </row>
    <row r="30" spans="1:8" ht="14.25" x14ac:dyDescent="0.2">
      <c r="A30" s="2" t="s">
        <v>33</v>
      </c>
      <c r="B30" s="10">
        <f>-SUMPRODUCT(TimeData!C2:C100000, SIN(2*PI()*$B$6*TimeData!A2:A100000))</f>
        <v>0</v>
      </c>
      <c r="C30" s="2"/>
    </row>
    <row r="31" spans="1:8" ht="14.25" x14ac:dyDescent="0.2">
      <c r="A31" s="2" t="s">
        <v>34</v>
      </c>
      <c r="B31" s="10">
        <f>SUMPRODUCT(TimeData!B2:B100000, COS(2*PI()*$B$6*TimeData!A2:A100000))</f>
        <v>-0.93820478321553835</v>
      </c>
      <c r="C31" s="2"/>
    </row>
    <row r="32" spans="1:8" ht="14.25" x14ac:dyDescent="0.2">
      <c r="A32" s="2" t="s">
        <v>35</v>
      </c>
      <c r="B32" s="10">
        <f>-SUMPRODUCT(TimeData!B2:B100000, SIN(2*PI()*$B$6*TimeData!A2:A100000))</f>
        <v>-0.43710102816877194</v>
      </c>
      <c r="C32" s="2"/>
    </row>
    <row r="33" spans="1:4" ht="14.25" x14ac:dyDescent="0.2">
      <c r="A33" s="2" t="s">
        <v>36</v>
      </c>
      <c r="B33" s="10">
        <f>-(B10^2)*B29/1000</f>
        <v>0</v>
      </c>
      <c r="C33" s="2"/>
    </row>
    <row r="34" spans="1:4" ht="14.25" x14ac:dyDescent="0.2">
      <c r="A34" s="2" t="s">
        <v>37</v>
      </c>
      <c r="B34" s="10">
        <f>-(B10^2)*B30/1000</f>
        <v>0</v>
      </c>
      <c r="C34" s="2"/>
    </row>
    <row r="35" spans="1:4" ht="14.25" x14ac:dyDescent="0.2">
      <c r="A35" s="2" t="s">
        <v>38</v>
      </c>
      <c r="B35" s="10">
        <f>B33^2+B34^2</f>
        <v>0</v>
      </c>
      <c r="C35" s="2"/>
    </row>
    <row r="36" spans="1:4" ht="14.25" x14ac:dyDescent="0.2">
      <c r="A36" s="2" t="s">
        <v>39</v>
      </c>
      <c r="B36" s="10">
        <f>B33*B31+B34*B32</f>
        <v>0</v>
      </c>
      <c r="C36" s="2"/>
    </row>
    <row r="37" spans="1:4" ht="14.25" x14ac:dyDescent="0.2">
      <c r="A37" s="2" t="s">
        <v>40</v>
      </c>
      <c r="B37" s="10">
        <f>B33*B32-B34*B31</f>
        <v>0</v>
      </c>
      <c r="C37" s="2"/>
    </row>
    <row r="38" spans="1:4" ht="14.25" x14ac:dyDescent="0.2">
      <c r="A38" s="2" t="s">
        <v>41</v>
      </c>
      <c r="B38" s="11">
        <f>2*SQRT(B29^2+B30^2)/B5</f>
        <v>0</v>
      </c>
      <c r="C38" s="2" t="s">
        <v>42</v>
      </c>
    </row>
    <row r="39" spans="1:4" ht="14.25" x14ac:dyDescent="0.2">
      <c r="A39" s="2" t="s">
        <v>43</v>
      </c>
      <c r="B39" s="12">
        <f>2*SQRT(B35)/B5</f>
        <v>0</v>
      </c>
      <c r="C39" s="2" t="s">
        <v>44</v>
      </c>
    </row>
    <row r="40" spans="1:4" ht="14.25" x14ac:dyDescent="0.2">
      <c r="A40" s="2" t="s">
        <v>45</v>
      </c>
      <c r="B40" s="13">
        <f>B39/B10</f>
        <v>0</v>
      </c>
      <c r="C40" s="2" t="s">
        <v>46</v>
      </c>
    </row>
    <row r="41" spans="1:4" ht="18" x14ac:dyDescent="0.2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ht="14.25" x14ac:dyDescent="0.2">
      <c r="A42" s="2" t="s">
        <v>50</v>
      </c>
      <c r="B42" s="16">
        <f>-B37/(PI()*B6^2*B5^2)</f>
        <v>0</v>
      </c>
      <c r="C42" s="2" t="s">
        <v>51</v>
      </c>
    </row>
    <row r="43" spans="1:4" ht="14.25" x14ac:dyDescent="0.2">
      <c r="A43" s="2" t="s">
        <v>52</v>
      </c>
      <c r="B43" s="16">
        <f>0.5*(B9/1000)*B40^2</f>
        <v>0</v>
      </c>
      <c r="C43" s="2" t="s">
        <v>51</v>
      </c>
    </row>
    <row r="44" spans="1:4" ht="14.25" x14ac:dyDescent="0.2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honeticPr fontId="1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defaultRowHeight="13.5" x14ac:dyDescent="0.1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15">
      <c r="A1" s="22" t="s">
        <v>55</v>
      </c>
      <c r="B1" s="23"/>
      <c r="C1" s="23"/>
      <c r="D1" s="23"/>
      <c r="E1" s="23"/>
      <c r="F1" s="23"/>
      <c r="G1" s="23"/>
      <c r="H1" s="23"/>
    </row>
    <row r="3" spans="1:8" ht="15" x14ac:dyDescent="0.25">
      <c r="A3" s="1" t="s">
        <v>1</v>
      </c>
    </row>
    <row r="4" spans="1:8" ht="14.25" x14ac:dyDescent="0.2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ht="14.25" x14ac:dyDescent="0.2">
      <c r="A5" s="2" t="s">
        <v>5</v>
      </c>
      <c r="B5" s="5">
        <f>COUNT(TimeData!A2:A100000)</f>
        <v>2000</v>
      </c>
      <c r="C5" s="2" t="s">
        <v>6</v>
      </c>
    </row>
    <row r="6" spans="1:8" ht="14.25" x14ac:dyDescent="0.2">
      <c r="A6" s="2" t="s">
        <v>7</v>
      </c>
      <c r="B6" s="6">
        <v>1000</v>
      </c>
      <c r="C6" s="2" t="s">
        <v>3</v>
      </c>
      <c r="D6" s="4" t="s">
        <v>8</v>
      </c>
    </row>
    <row r="7" spans="1:8" ht="14.25" x14ac:dyDescent="0.2">
      <c r="A7" s="2" t="s">
        <v>9</v>
      </c>
      <c r="B7" s="6">
        <v>0</v>
      </c>
      <c r="C7" s="2" t="s">
        <v>10</v>
      </c>
      <c r="D7" s="4" t="s">
        <v>11</v>
      </c>
    </row>
    <row r="8" spans="1:8" ht="14.25" x14ac:dyDescent="0.2">
      <c r="A8" s="2" t="s">
        <v>12</v>
      </c>
      <c r="B8" s="6">
        <v>0.88</v>
      </c>
      <c r="C8" s="2" t="s">
        <v>10</v>
      </c>
      <c r="D8" s="4" t="s">
        <v>13</v>
      </c>
    </row>
    <row r="9" spans="1:8" ht="14.25" x14ac:dyDescent="0.2">
      <c r="A9" s="2" t="s">
        <v>14</v>
      </c>
      <c r="B9" s="7">
        <f>B7+B8</f>
        <v>0.88</v>
      </c>
      <c r="C9" s="2" t="s">
        <v>10</v>
      </c>
    </row>
    <row r="10" spans="1:8" ht="14.25" x14ac:dyDescent="0.2">
      <c r="A10" s="2" t="s">
        <v>15</v>
      </c>
      <c r="B10" s="8">
        <f>2*PI()*B6</f>
        <v>6283.1853071795858</v>
      </c>
      <c r="C10" s="2" t="s">
        <v>16</v>
      </c>
    </row>
    <row r="12" spans="1:8" ht="15" x14ac:dyDescent="0.25">
      <c r="A12" s="1" t="s">
        <v>17</v>
      </c>
    </row>
    <row r="13" spans="1:8" ht="14.25" x14ac:dyDescent="0.2">
      <c r="A13" s="25" t="s">
        <v>56</v>
      </c>
      <c r="B13" s="23"/>
      <c r="C13" s="23"/>
      <c r="D13" s="23"/>
      <c r="E13" s="23"/>
      <c r="F13" s="23"/>
      <c r="G13" s="23"/>
      <c r="H13" s="23"/>
    </row>
    <row r="14" spans="1:8" ht="14.25" x14ac:dyDescent="0.2">
      <c r="A14" s="25" t="s">
        <v>19</v>
      </c>
      <c r="B14" s="23"/>
      <c r="C14" s="23"/>
      <c r="D14" s="23"/>
      <c r="E14" s="23"/>
      <c r="F14" s="23"/>
      <c r="G14" s="23"/>
      <c r="H14" s="23"/>
    </row>
    <row r="15" spans="1:8" ht="14.25" x14ac:dyDescent="0.2">
      <c r="A15" s="25" t="s">
        <v>20</v>
      </c>
      <c r="B15" s="23"/>
      <c r="C15" s="23"/>
      <c r="D15" s="23"/>
      <c r="E15" s="23"/>
      <c r="F15" s="23"/>
      <c r="G15" s="23"/>
      <c r="H15" s="23"/>
    </row>
    <row r="16" spans="1:8" ht="14.25" x14ac:dyDescent="0.2">
      <c r="A16" s="25" t="s">
        <v>57</v>
      </c>
      <c r="B16" s="23"/>
      <c r="C16" s="23"/>
      <c r="D16" s="23"/>
      <c r="E16" s="23"/>
      <c r="F16" s="23"/>
      <c r="G16" s="23"/>
      <c r="H16" s="23"/>
    </row>
    <row r="18" spans="1:8" ht="15" x14ac:dyDescent="0.25">
      <c r="A18" s="1" t="s">
        <v>22</v>
      </c>
    </row>
    <row r="19" spans="1:8" ht="14.25" x14ac:dyDescent="0.2">
      <c r="A19" s="24" t="s">
        <v>58</v>
      </c>
      <c r="B19" s="23"/>
      <c r="C19" s="23"/>
      <c r="D19" s="23"/>
      <c r="E19" s="23"/>
      <c r="F19" s="23"/>
      <c r="G19" s="23"/>
      <c r="H19" s="23"/>
    </row>
    <row r="20" spans="1:8" ht="14.25" x14ac:dyDescent="0.2">
      <c r="A20" s="24" t="s">
        <v>25</v>
      </c>
      <c r="B20" s="23"/>
      <c r="C20" s="23"/>
      <c r="D20" s="23"/>
      <c r="E20" s="23"/>
      <c r="F20" s="23"/>
      <c r="G20" s="23"/>
      <c r="H20" s="23"/>
    </row>
    <row r="21" spans="1:8" ht="14.25" x14ac:dyDescent="0.2">
      <c r="A21" s="24" t="s">
        <v>26</v>
      </c>
      <c r="B21" s="23"/>
      <c r="C21" s="23"/>
      <c r="D21" s="23"/>
      <c r="E21" s="23"/>
      <c r="F21" s="23"/>
      <c r="G21" s="23"/>
      <c r="H21" s="23"/>
    </row>
    <row r="27" spans="1:8" ht="15" x14ac:dyDescent="0.25">
      <c r="A27" s="1" t="s">
        <v>27</v>
      </c>
    </row>
    <row r="28" spans="1:8" ht="15" x14ac:dyDescent="0.15">
      <c r="A28" s="9" t="s">
        <v>28</v>
      </c>
      <c r="B28" s="9" t="s">
        <v>29</v>
      </c>
      <c r="C28" s="9" t="s">
        <v>30</v>
      </c>
      <c r="D28" s="9" t="s">
        <v>31</v>
      </c>
    </row>
    <row r="29" spans="1:8" ht="14.25" x14ac:dyDescent="0.2">
      <c r="A29" s="2" t="s">
        <v>34</v>
      </c>
      <c r="B29" s="10">
        <f>SUMPRODUCT(TimeData!B2:B100000, COS(2*PI()*$B$6*TimeData!A2:A100000))</f>
        <v>-236.4885364151589</v>
      </c>
      <c r="C29" s="2"/>
    </row>
    <row r="30" spans="1:8" ht="14.25" x14ac:dyDescent="0.2">
      <c r="A30" s="2" t="s">
        <v>35</v>
      </c>
      <c r="B30" s="10">
        <f>-SUMPRODUCT(TimeData!B2:B100000, SIN(2*PI()*$B$6*TimeData!A2:A100000))</f>
        <v>-95.449927721175115</v>
      </c>
      <c r="C30" s="2"/>
    </row>
    <row r="31" spans="1:8" ht="14.25" x14ac:dyDescent="0.2">
      <c r="A31" s="2" t="s">
        <v>59</v>
      </c>
      <c r="B31" s="10">
        <f>SUMPRODUCT(TimeData!D2:D100000, COS(2*PI()*$B$6*TimeData!A2:A100000))</f>
        <v>-94948.477526419607</v>
      </c>
      <c r="C31" s="2"/>
    </row>
    <row r="32" spans="1:8" ht="14.25" x14ac:dyDescent="0.2">
      <c r="A32" s="2" t="s">
        <v>60</v>
      </c>
      <c r="B32" s="10">
        <f>-SUMPRODUCT(TimeData!D2:D100000, SIN(2*PI()*$B$6*TimeData!A2:A100000))</f>
        <v>-37659.543452917569</v>
      </c>
      <c r="C32" s="2"/>
    </row>
    <row r="33" spans="1:4" ht="14.25" x14ac:dyDescent="0.2">
      <c r="A33" s="2" t="s">
        <v>38</v>
      </c>
      <c r="B33" s="10">
        <f>B31^2+B32^2</f>
        <v>10433454597.667194</v>
      </c>
      <c r="C33" s="2"/>
    </row>
    <row r="34" spans="1:4" ht="14.25" x14ac:dyDescent="0.2">
      <c r="A34" s="2" t="s">
        <v>39</v>
      </c>
      <c r="B34" s="10">
        <f>B31*B29+B32*B30</f>
        <v>26048827.185664013</v>
      </c>
      <c r="C34" s="2"/>
    </row>
    <row r="35" spans="1:4" ht="14.25" x14ac:dyDescent="0.2">
      <c r="A35" s="2" t="s">
        <v>40</v>
      </c>
      <c r="B35" s="10">
        <f>B31*B30-B32*B29</f>
        <v>156775.00388881564</v>
      </c>
      <c r="C35" s="2"/>
    </row>
    <row r="36" spans="1:4" ht="14.25" x14ac:dyDescent="0.2">
      <c r="A36" s="2" t="s">
        <v>43</v>
      </c>
      <c r="B36" s="12">
        <f>2*SQRT(B33)/B5</f>
        <v>102.14428323536855</v>
      </c>
      <c r="C36" s="2" t="s">
        <v>44</v>
      </c>
    </row>
    <row r="37" spans="1:4" ht="14.25" x14ac:dyDescent="0.2">
      <c r="A37" s="2" t="s">
        <v>45</v>
      </c>
      <c r="B37" s="13">
        <f>B36/B10</f>
        <v>1.6256767585487521E-2</v>
      </c>
      <c r="C37" s="2" t="s">
        <v>46</v>
      </c>
    </row>
    <row r="38" spans="1:4" ht="18" x14ac:dyDescent="0.25">
      <c r="A38" s="14" t="s">
        <v>47</v>
      </c>
      <c r="B38" s="15">
        <f>-2*PI()*B35/((B9/1000)*B33)</f>
        <v>-0.10728669969391652</v>
      </c>
      <c r="C38" s="2" t="s">
        <v>48</v>
      </c>
      <c r="D38" s="2" t="s">
        <v>49</v>
      </c>
    </row>
    <row r="39" spans="1:4" ht="14.25" x14ac:dyDescent="0.2">
      <c r="A39" s="2" t="s">
        <v>50</v>
      </c>
      <c r="B39" s="16">
        <f>-B35/(PI()*B6^2*B5^2)</f>
        <v>-1.2475758411078062E-8</v>
      </c>
      <c r="C39" s="2" t="s">
        <v>51</v>
      </c>
    </row>
    <row r="40" spans="1:4" ht="14.25" x14ac:dyDescent="0.2">
      <c r="A40" s="2" t="s">
        <v>52</v>
      </c>
      <c r="B40" s="16">
        <f>0.5*(B9/1000)*B37^2</f>
        <v>1.1628429662456542E-7</v>
      </c>
      <c r="C40" s="2" t="s">
        <v>51</v>
      </c>
    </row>
    <row r="41" spans="1:4" ht="14.25" x14ac:dyDescent="0.2">
      <c r="A41" s="2" t="s">
        <v>53</v>
      </c>
      <c r="B41" s="17">
        <f>B39/B40</f>
        <v>-0.10728669969391653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honeticPr fontId="1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E25" sqref="E25"/>
    </sheetView>
  </sheetViews>
  <sheetFormatPr defaultRowHeight="13.5" x14ac:dyDescent="0.15"/>
  <cols>
    <col min="1" max="2" width="14" customWidth="1"/>
    <col min="3" max="4" width="22" customWidth="1"/>
    <col min="6" max="6" width="50" customWidth="1"/>
  </cols>
  <sheetData>
    <row r="1" spans="1:8" ht="15" x14ac:dyDescent="0.15">
      <c r="A1" s="9" t="s">
        <v>61</v>
      </c>
      <c r="B1" s="9" t="s">
        <v>62</v>
      </c>
      <c r="C1" s="9" t="s">
        <v>63</v>
      </c>
      <c r="D1" s="9" t="s">
        <v>64</v>
      </c>
    </row>
    <row r="2" spans="1:8" ht="14.25" x14ac:dyDescent="0.2">
      <c r="A2" s="21">
        <v>0</v>
      </c>
      <c r="B2" s="21">
        <f>H2</f>
        <v>-0.23599539999999999</v>
      </c>
      <c r="D2">
        <f>G2*-1000/3.18</f>
        <v>-94.301383647798744</v>
      </c>
      <c r="F2" s="18" t="s">
        <v>65</v>
      </c>
      <c r="G2" s="21">
        <v>0.29987839999999999</v>
      </c>
      <c r="H2" s="21">
        <v>-0.23599539999999999</v>
      </c>
    </row>
    <row r="3" spans="1:8" ht="14.25" x14ac:dyDescent="0.2">
      <c r="A3" s="21">
        <v>1.953125E-5</v>
      </c>
      <c r="B3" s="21">
        <f t="shared" ref="B3:B66" si="0">H3</f>
        <v>-0.22279019999999999</v>
      </c>
      <c r="D3">
        <f t="shared" ref="D3:D66" si="1">G3*-1000/3.18</f>
        <v>-89.10676100628929</v>
      </c>
      <c r="F3" s="19" t="s">
        <v>66</v>
      </c>
      <c r="G3" s="21">
        <v>0.28335949999999999</v>
      </c>
      <c r="H3" s="21">
        <v>-0.22279019999999999</v>
      </c>
    </row>
    <row r="4" spans="1:8" ht="14.25" x14ac:dyDescent="0.2">
      <c r="A4" s="21">
        <v>3.9062500000000001E-5</v>
      </c>
      <c r="B4" s="21">
        <f t="shared" si="0"/>
        <v>-0.2069241</v>
      </c>
      <c r="D4">
        <f t="shared" si="1"/>
        <v>-82.837327044025159</v>
      </c>
      <c r="F4" s="20" t="s">
        <v>67</v>
      </c>
      <c r="G4" s="21">
        <v>0.26342270000000001</v>
      </c>
      <c r="H4" s="21">
        <v>-0.2069241</v>
      </c>
    </row>
    <row r="5" spans="1:8" ht="14.25" x14ac:dyDescent="0.2">
      <c r="A5" s="21">
        <v>5.8593749999999998E-5</v>
      </c>
      <c r="B5" s="21">
        <f t="shared" si="0"/>
        <v>-0.18741189999999999</v>
      </c>
      <c r="D5">
        <f t="shared" si="1"/>
        <v>-75.040849056603761</v>
      </c>
      <c r="F5" s="4" t="s">
        <v>68</v>
      </c>
      <c r="G5" s="21">
        <v>0.23862990000000001</v>
      </c>
      <c r="H5" s="21">
        <v>-0.18741189999999999</v>
      </c>
    </row>
    <row r="6" spans="1:8" x14ac:dyDescent="0.15">
      <c r="A6" s="21">
        <v>7.8125000000000002E-5</v>
      </c>
      <c r="B6" s="21">
        <f t="shared" si="0"/>
        <v>-0.16401399999999999</v>
      </c>
      <c r="D6">
        <f t="shared" si="1"/>
        <v>-65.767106918238994</v>
      </c>
      <c r="G6" s="21">
        <v>0.2091394</v>
      </c>
      <c r="H6" s="21">
        <v>-0.16401399999999999</v>
      </c>
    </row>
    <row r="7" spans="1:8" x14ac:dyDescent="0.15">
      <c r="A7" s="21">
        <v>9.7656250000000005E-5</v>
      </c>
      <c r="B7" s="21">
        <f t="shared" si="0"/>
        <v>-0.13880010000000001</v>
      </c>
      <c r="D7">
        <f t="shared" si="1"/>
        <v>-55.778742138364777</v>
      </c>
      <c r="G7" s="21">
        <v>0.17737639999999999</v>
      </c>
      <c r="H7" s="21">
        <v>-0.13880010000000001</v>
      </c>
    </row>
    <row r="8" spans="1:8" x14ac:dyDescent="0.15">
      <c r="A8" s="21">
        <v>1.171875E-4</v>
      </c>
      <c r="B8" s="21">
        <f t="shared" si="0"/>
        <v>-0.11166719999999999</v>
      </c>
      <c r="D8">
        <f t="shared" si="1"/>
        <v>-44.923238993710697</v>
      </c>
      <c r="G8" s="21">
        <v>0.14285590000000001</v>
      </c>
      <c r="H8" s="21">
        <v>-0.11166719999999999</v>
      </c>
    </row>
    <row r="9" spans="1:8" x14ac:dyDescent="0.15">
      <c r="A9" s="21">
        <v>1.367188E-4</v>
      </c>
      <c r="B9" s="21">
        <f t="shared" si="0"/>
        <v>-8.2425040000000005E-2</v>
      </c>
      <c r="D9">
        <f t="shared" si="1"/>
        <v>-33.155534591194964</v>
      </c>
      <c r="G9" s="21">
        <v>0.1054346</v>
      </c>
      <c r="H9" s="21">
        <v>-8.2425040000000005E-2</v>
      </c>
    </row>
    <row r="10" spans="1:8" x14ac:dyDescent="0.15">
      <c r="A10" s="21">
        <v>1.5625E-4</v>
      </c>
      <c r="B10" s="21">
        <f t="shared" si="0"/>
        <v>-5.2527049999999999E-2</v>
      </c>
      <c r="D10">
        <f t="shared" si="1"/>
        <v>-21.253959119496855</v>
      </c>
      <c r="G10" s="21">
        <v>6.7587590000000003E-2</v>
      </c>
      <c r="H10" s="21">
        <v>-5.2527049999999999E-2</v>
      </c>
    </row>
    <row r="11" spans="1:8" x14ac:dyDescent="0.15">
      <c r="A11" s="21">
        <v>1.757812E-4</v>
      </c>
      <c r="B11" s="21">
        <f t="shared" si="0"/>
        <v>-2.1651650000000001E-2</v>
      </c>
      <c r="D11">
        <f t="shared" si="1"/>
        <v>-8.9168899371069177</v>
      </c>
      <c r="G11" s="21">
        <v>2.8355709999999999E-2</v>
      </c>
      <c r="H11" s="21">
        <v>-2.1651650000000001E-2</v>
      </c>
    </row>
    <row r="12" spans="1:8" x14ac:dyDescent="0.15">
      <c r="A12" s="21">
        <v>1.9531250000000001E-4</v>
      </c>
      <c r="B12" s="21">
        <f t="shared" si="0"/>
        <v>1.031603E-2</v>
      </c>
      <c r="D12">
        <f t="shared" si="1"/>
        <v>3.9728710691823896</v>
      </c>
      <c r="G12" s="21">
        <v>-1.2633729999999999E-2</v>
      </c>
      <c r="H12" s="21">
        <v>1.031603E-2</v>
      </c>
    </row>
    <row r="13" spans="1:8" x14ac:dyDescent="0.15">
      <c r="A13" s="21">
        <v>2.1484379999999999E-4</v>
      </c>
      <c r="B13" s="21">
        <f t="shared" si="0"/>
        <v>4.1698699999999998E-2</v>
      </c>
      <c r="D13">
        <f t="shared" si="1"/>
        <v>16.515867924528301</v>
      </c>
      <c r="G13" s="21">
        <v>-5.2520459999999998E-2</v>
      </c>
      <c r="H13" s="21">
        <v>4.1698699999999998E-2</v>
      </c>
    </row>
    <row r="14" spans="1:8" x14ac:dyDescent="0.15">
      <c r="A14" s="21">
        <v>2.3437499999999999E-4</v>
      </c>
      <c r="B14" s="21">
        <f t="shared" si="0"/>
        <v>7.2058880000000006E-2</v>
      </c>
      <c r="D14">
        <f t="shared" si="1"/>
        <v>28.704031446540878</v>
      </c>
      <c r="G14" s="21">
        <v>-9.1278819999999997E-2</v>
      </c>
      <c r="H14" s="21">
        <v>7.2058880000000006E-2</v>
      </c>
    </row>
    <row r="15" spans="1:8" x14ac:dyDescent="0.15">
      <c r="A15" s="21">
        <v>2.5390630000000003E-4</v>
      </c>
      <c r="B15" s="21">
        <f t="shared" si="0"/>
        <v>0.10154349999999999</v>
      </c>
      <c r="D15">
        <f t="shared" si="1"/>
        <v>40.618522012578616</v>
      </c>
      <c r="G15" s="21">
        <v>-0.1291669</v>
      </c>
      <c r="H15" s="21">
        <v>0.10154349999999999</v>
      </c>
    </row>
    <row r="16" spans="1:8" x14ac:dyDescent="0.15">
      <c r="A16" s="21">
        <v>2.7343750000000003E-4</v>
      </c>
      <c r="B16" s="21">
        <f t="shared" si="0"/>
        <v>0.12930440000000001</v>
      </c>
      <c r="D16">
        <f t="shared" si="1"/>
        <v>51.782421383647801</v>
      </c>
      <c r="G16" s="21">
        <v>-0.16466810000000001</v>
      </c>
      <c r="H16" s="21">
        <v>0.12930440000000001</v>
      </c>
    </row>
    <row r="17" spans="1:8" x14ac:dyDescent="0.15">
      <c r="A17" s="21">
        <v>2.9296870000000003E-4</v>
      </c>
      <c r="B17" s="21">
        <f t="shared" si="0"/>
        <v>0.1549229</v>
      </c>
      <c r="D17">
        <f t="shared" si="1"/>
        <v>62.0916037735849</v>
      </c>
      <c r="G17" s="21">
        <v>-0.1974513</v>
      </c>
      <c r="H17" s="21">
        <v>0.1549229</v>
      </c>
    </row>
    <row r="18" spans="1:8" x14ac:dyDescent="0.15">
      <c r="A18" s="21">
        <v>3.1250000000000001E-4</v>
      </c>
      <c r="B18" s="21">
        <f t="shared" si="0"/>
        <v>0.1785341</v>
      </c>
      <c r="D18">
        <f t="shared" si="1"/>
        <v>71.61283018867924</v>
      </c>
      <c r="G18" s="21">
        <v>-0.22772880000000001</v>
      </c>
      <c r="H18" s="21">
        <v>0.1785341</v>
      </c>
    </row>
    <row r="19" spans="1:8" x14ac:dyDescent="0.15">
      <c r="A19" s="21">
        <v>3.3203129999999999E-4</v>
      </c>
      <c r="B19" s="21">
        <f t="shared" si="0"/>
        <v>0.19948740000000001</v>
      </c>
      <c r="D19">
        <f t="shared" si="1"/>
        <v>80.043710691823904</v>
      </c>
      <c r="G19" s="21">
        <v>-0.25453900000000002</v>
      </c>
      <c r="H19" s="21">
        <v>0.19948740000000001</v>
      </c>
    </row>
    <row r="20" spans="1:8" x14ac:dyDescent="0.15">
      <c r="A20" s="21">
        <v>3.5156249999999999E-4</v>
      </c>
      <c r="B20" s="21">
        <f t="shared" si="0"/>
        <v>0.2171022</v>
      </c>
      <c r="D20">
        <f t="shared" si="1"/>
        <v>87.184591194968547</v>
      </c>
      <c r="G20" s="21">
        <v>-0.27724700000000002</v>
      </c>
      <c r="H20" s="21">
        <v>0.2171022</v>
      </c>
    </row>
    <row r="21" spans="1:8" x14ac:dyDescent="0.15">
      <c r="A21" s="21">
        <v>3.7109380000000002E-4</v>
      </c>
      <c r="B21" s="21">
        <f t="shared" si="0"/>
        <v>0.2314312</v>
      </c>
      <c r="D21">
        <f t="shared" si="1"/>
        <v>93.091132075471705</v>
      </c>
      <c r="G21" s="21">
        <v>-0.29602980000000001</v>
      </c>
      <c r="H21" s="21">
        <v>0.2314312</v>
      </c>
    </row>
    <row r="22" spans="1:8" x14ac:dyDescent="0.15">
      <c r="A22" s="21">
        <v>3.9062500000000002E-4</v>
      </c>
      <c r="B22" s="21">
        <f t="shared" si="0"/>
        <v>0.24245230000000001</v>
      </c>
      <c r="D22">
        <f t="shared" si="1"/>
        <v>97.574842767295593</v>
      </c>
      <c r="G22" s="21">
        <v>-0.31028800000000001</v>
      </c>
      <c r="H22" s="21">
        <v>0.24245230000000001</v>
      </c>
    </row>
    <row r="23" spans="1:8" x14ac:dyDescent="0.15">
      <c r="A23" s="21">
        <v>4.1015620000000002E-4</v>
      </c>
      <c r="B23" s="21">
        <f t="shared" si="0"/>
        <v>0.2499316</v>
      </c>
      <c r="D23">
        <f t="shared" si="1"/>
        <v>100.58550314465408</v>
      </c>
      <c r="G23" s="21">
        <v>-0.31986189999999998</v>
      </c>
      <c r="H23" s="21">
        <v>0.2499316</v>
      </c>
    </row>
    <row r="24" spans="1:8" x14ac:dyDescent="0.15">
      <c r="A24" s="21">
        <v>4.296875E-4</v>
      </c>
      <c r="B24" s="21">
        <f t="shared" si="0"/>
        <v>0.25397890000000001</v>
      </c>
      <c r="D24">
        <f t="shared" si="1"/>
        <v>102.23622641509434</v>
      </c>
      <c r="G24" s="21">
        <v>-0.32511119999999999</v>
      </c>
      <c r="H24" s="21">
        <v>0.25397890000000001</v>
      </c>
    </row>
    <row r="25" spans="1:8" x14ac:dyDescent="0.15">
      <c r="A25" s="21">
        <v>4.4921879999999998E-4</v>
      </c>
      <c r="B25" s="21">
        <f t="shared" si="0"/>
        <v>0.2543029</v>
      </c>
      <c r="D25">
        <f t="shared" si="1"/>
        <v>102.34198113207546</v>
      </c>
      <c r="G25" s="21">
        <v>-0.3254475</v>
      </c>
      <c r="H25" s="21">
        <v>0.2543029</v>
      </c>
    </row>
    <row r="26" spans="1:8" x14ac:dyDescent="0.15">
      <c r="A26" s="21">
        <v>4.6874999999999998E-4</v>
      </c>
      <c r="B26" s="21">
        <f t="shared" si="0"/>
        <v>0.25034689999999998</v>
      </c>
      <c r="D26">
        <f t="shared" si="1"/>
        <v>100.85666666666665</v>
      </c>
      <c r="G26" s="21">
        <v>-0.32072420000000001</v>
      </c>
      <c r="H26" s="21">
        <v>0.25034689999999998</v>
      </c>
    </row>
    <row r="27" spans="1:8" x14ac:dyDescent="0.15">
      <c r="A27" s="21">
        <v>4.8828119999999998E-4</v>
      </c>
      <c r="B27" s="21">
        <f t="shared" si="0"/>
        <v>0.2428399</v>
      </c>
      <c r="D27">
        <f t="shared" si="1"/>
        <v>97.939905660377349</v>
      </c>
      <c r="G27" s="21">
        <v>-0.31144889999999997</v>
      </c>
      <c r="H27" s="21">
        <v>0.2428399</v>
      </c>
    </row>
    <row r="28" spans="1:8" x14ac:dyDescent="0.15">
      <c r="A28" s="21">
        <v>5.0781250000000002E-4</v>
      </c>
      <c r="B28" s="21">
        <f t="shared" si="0"/>
        <v>0.23187659999999999</v>
      </c>
      <c r="D28">
        <f t="shared" si="1"/>
        <v>93.526194968553455</v>
      </c>
      <c r="G28" s="21">
        <v>-0.29741329999999999</v>
      </c>
      <c r="H28" s="21">
        <v>0.23187659999999999</v>
      </c>
    </row>
    <row r="29" spans="1:8" x14ac:dyDescent="0.15">
      <c r="A29" s="21">
        <v>5.2734380000000005E-4</v>
      </c>
      <c r="B29" s="21">
        <f t="shared" si="0"/>
        <v>0.21738930000000001</v>
      </c>
      <c r="D29">
        <f t="shared" si="1"/>
        <v>87.788018867924535</v>
      </c>
      <c r="G29" s="21">
        <v>-0.27916590000000002</v>
      </c>
      <c r="H29" s="21">
        <v>0.21738930000000001</v>
      </c>
    </row>
    <row r="30" spans="1:8" x14ac:dyDescent="0.15">
      <c r="A30" s="21">
        <v>5.4687500000000005E-4</v>
      </c>
      <c r="B30" s="21">
        <f t="shared" si="0"/>
        <v>0.20007639999999999</v>
      </c>
      <c r="D30">
        <f t="shared" si="1"/>
        <v>80.887987421383642</v>
      </c>
      <c r="G30" s="21">
        <v>-0.2572238</v>
      </c>
      <c r="H30" s="21">
        <v>0.20007639999999999</v>
      </c>
    </row>
    <row r="31" spans="1:8" x14ac:dyDescent="0.15">
      <c r="A31" s="21">
        <v>5.6640620000000005E-4</v>
      </c>
      <c r="B31" s="21">
        <f t="shared" si="0"/>
        <v>0.17892269999999999</v>
      </c>
      <c r="D31">
        <f t="shared" si="1"/>
        <v>72.414088050314461</v>
      </c>
      <c r="G31" s="21">
        <v>-0.2302768</v>
      </c>
      <c r="H31" s="21">
        <v>0.17892269999999999</v>
      </c>
    </row>
    <row r="32" spans="1:8" x14ac:dyDescent="0.15">
      <c r="A32" s="21">
        <v>5.8593749999999998E-4</v>
      </c>
      <c r="B32" s="21">
        <f t="shared" si="0"/>
        <v>0.15465480000000001</v>
      </c>
      <c r="D32">
        <f t="shared" si="1"/>
        <v>62.776792452830186</v>
      </c>
      <c r="G32" s="21">
        <v>-0.19963020000000001</v>
      </c>
      <c r="H32" s="21">
        <v>0.15465480000000001</v>
      </c>
    </row>
    <row r="33" spans="1:8" x14ac:dyDescent="0.15">
      <c r="A33" s="21">
        <v>6.0546869999999998E-4</v>
      </c>
      <c r="B33" s="21">
        <f t="shared" si="0"/>
        <v>0.12897739999999999</v>
      </c>
      <c r="D33">
        <f t="shared" si="1"/>
        <v>52.581729559748425</v>
      </c>
      <c r="G33" s="21">
        <v>-0.16720989999999999</v>
      </c>
      <c r="H33" s="21">
        <v>0.12897739999999999</v>
      </c>
    </row>
    <row r="34" spans="1:8" x14ac:dyDescent="0.15">
      <c r="A34" s="21">
        <v>6.2500000000000001E-4</v>
      </c>
      <c r="B34" s="21">
        <f t="shared" si="0"/>
        <v>0.1011063</v>
      </c>
      <c r="D34">
        <f t="shared" si="1"/>
        <v>41.457232704402514</v>
      </c>
      <c r="G34" s="21">
        <v>-0.13183400000000001</v>
      </c>
      <c r="H34" s="21">
        <v>0.1011063</v>
      </c>
    </row>
    <row r="35" spans="1:8" x14ac:dyDescent="0.15">
      <c r="A35" s="21">
        <v>6.4453130000000005E-4</v>
      </c>
      <c r="B35" s="21">
        <f t="shared" si="0"/>
        <v>7.1433360000000001E-2</v>
      </c>
      <c r="D35">
        <f t="shared" si="1"/>
        <v>29.560823899371069</v>
      </c>
      <c r="G35" s="21">
        <v>-9.4003420000000004E-2</v>
      </c>
      <c r="H35" s="21">
        <v>7.1433360000000001E-2</v>
      </c>
    </row>
    <row r="36" spans="1:8" x14ac:dyDescent="0.15">
      <c r="A36" s="21">
        <v>6.6406250000000005E-4</v>
      </c>
      <c r="B36" s="21">
        <f t="shared" si="0"/>
        <v>4.0736759999999997E-2</v>
      </c>
      <c r="D36">
        <f t="shared" si="1"/>
        <v>17.364534591194968</v>
      </c>
      <c r="G36" s="21">
        <v>-5.5219219999999999E-2</v>
      </c>
      <c r="H36" s="21">
        <v>4.0736759999999997E-2</v>
      </c>
    </row>
    <row r="37" spans="1:8" x14ac:dyDescent="0.15">
      <c r="A37" s="21">
        <v>6.8359379999999997E-4</v>
      </c>
      <c r="B37" s="21">
        <f t="shared" si="0"/>
        <v>9.2554419999999991E-3</v>
      </c>
      <c r="D37">
        <f t="shared" si="1"/>
        <v>4.8785880503144652</v>
      </c>
      <c r="G37" s="21">
        <v>-1.5513910000000001E-2</v>
      </c>
      <c r="H37" s="21">
        <v>9.2554419999999991E-3</v>
      </c>
    </row>
    <row r="38" spans="1:8" x14ac:dyDescent="0.15">
      <c r="A38" s="21">
        <v>7.0312499999999997E-4</v>
      </c>
      <c r="B38" s="21">
        <f t="shared" si="0"/>
        <v>-2.2290310000000001E-2</v>
      </c>
      <c r="D38">
        <f t="shared" si="1"/>
        <v>-7.8423364779874207</v>
      </c>
      <c r="G38" s="21">
        <v>2.493863E-2</v>
      </c>
      <c r="H38" s="21">
        <v>-2.2290310000000001E-2</v>
      </c>
    </row>
    <row r="39" spans="1:8" x14ac:dyDescent="0.15">
      <c r="A39" s="21">
        <v>7.2265619999999997E-4</v>
      </c>
      <c r="B39" s="21">
        <f t="shared" si="0"/>
        <v>-5.3567030000000002E-2</v>
      </c>
      <c r="D39">
        <f t="shared" si="1"/>
        <v>-20.341984276729558</v>
      </c>
      <c r="G39" s="21">
        <v>6.4687510000000004E-2</v>
      </c>
      <c r="H39" s="21">
        <v>-5.3567030000000002E-2</v>
      </c>
    </row>
    <row r="40" spans="1:8" x14ac:dyDescent="0.15">
      <c r="A40" s="21">
        <v>7.4218750000000001E-4</v>
      </c>
      <c r="B40" s="21">
        <f t="shared" si="0"/>
        <v>-8.3582859999999995E-2</v>
      </c>
      <c r="D40">
        <f t="shared" si="1"/>
        <v>-32.248679245283014</v>
      </c>
      <c r="G40" s="21">
        <v>0.1025508</v>
      </c>
      <c r="H40" s="21">
        <v>-8.3582859999999995E-2</v>
      </c>
    </row>
    <row r="41" spans="1:8" x14ac:dyDescent="0.15">
      <c r="A41" s="21">
        <v>7.6171880000000004E-4</v>
      </c>
      <c r="B41" s="21">
        <f t="shared" si="0"/>
        <v>-0.11203109999999999</v>
      </c>
      <c r="D41">
        <f t="shared" si="1"/>
        <v>-43.749119496855343</v>
      </c>
      <c r="G41" s="21">
        <v>0.1391222</v>
      </c>
      <c r="H41" s="21">
        <v>-0.11203109999999999</v>
      </c>
    </row>
    <row r="42" spans="1:8" x14ac:dyDescent="0.15">
      <c r="A42" s="21">
        <v>7.8125000000000004E-4</v>
      </c>
      <c r="B42" s="21">
        <f t="shared" si="0"/>
        <v>-0.13929900000000001</v>
      </c>
      <c r="D42">
        <f t="shared" si="1"/>
        <v>-54.720062893081753</v>
      </c>
      <c r="G42" s="21">
        <v>0.17400979999999999</v>
      </c>
      <c r="H42" s="21">
        <v>-0.13929900000000001</v>
      </c>
    </row>
    <row r="43" spans="1:8" x14ac:dyDescent="0.15">
      <c r="A43" s="21">
        <v>8.0078129999999997E-4</v>
      </c>
      <c r="B43" s="21">
        <f t="shared" si="0"/>
        <v>-0.1643252</v>
      </c>
      <c r="D43">
        <f t="shared" si="1"/>
        <v>-64.739685534591189</v>
      </c>
      <c r="G43" s="21">
        <v>0.20587220000000001</v>
      </c>
      <c r="H43" s="21">
        <v>-0.1643252</v>
      </c>
    </row>
    <row r="44" spans="1:8" x14ac:dyDescent="0.15">
      <c r="A44" s="21">
        <v>8.2031249999999997E-4</v>
      </c>
      <c r="B44" s="21">
        <f t="shared" si="0"/>
        <v>-0.18673790000000001</v>
      </c>
      <c r="D44">
        <f t="shared" si="1"/>
        <v>-73.807610062893076</v>
      </c>
      <c r="G44" s="21">
        <v>0.23470820000000001</v>
      </c>
      <c r="H44" s="21">
        <v>-0.18673790000000001</v>
      </c>
    </row>
    <row r="45" spans="1:8" x14ac:dyDescent="0.15">
      <c r="A45" s="21">
        <v>8.3984369999999997E-4</v>
      </c>
      <c r="B45" s="21">
        <f t="shared" si="0"/>
        <v>-0.2067679</v>
      </c>
      <c r="D45">
        <f t="shared" si="1"/>
        <v>-81.863710691823911</v>
      </c>
      <c r="G45" s="21">
        <v>0.26032660000000002</v>
      </c>
      <c r="H45" s="21">
        <v>-0.2067679</v>
      </c>
    </row>
    <row r="46" spans="1:8" x14ac:dyDescent="0.15">
      <c r="A46" s="21">
        <v>8.59375E-4</v>
      </c>
      <c r="B46" s="21">
        <f t="shared" si="0"/>
        <v>-0.2230356</v>
      </c>
      <c r="D46">
        <f t="shared" si="1"/>
        <v>-88.429465408805015</v>
      </c>
      <c r="G46" s="21">
        <v>0.2812057</v>
      </c>
      <c r="H46" s="21">
        <v>-0.2230356</v>
      </c>
    </row>
    <row r="47" spans="1:8" x14ac:dyDescent="0.15">
      <c r="A47" s="21">
        <v>8.7890630000000004E-4</v>
      </c>
      <c r="B47" s="21">
        <f t="shared" si="0"/>
        <v>-0.23558780000000001</v>
      </c>
      <c r="D47">
        <f t="shared" si="1"/>
        <v>-93.541886792452814</v>
      </c>
      <c r="G47" s="21">
        <v>0.29746319999999998</v>
      </c>
      <c r="H47" s="21">
        <v>-0.23558780000000001</v>
      </c>
    </row>
    <row r="48" spans="1:8" x14ac:dyDescent="0.15">
      <c r="A48" s="21">
        <v>8.9843750000000004E-4</v>
      </c>
      <c r="B48" s="21">
        <f t="shared" si="0"/>
        <v>-0.24550240000000001</v>
      </c>
      <c r="D48">
        <f t="shared" si="1"/>
        <v>-97.608301886792461</v>
      </c>
      <c r="G48" s="21">
        <v>0.31039440000000001</v>
      </c>
      <c r="H48" s="21">
        <v>-0.24550240000000001</v>
      </c>
    </row>
    <row r="49" spans="1:8" x14ac:dyDescent="0.15">
      <c r="A49" s="21">
        <v>9.1796879999999997E-4</v>
      </c>
      <c r="B49" s="21">
        <f t="shared" si="0"/>
        <v>-0.25153920000000002</v>
      </c>
      <c r="D49">
        <f t="shared" si="1"/>
        <v>-100.16003144654087</v>
      </c>
      <c r="G49" s="21">
        <v>0.31850889999999998</v>
      </c>
      <c r="H49" s="21">
        <v>-0.25153920000000002</v>
      </c>
    </row>
    <row r="50" spans="1:8" x14ac:dyDescent="0.15">
      <c r="A50" s="21">
        <v>9.3749999999999997E-4</v>
      </c>
      <c r="B50" s="21">
        <f t="shared" si="0"/>
        <v>-0.25374140000000001</v>
      </c>
      <c r="D50">
        <f t="shared" si="1"/>
        <v>-101.11754716981132</v>
      </c>
      <c r="G50" s="21">
        <v>0.3215538</v>
      </c>
      <c r="H50" s="21">
        <v>-0.25374140000000001</v>
      </c>
    </row>
    <row r="51" spans="1:8" x14ac:dyDescent="0.15">
      <c r="A51" s="21">
        <v>9.5703119999999997E-4</v>
      </c>
      <c r="B51" s="21">
        <f t="shared" si="0"/>
        <v>-0.25269730000000001</v>
      </c>
      <c r="D51">
        <f t="shared" si="1"/>
        <v>-100.76059748427673</v>
      </c>
      <c r="G51" s="21">
        <v>0.3204187</v>
      </c>
      <c r="H51" s="21">
        <v>-0.25269730000000001</v>
      </c>
    </row>
    <row r="52" spans="1:8" x14ac:dyDescent="0.15">
      <c r="A52" s="21">
        <v>9.765625E-4</v>
      </c>
      <c r="B52" s="21">
        <f t="shared" si="0"/>
        <v>-0.2471624</v>
      </c>
      <c r="D52">
        <f t="shared" si="1"/>
        <v>-98.621194968553439</v>
      </c>
      <c r="G52" s="21">
        <v>0.31361539999999999</v>
      </c>
      <c r="H52" s="21">
        <v>-0.2471624</v>
      </c>
    </row>
    <row r="53" spans="1:8" x14ac:dyDescent="0.15">
      <c r="A53" s="21">
        <v>9.9609380000000003E-4</v>
      </c>
      <c r="B53" s="21">
        <f t="shared" si="0"/>
        <v>-0.2377341</v>
      </c>
      <c r="D53">
        <f t="shared" si="1"/>
        <v>-94.918962264150949</v>
      </c>
      <c r="G53" s="21">
        <v>0.30184230000000001</v>
      </c>
      <c r="H53" s="21">
        <v>-0.2377341</v>
      </c>
    </row>
    <row r="54" spans="1:8" x14ac:dyDescent="0.15">
      <c r="A54" s="21">
        <v>1.015625E-3</v>
      </c>
      <c r="B54" s="21">
        <f t="shared" si="0"/>
        <v>-0.2252651</v>
      </c>
      <c r="D54">
        <f t="shared" si="1"/>
        <v>-90.060911949685519</v>
      </c>
      <c r="G54" s="21">
        <v>0.28639369999999997</v>
      </c>
      <c r="H54" s="21">
        <v>-0.2252651</v>
      </c>
    </row>
    <row r="55" spans="1:8" x14ac:dyDescent="0.15">
      <c r="A55" s="21">
        <v>1.035156E-3</v>
      </c>
      <c r="B55" s="21">
        <f t="shared" si="0"/>
        <v>-0.2097012</v>
      </c>
      <c r="D55">
        <f t="shared" si="1"/>
        <v>-83.894559748427668</v>
      </c>
      <c r="G55" s="21">
        <v>0.26678469999999999</v>
      </c>
      <c r="H55" s="21">
        <v>-0.2097012</v>
      </c>
    </row>
    <row r="56" spans="1:8" x14ac:dyDescent="0.15">
      <c r="A56" s="21">
        <v>1.054688E-3</v>
      </c>
      <c r="B56" s="21">
        <f t="shared" si="0"/>
        <v>-0.1911243</v>
      </c>
      <c r="D56">
        <f t="shared" si="1"/>
        <v>-76.448113207547166</v>
      </c>
      <c r="G56" s="21">
        <v>0.24310499999999999</v>
      </c>
      <c r="H56" s="21">
        <v>-0.1911243</v>
      </c>
    </row>
    <row r="57" spans="1:8" x14ac:dyDescent="0.15">
      <c r="A57" s="21">
        <v>1.074219E-3</v>
      </c>
      <c r="B57" s="21">
        <f t="shared" si="0"/>
        <v>-0.16894529999999999</v>
      </c>
      <c r="D57">
        <f t="shared" si="1"/>
        <v>-67.660534591194974</v>
      </c>
      <c r="G57" s="21">
        <v>0.2151605</v>
      </c>
      <c r="H57" s="21">
        <v>-0.16894529999999999</v>
      </c>
    </row>
    <row r="58" spans="1:8" x14ac:dyDescent="0.15">
      <c r="A58" s="21">
        <v>1.0937500000000001E-3</v>
      </c>
      <c r="B58" s="21">
        <f t="shared" si="0"/>
        <v>-0.14375070000000001</v>
      </c>
      <c r="D58">
        <f t="shared" si="1"/>
        <v>-57.638616352201254</v>
      </c>
      <c r="G58" s="21">
        <v>0.1832908</v>
      </c>
      <c r="H58" s="21">
        <v>-0.14375070000000001</v>
      </c>
    </row>
    <row r="59" spans="1:8" x14ac:dyDescent="0.15">
      <c r="A59" s="21">
        <v>1.113281E-3</v>
      </c>
      <c r="B59" s="21">
        <f t="shared" si="0"/>
        <v>-0.1167477</v>
      </c>
      <c r="D59">
        <f t="shared" si="1"/>
        <v>-46.84682389937106</v>
      </c>
      <c r="G59" s="21">
        <v>0.14897289999999999</v>
      </c>
      <c r="H59" s="21">
        <v>-0.1167477</v>
      </c>
    </row>
    <row r="60" spans="1:8" x14ac:dyDescent="0.15">
      <c r="A60" s="21">
        <v>1.132812E-3</v>
      </c>
      <c r="B60" s="21">
        <f t="shared" si="0"/>
        <v>-8.8299939999999993E-2</v>
      </c>
      <c r="D60">
        <f t="shared" si="1"/>
        <v>-35.468836477987416</v>
      </c>
      <c r="G60" s="21">
        <v>0.1127909</v>
      </c>
      <c r="H60" s="21">
        <v>-8.8299939999999993E-2</v>
      </c>
    </row>
    <row r="61" spans="1:8" x14ac:dyDescent="0.15">
      <c r="A61" s="21">
        <v>1.152344E-3</v>
      </c>
      <c r="B61" s="21">
        <f t="shared" si="0"/>
        <v>-5.8431829999999997E-2</v>
      </c>
      <c r="D61">
        <f t="shared" si="1"/>
        <v>-23.484116352201259</v>
      </c>
      <c r="G61" s="21">
        <v>7.4679490000000001E-2</v>
      </c>
      <c r="H61" s="21">
        <v>-5.8431829999999997E-2</v>
      </c>
    </row>
    <row r="62" spans="1:8" x14ac:dyDescent="0.15">
      <c r="A62" s="21">
        <v>1.171875E-3</v>
      </c>
      <c r="B62" s="21">
        <f t="shared" si="0"/>
        <v>-2.73242E-2</v>
      </c>
      <c r="D62">
        <f t="shared" si="1"/>
        <v>-11.11344968553459</v>
      </c>
      <c r="G62" s="21">
        <v>3.5340770000000001E-2</v>
      </c>
      <c r="H62" s="21">
        <v>-2.73242E-2</v>
      </c>
    </row>
    <row r="63" spans="1:8" x14ac:dyDescent="0.15">
      <c r="A63" s="21">
        <v>1.1914060000000001E-3</v>
      </c>
      <c r="B63" s="21">
        <f t="shared" si="0"/>
        <v>4.1525859999999998E-3</v>
      </c>
      <c r="D63">
        <f t="shared" si="1"/>
        <v>1.4777198113207544</v>
      </c>
      <c r="G63" s="21">
        <v>-4.6991489999999997E-3</v>
      </c>
      <c r="H63" s="21">
        <v>4.1525859999999998E-3</v>
      </c>
    </row>
    <row r="64" spans="1:8" x14ac:dyDescent="0.15">
      <c r="A64" s="21">
        <v>1.210937E-3</v>
      </c>
      <c r="B64" s="21">
        <f t="shared" si="0"/>
        <v>3.5577619999999997E-2</v>
      </c>
      <c r="D64">
        <f t="shared" si="1"/>
        <v>14.19762578616352</v>
      </c>
      <c r="G64" s="21">
        <v>-4.514845E-2</v>
      </c>
      <c r="H64" s="21">
        <v>3.5577619999999997E-2</v>
      </c>
    </row>
    <row r="65" spans="1:8" x14ac:dyDescent="0.15">
      <c r="A65" s="21">
        <v>1.2304690000000001E-3</v>
      </c>
      <c r="B65" s="21">
        <f t="shared" si="0"/>
        <v>6.6638439999999993E-2</v>
      </c>
      <c r="D65">
        <f t="shared" si="1"/>
        <v>26.655424528301886</v>
      </c>
      <c r="G65" s="21">
        <v>-8.4764249999999999E-2</v>
      </c>
      <c r="H65" s="21">
        <v>6.6638439999999993E-2</v>
      </c>
    </row>
    <row r="66" spans="1:8" x14ac:dyDescent="0.15">
      <c r="A66" s="21">
        <v>1.25E-3</v>
      </c>
      <c r="B66" s="21">
        <f t="shared" si="0"/>
        <v>9.602579E-2</v>
      </c>
      <c r="D66">
        <f t="shared" si="1"/>
        <v>38.398270440251572</v>
      </c>
      <c r="G66" s="21">
        <v>-0.12210650000000001</v>
      </c>
      <c r="H66" s="21">
        <v>9.602579E-2</v>
      </c>
    </row>
    <row r="67" spans="1:8" x14ac:dyDescent="0.15">
      <c r="A67" s="21">
        <v>1.269531E-3</v>
      </c>
      <c r="B67" s="21">
        <f t="shared" ref="B67:B130" si="2">H67</f>
        <v>0.123601</v>
      </c>
      <c r="D67">
        <f t="shared" ref="D67:D130" si="3">G67*-1000/3.18</f>
        <v>49.463050314465406</v>
      </c>
      <c r="G67" s="21">
        <v>-0.1572925</v>
      </c>
      <c r="H67" s="21">
        <v>0.123601</v>
      </c>
    </row>
    <row r="68" spans="1:8" x14ac:dyDescent="0.15">
      <c r="A68" s="21">
        <v>1.289063E-3</v>
      </c>
      <c r="B68" s="21">
        <f t="shared" si="2"/>
        <v>0.1501739</v>
      </c>
      <c r="D68">
        <f t="shared" si="3"/>
        <v>60.229716981132071</v>
      </c>
      <c r="G68" s="21">
        <v>-0.19153049999999999</v>
      </c>
      <c r="H68" s="21">
        <v>0.1501739</v>
      </c>
    </row>
    <row r="69" spans="1:8" x14ac:dyDescent="0.15">
      <c r="A69" s="21">
        <v>1.3085939999999999E-3</v>
      </c>
      <c r="B69" s="21">
        <f t="shared" si="2"/>
        <v>0.17439299999999999</v>
      </c>
      <c r="D69">
        <f t="shared" si="3"/>
        <v>70.033899371069182</v>
      </c>
      <c r="G69" s="21">
        <v>-0.22270780000000001</v>
      </c>
      <c r="H69" s="21">
        <v>0.17439299999999999</v>
      </c>
    </row>
    <row r="70" spans="1:8" x14ac:dyDescent="0.15">
      <c r="A70" s="21">
        <v>1.3281250000000001E-3</v>
      </c>
      <c r="B70" s="21">
        <f t="shared" si="2"/>
        <v>0.1954785</v>
      </c>
      <c r="D70">
        <f t="shared" si="3"/>
        <v>78.488490566037726</v>
      </c>
      <c r="G70" s="21">
        <v>-0.24959339999999999</v>
      </c>
      <c r="H70" s="21">
        <v>0.1954785</v>
      </c>
    </row>
    <row r="71" spans="1:8" x14ac:dyDescent="0.15">
      <c r="A71" s="21">
        <v>1.347656E-3</v>
      </c>
      <c r="B71" s="21">
        <f t="shared" si="2"/>
        <v>0.2142136</v>
      </c>
      <c r="D71">
        <f t="shared" si="3"/>
        <v>86.105943396226408</v>
      </c>
      <c r="G71" s="21">
        <v>-0.27381689999999997</v>
      </c>
      <c r="H71" s="21">
        <v>0.2142136</v>
      </c>
    </row>
    <row r="72" spans="1:8" x14ac:dyDescent="0.15">
      <c r="A72" s="21">
        <v>1.3671880000000001E-3</v>
      </c>
      <c r="B72" s="21">
        <f t="shared" si="2"/>
        <v>0.22910369999999999</v>
      </c>
      <c r="D72">
        <f t="shared" si="3"/>
        <v>92.105786163522012</v>
      </c>
      <c r="G72" s="21">
        <v>-0.2928964</v>
      </c>
      <c r="H72" s="21">
        <v>0.22910369999999999</v>
      </c>
    </row>
    <row r="73" spans="1:8" x14ac:dyDescent="0.15">
      <c r="A73" s="21">
        <v>1.386719E-3</v>
      </c>
      <c r="B73" s="21">
        <f t="shared" si="2"/>
        <v>0.24015629999999999</v>
      </c>
      <c r="D73">
        <f t="shared" si="3"/>
        <v>96.57314465408804</v>
      </c>
      <c r="G73" s="21">
        <v>-0.3071026</v>
      </c>
      <c r="H73" s="21">
        <v>0.24015629999999999</v>
      </c>
    </row>
    <row r="74" spans="1:8" x14ac:dyDescent="0.15">
      <c r="A74" s="21">
        <v>1.4062499999999999E-3</v>
      </c>
      <c r="B74" s="21">
        <f t="shared" si="2"/>
        <v>0.24891170000000001</v>
      </c>
      <c r="D74">
        <f t="shared" si="3"/>
        <v>100.24616352201255</v>
      </c>
      <c r="G74" s="21">
        <v>-0.31878279999999998</v>
      </c>
      <c r="H74" s="21">
        <v>0.24891170000000001</v>
      </c>
    </row>
    <row r="75" spans="1:8" x14ac:dyDescent="0.15">
      <c r="A75" s="21">
        <v>1.4257810000000001E-3</v>
      </c>
      <c r="B75" s="21">
        <f t="shared" si="2"/>
        <v>0.25371769999999999</v>
      </c>
      <c r="D75">
        <f t="shared" si="3"/>
        <v>102.20078616352203</v>
      </c>
      <c r="G75" s="21">
        <v>-0.32499850000000002</v>
      </c>
      <c r="H75" s="21">
        <v>0.25371769999999999</v>
      </c>
    </row>
    <row r="76" spans="1:8" x14ac:dyDescent="0.15">
      <c r="A76" s="21">
        <v>1.445312E-3</v>
      </c>
      <c r="B76" s="21">
        <f t="shared" si="2"/>
        <v>0.25412059999999997</v>
      </c>
      <c r="D76">
        <f t="shared" si="3"/>
        <v>102.3538364779874</v>
      </c>
      <c r="G76" s="21">
        <v>-0.32548519999999997</v>
      </c>
      <c r="H76" s="21">
        <v>0.25412059999999997</v>
      </c>
    </row>
    <row r="77" spans="1:8" x14ac:dyDescent="0.15">
      <c r="A77" s="21">
        <v>1.4648440000000001E-3</v>
      </c>
      <c r="B77" s="21">
        <f t="shared" si="2"/>
        <v>0.2512394</v>
      </c>
      <c r="D77">
        <f t="shared" si="3"/>
        <v>101.28867924528302</v>
      </c>
      <c r="G77" s="21">
        <v>-0.322098</v>
      </c>
      <c r="H77" s="21">
        <v>0.2512394</v>
      </c>
    </row>
    <row r="78" spans="1:8" x14ac:dyDescent="0.15">
      <c r="A78" s="21">
        <v>1.484375E-3</v>
      </c>
      <c r="B78" s="21">
        <f t="shared" si="2"/>
        <v>0.24445449999999999</v>
      </c>
      <c r="D78">
        <f t="shared" si="3"/>
        <v>98.623270440251574</v>
      </c>
      <c r="G78" s="21">
        <v>-0.31362200000000001</v>
      </c>
      <c r="H78" s="21">
        <v>0.24445449999999999</v>
      </c>
    </row>
    <row r="79" spans="1:8" x14ac:dyDescent="0.15">
      <c r="A79" s="21">
        <v>1.5039059999999999E-3</v>
      </c>
      <c r="B79" s="21">
        <f t="shared" si="2"/>
        <v>0.23397029999999999</v>
      </c>
      <c r="D79">
        <f t="shared" si="3"/>
        <v>94.407484276729562</v>
      </c>
      <c r="G79" s="21">
        <v>-0.30021579999999998</v>
      </c>
      <c r="H79" s="21">
        <v>0.23397029999999999</v>
      </c>
    </row>
    <row r="80" spans="1:8" x14ac:dyDescent="0.15">
      <c r="A80" s="21">
        <v>1.523438E-3</v>
      </c>
      <c r="B80" s="21">
        <f t="shared" si="2"/>
        <v>0.22039130000000001</v>
      </c>
      <c r="D80">
        <f t="shared" si="3"/>
        <v>89.043993710691822</v>
      </c>
      <c r="G80" s="21">
        <v>-0.28315990000000002</v>
      </c>
      <c r="H80" s="21">
        <v>0.22039130000000001</v>
      </c>
    </row>
    <row r="81" spans="1:8" x14ac:dyDescent="0.15">
      <c r="A81" s="21">
        <v>1.5429689999999999E-3</v>
      </c>
      <c r="B81" s="21">
        <f t="shared" si="2"/>
        <v>0.2032426</v>
      </c>
      <c r="D81">
        <f t="shared" si="3"/>
        <v>82.22298742138365</v>
      </c>
      <c r="G81" s="21">
        <v>-0.26146910000000001</v>
      </c>
      <c r="H81" s="21">
        <v>0.2032426</v>
      </c>
    </row>
    <row r="82" spans="1:8" x14ac:dyDescent="0.15">
      <c r="A82" s="21">
        <v>1.5625000000000001E-3</v>
      </c>
      <c r="B82" s="21">
        <f t="shared" si="2"/>
        <v>0.1830196</v>
      </c>
      <c r="D82">
        <f t="shared" si="3"/>
        <v>74.142106918238994</v>
      </c>
      <c r="G82" s="21">
        <v>-0.23577190000000001</v>
      </c>
      <c r="H82" s="21">
        <v>0.1830196</v>
      </c>
    </row>
    <row r="83" spans="1:8" x14ac:dyDescent="0.15">
      <c r="A83" s="21">
        <v>1.582031E-3</v>
      </c>
      <c r="B83" s="21">
        <f t="shared" si="2"/>
        <v>0.1600608</v>
      </c>
      <c r="D83">
        <f t="shared" si="3"/>
        <v>65.017138364779868</v>
      </c>
      <c r="G83" s="21">
        <v>-0.20675450000000001</v>
      </c>
      <c r="H83" s="21">
        <v>0.1600608</v>
      </c>
    </row>
    <row r="84" spans="1:8" x14ac:dyDescent="0.15">
      <c r="A84" s="21">
        <v>1.6015630000000001E-3</v>
      </c>
      <c r="B84" s="21">
        <f t="shared" si="2"/>
        <v>0.1340219</v>
      </c>
      <c r="D84">
        <f t="shared" si="3"/>
        <v>54.569622641509426</v>
      </c>
      <c r="G84" s="21">
        <v>-0.1735314</v>
      </c>
      <c r="H84" s="21">
        <v>0.1340219</v>
      </c>
    </row>
    <row r="85" spans="1:8" x14ac:dyDescent="0.15">
      <c r="A85" s="21">
        <v>1.621094E-3</v>
      </c>
      <c r="B85" s="21">
        <f t="shared" si="2"/>
        <v>0.1061348</v>
      </c>
      <c r="D85">
        <f t="shared" si="3"/>
        <v>43.490534591194972</v>
      </c>
      <c r="G85" s="21">
        <v>-0.1382999</v>
      </c>
      <c r="H85" s="21">
        <v>0.1061348</v>
      </c>
    </row>
    <row r="86" spans="1:8" x14ac:dyDescent="0.15">
      <c r="A86" s="21">
        <v>1.6406249999999999E-3</v>
      </c>
      <c r="B86" s="21">
        <f t="shared" si="2"/>
        <v>7.7019359999999995E-2</v>
      </c>
      <c r="D86">
        <f t="shared" si="3"/>
        <v>31.954182389937106</v>
      </c>
      <c r="G86" s="21">
        <v>-0.1016143</v>
      </c>
      <c r="H86" s="21">
        <v>7.7019359999999995E-2</v>
      </c>
    </row>
    <row r="87" spans="1:8" x14ac:dyDescent="0.15">
      <c r="A87" s="21">
        <v>1.6601560000000001E-3</v>
      </c>
      <c r="B87" s="21">
        <f t="shared" si="2"/>
        <v>4.6403430000000002E-2</v>
      </c>
      <c r="D87">
        <f t="shared" si="3"/>
        <v>19.675886792452829</v>
      </c>
      <c r="G87" s="21">
        <v>-6.2569319999999998E-2</v>
      </c>
      <c r="H87" s="21">
        <v>4.6403430000000002E-2</v>
      </c>
    </row>
    <row r="88" spans="1:8" x14ac:dyDescent="0.15">
      <c r="A88" s="21">
        <v>1.679687E-3</v>
      </c>
      <c r="B88" s="21">
        <f t="shared" si="2"/>
        <v>1.515089E-2</v>
      </c>
      <c r="D88">
        <f t="shared" si="3"/>
        <v>7.1969779874213833</v>
      </c>
      <c r="G88" s="21">
        <v>-2.288639E-2</v>
      </c>
      <c r="H88" s="21">
        <v>1.515089E-2</v>
      </c>
    </row>
    <row r="89" spans="1:8" x14ac:dyDescent="0.15">
      <c r="A89" s="21">
        <v>1.6992190000000001E-3</v>
      </c>
      <c r="B89" s="21">
        <f t="shared" si="2"/>
        <v>-1.629388E-2</v>
      </c>
      <c r="D89">
        <f t="shared" si="3"/>
        <v>-5.3631823899371076</v>
      </c>
      <c r="G89" s="21">
        <v>1.7054920000000001E-2</v>
      </c>
      <c r="H89" s="21">
        <v>-1.629388E-2</v>
      </c>
    </row>
    <row r="90" spans="1:8" x14ac:dyDescent="0.15">
      <c r="A90" s="21">
        <v>1.71875E-3</v>
      </c>
      <c r="B90" s="21">
        <f t="shared" si="2"/>
        <v>-4.7582470000000002E-2</v>
      </c>
      <c r="D90">
        <f t="shared" si="3"/>
        <v>-17.91354716981132</v>
      </c>
      <c r="G90" s="21">
        <v>5.6965080000000001E-2</v>
      </c>
      <c r="H90" s="21">
        <v>-4.7582470000000002E-2</v>
      </c>
    </row>
    <row r="91" spans="1:8" x14ac:dyDescent="0.15">
      <c r="A91" s="21">
        <v>1.7382809999999999E-3</v>
      </c>
      <c r="B91" s="21">
        <f t="shared" si="2"/>
        <v>-7.7909220000000001E-2</v>
      </c>
      <c r="D91">
        <f t="shared" si="3"/>
        <v>-30.03309748427673</v>
      </c>
      <c r="G91" s="21">
        <v>9.550525E-2</v>
      </c>
      <c r="H91" s="21">
        <v>-7.7909220000000001E-2</v>
      </c>
    </row>
    <row r="92" spans="1:8" x14ac:dyDescent="0.15">
      <c r="A92" s="21">
        <v>1.757813E-3</v>
      </c>
      <c r="B92" s="21">
        <f t="shared" si="2"/>
        <v>-0.1068973</v>
      </c>
      <c r="D92">
        <f t="shared" si="3"/>
        <v>-41.658993710691817</v>
      </c>
      <c r="G92" s="21">
        <v>0.1324756</v>
      </c>
      <c r="H92" s="21">
        <v>-0.1068973</v>
      </c>
    </row>
    <row r="93" spans="1:8" x14ac:dyDescent="0.15">
      <c r="A93" s="21">
        <v>1.7773439999999999E-3</v>
      </c>
      <c r="B93" s="21">
        <f t="shared" si="2"/>
        <v>-0.1342227</v>
      </c>
      <c r="D93">
        <f t="shared" si="3"/>
        <v>-52.654213836477979</v>
      </c>
      <c r="G93" s="21">
        <v>0.16744039999999999</v>
      </c>
      <c r="H93" s="21">
        <v>-0.1342227</v>
      </c>
    </row>
    <row r="94" spans="1:8" x14ac:dyDescent="0.15">
      <c r="A94" s="21">
        <v>1.7968750000000001E-3</v>
      </c>
      <c r="B94" s="21">
        <f t="shared" si="2"/>
        <v>-0.15961210000000001</v>
      </c>
      <c r="D94">
        <f t="shared" si="3"/>
        <v>-62.836163522012569</v>
      </c>
      <c r="G94" s="21">
        <v>0.199819</v>
      </c>
      <c r="H94" s="21">
        <v>-0.15961210000000001</v>
      </c>
    </row>
    <row r="95" spans="1:8" x14ac:dyDescent="0.15">
      <c r="A95" s="21">
        <v>1.816406E-3</v>
      </c>
      <c r="B95" s="21">
        <f t="shared" si="2"/>
        <v>-0.18292130000000001</v>
      </c>
      <c r="D95">
        <f t="shared" si="3"/>
        <v>-72.241289308176093</v>
      </c>
      <c r="G95" s="21">
        <v>0.2297273</v>
      </c>
      <c r="H95" s="21">
        <v>-0.18292130000000001</v>
      </c>
    </row>
    <row r="96" spans="1:8" x14ac:dyDescent="0.15">
      <c r="A96" s="21">
        <v>1.8359380000000001E-3</v>
      </c>
      <c r="B96" s="21">
        <f t="shared" si="2"/>
        <v>-0.20332259999999999</v>
      </c>
      <c r="D96">
        <f t="shared" si="3"/>
        <v>-80.433553459119494</v>
      </c>
      <c r="G96" s="21">
        <v>0.25577870000000003</v>
      </c>
      <c r="H96" s="21">
        <v>-0.20332259999999999</v>
      </c>
    </row>
    <row r="97" spans="1:8" x14ac:dyDescent="0.15">
      <c r="A97" s="21">
        <v>1.855469E-3</v>
      </c>
      <c r="B97" s="21">
        <f t="shared" si="2"/>
        <v>-0.2200791</v>
      </c>
      <c r="D97">
        <f t="shared" si="3"/>
        <v>-87.144842767295586</v>
      </c>
      <c r="G97" s="21">
        <v>0.27712059999999999</v>
      </c>
      <c r="H97" s="21">
        <v>-0.2200791</v>
      </c>
    </row>
    <row r="98" spans="1:8" x14ac:dyDescent="0.15">
      <c r="A98" s="21">
        <v>1.8749999999999999E-3</v>
      </c>
      <c r="B98" s="21">
        <f t="shared" si="2"/>
        <v>-0.2335322</v>
      </c>
      <c r="D98">
        <f t="shared" si="3"/>
        <v>-92.720754716981119</v>
      </c>
      <c r="G98" s="21">
        <v>0.294852</v>
      </c>
      <c r="H98" s="21">
        <v>-0.2335322</v>
      </c>
    </row>
    <row r="99" spans="1:8" x14ac:dyDescent="0.15">
      <c r="A99" s="21">
        <v>1.8945310000000001E-3</v>
      </c>
      <c r="B99" s="21">
        <f t="shared" si="2"/>
        <v>-0.2438217</v>
      </c>
      <c r="D99">
        <f t="shared" si="3"/>
        <v>-96.987578616352195</v>
      </c>
      <c r="G99" s="21">
        <v>0.30842049999999999</v>
      </c>
      <c r="H99" s="21">
        <v>-0.2438217</v>
      </c>
    </row>
    <row r="100" spans="1:8" x14ac:dyDescent="0.15">
      <c r="A100" s="21">
        <v>1.914062E-3</v>
      </c>
      <c r="B100" s="21">
        <f t="shared" si="2"/>
        <v>-0.25084659999999998</v>
      </c>
      <c r="D100">
        <f t="shared" si="3"/>
        <v>-99.803679245283007</v>
      </c>
      <c r="G100" s="21">
        <v>0.31737569999999998</v>
      </c>
      <c r="H100" s="21">
        <v>-0.25084659999999998</v>
      </c>
    </row>
    <row r="101" spans="1:8" x14ac:dyDescent="0.15">
      <c r="A101" s="21">
        <v>1.9335940000000001E-3</v>
      </c>
      <c r="B101" s="21">
        <f t="shared" si="2"/>
        <v>-0.25424390000000002</v>
      </c>
      <c r="D101">
        <f t="shared" si="3"/>
        <v>-101.2398427672956</v>
      </c>
      <c r="G101" s="21">
        <v>0.32194270000000003</v>
      </c>
      <c r="H101" s="21">
        <v>-0.25424390000000002</v>
      </c>
    </row>
    <row r="102" spans="1:8" x14ac:dyDescent="0.15">
      <c r="A102" s="21">
        <v>1.953125E-3</v>
      </c>
      <c r="B102" s="21">
        <f t="shared" si="2"/>
        <v>-0.25350400000000001</v>
      </c>
      <c r="D102">
        <f t="shared" si="3"/>
        <v>-101.08430817610062</v>
      </c>
      <c r="G102" s="21">
        <v>0.32144810000000001</v>
      </c>
      <c r="H102" s="21">
        <v>-0.25350400000000001</v>
      </c>
    </row>
    <row r="103" spans="1:8" x14ac:dyDescent="0.15">
      <c r="A103" s="21">
        <v>1.9726560000000001E-3</v>
      </c>
      <c r="B103" s="21">
        <f t="shared" si="2"/>
        <v>-0.24859310000000001</v>
      </c>
      <c r="D103">
        <f t="shared" si="3"/>
        <v>-99.251729559748441</v>
      </c>
      <c r="G103" s="21">
        <v>0.31562050000000003</v>
      </c>
      <c r="H103" s="21">
        <v>-0.24859310000000001</v>
      </c>
    </row>
    <row r="104" spans="1:8" x14ac:dyDescent="0.15">
      <c r="A104" s="21">
        <v>1.9921880000000002E-3</v>
      </c>
      <c r="B104" s="21">
        <f t="shared" si="2"/>
        <v>-0.23977899999999999</v>
      </c>
      <c r="D104">
        <f t="shared" si="3"/>
        <v>-95.796477987421369</v>
      </c>
      <c r="G104" s="21">
        <v>0.30463279999999998</v>
      </c>
      <c r="H104" s="21">
        <v>-0.23977899999999999</v>
      </c>
    </row>
    <row r="105" spans="1:8" x14ac:dyDescent="0.15">
      <c r="A105" s="21">
        <v>2.0117189999999999E-3</v>
      </c>
      <c r="B105" s="21">
        <f t="shared" si="2"/>
        <v>-0.2280394</v>
      </c>
      <c r="D105">
        <f t="shared" si="3"/>
        <v>-91.122704402515708</v>
      </c>
      <c r="G105" s="21">
        <v>0.28977019999999998</v>
      </c>
      <c r="H105" s="21">
        <v>-0.2280394</v>
      </c>
    </row>
    <row r="106" spans="1:8" x14ac:dyDescent="0.15">
      <c r="A106" s="21">
        <v>2.0312500000000001E-3</v>
      </c>
      <c r="B106" s="21">
        <f t="shared" si="2"/>
        <v>-0.21358089999999999</v>
      </c>
      <c r="D106">
        <f t="shared" si="3"/>
        <v>-85.41528301886791</v>
      </c>
      <c r="G106" s="21">
        <v>0.27162059999999999</v>
      </c>
      <c r="H106" s="21">
        <v>-0.21358089999999999</v>
      </c>
    </row>
    <row r="107" spans="1:8" x14ac:dyDescent="0.15">
      <c r="A107" s="21">
        <v>2.0507809999999998E-3</v>
      </c>
      <c r="B107" s="21">
        <f t="shared" si="2"/>
        <v>-0.19541739999999999</v>
      </c>
      <c r="D107">
        <f t="shared" si="3"/>
        <v>-78.202389937106915</v>
      </c>
      <c r="G107" s="21">
        <v>0.2486836</v>
      </c>
      <c r="H107" s="21">
        <v>-0.19541739999999999</v>
      </c>
    </row>
    <row r="108" spans="1:8" x14ac:dyDescent="0.15">
      <c r="A108" s="21">
        <v>2.0703129999999998E-3</v>
      </c>
      <c r="B108" s="21">
        <f t="shared" si="2"/>
        <v>-0.17345759999999999</v>
      </c>
      <c r="D108">
        <f t="shared" si="3"/>
        <v>-69.413238993710678</v>
      </c>
      <c r="G108" s="21">
        <v>0.22073409999999999</v>
      </c>
      <c r="H108" s="21">
        <v>-0.17345759999999999</v>
      </c>
    </row>
    <row r="109" spans="1:8" x14ac:dyDescent="0.15">
      <c r="A109" s="21">
        <v>2.089844E-3</v>
      </c>
      <c r="B109" s="21">
        <f t="shared" si="2"/>
        <v>-0.14896000000000001</v>
      </c>
      <c r="D109">
        <f t="shared" si="3"/>
        <v>-59.729559748427668</v>
      </c>
      <c r="G109" s="21">
        <v>0.18994</v>
      </c>
      <c r="H109" s="21">
        <v>-0.14896000000000001</v>
      </c>
    </row>
    <row r="110" spans="1:8" x14ac:dyDescent="0.15">
      <c r="A110" s="21">
        <v>2.1093750000000001E-3</v>
      </c>
      <c r="B110" s="21">
        <f t="shared" si="2"/>
        <v>-0.1227159</v>
      </c>
      <c r="D110">
        <f t="shared" si="3"/>
        <v>-49.290125786163522</v>
      </c>
      <c r="G110" s="21">
        <v>0.15674260000000001</v>
      </c>
      <c r="H110" s="21">
        <v>-0.1227159</v>
      </c>
    </row>
    <row r="111" spans="1:8" x14ac:dyDescent="0.15">
      <c r="A111" s="21">
        <v>2.1289059999999999E-3</v>
      </c>
      <c r="B111" s="21">
        <f t="shared" si="2"/>
        <v>-9.4303440000000002E-2</v>
      </c>
      <c r="D111">
        <f t="shared" si="3"/>
        <v>-37.785220125786161</v>
      </c>
      <c r="G111" s="21">
        <v>0.120157</v>
      </c>
      <c r="H111" s="21">
        <v>-9.4303440000000002E-2</v>
      </c>
    </row>
    <row r="112" spans="1:8" x14ac:dyDescent="0.15">
      <c r="A112" s="21">
        <v>2.1484379999999999E-3</v>
      </c>
      <c r="B112" s="21">
        <f t="shared" si="2"/>
        <v>-6.4464800000000003E-2</v>
      </c>
      <c r="D112">
        <f t="shared" si="3"/>
        <v>-25.912606918238993</v>
      </c>
      <c r="G112" s="21">
        <v>8.2402089999999997E-2</v>
      </c>
      <c r="H112" s="21">
        <v>-6.4464800000000003E-2</v>
      </c>
    </row>
    <row r="113" spans="1:8" x14ac:dyDescent="0.15">
      <c r="A113" s="21">
        <v>2.1679690000000001E-3</v>
      </c>
      <c r="B113" s="21">
        <f t="shared" si="2"/>
        <v>-3.4000780000000001E-2</v>
      </c>
      <c r="D113">
        <f t="shared" si="3"/>
        <v>-13.862084905660376</v>
      </c>
      <c r="G113" s="21">
        <v>4.4081429999999998E-2</v>
      </c>
      <c r="H113" s="21">
        <v>-3.4000780000000001E-2</v>
      </c>
    </row>
    <row r="114" spans="1:8" x14ac:dyDescent="0.15">
      <c r="A114" s="21">
        <v>2.1875000000000002E-3</v>
      </c>
      <c r="B114" s="21">
        <f t="shared" si="2"/>
        <v>-2.2124639999999999E-3</v>
      </c>
      <c r="D114">
        <f t="shared" si="3"/>
        <v>-1.0625147798742136</v>
      </c>
      <c r="G114" s="21">
        <v>3.3787969999999998E-3</v>
      </c>
      <c r="H114" s="21">
        <v>-2.2124639999999999E-3</v>
      </c>
    </row>
    <row r="115" spans="1:8" x14ac:dyDescent="0.15">
      <c r="A115" s="21">
        <v>2.2070309999999999E-3</v>
      </c>
      <c r="B115" s="21">
        <f t="shared" si="2"/>
        <v>2.9842980000000002E-2</v>
      </c>
      <c r="D115">
        <f t="shared" si="3"/>
        <v>11.801808176100629</v>
      </c>
      <c r="G115" s="21">
        <v>-3.7529750000000001E-2</v>
      </c>
      <c r="H115" s="21">
        <v>2.9842980000000002E-2</v>
      </c>
    </row>
    <row r="116" spans="1:8" x14ac:dyDescent="0.15">
      <c r="A116" s="21">
        <v>2.226563E-3</v>
      </c>
      <c r="B116" s="21">
        <f t="shared" si="2"/>
        <v>6.0403680000000001E-2</v>
      </c>
      <c r="D116">
        <f t="shared" si="3"/>
        <v>24.025509433962267</v>
      </c>
      <c r="G116" s="21">
        <v>-7.6401120000000003E-2</v>
      </c>
      <c r="H116" s="21">
        <v>6.0403680000000001E-2</v>
      </c>
    </row>
    <row r="117" spans="1:8" x14ac:dyDescent="0.15">
      <c r="A117" s="21">
        <v>2.2460940000000001E-3</v>
      </c>
      <c r="B117" s="21">
        <f t="shared" si="2"/>
        <v>8.9998400000000006E-2</v>
      </c>
      <c r="D117">
        <f t="shared" si="3"/>
        <v>35.939748427672953</v>
      </c>
      <c r="G117" s="21">
        <v>-0.1142884</v>
      </c>
      <c r="H117" s="21">
        <v>8.9998400000000006E-2</v>
      </c>
    </row>
    <row r="118" spans="1:8" x14ac:dyDescent="0.15">
      <c r="A118" s="21">
        <v>2.2656249999999998E-3</v>
      </c>
      <c r="B118" s="21">
        <f t="shared" si="2"/>
        <v>0.118558</v>
      </c>
      <c r="D118">
        <f t="shared" si="3"/>
        <v>47.454716981132073</v>
      </c>
      <c r="G118" s="21">
        <v>-0.15090600000000001</v>
      </c>
      <c r="H118" s="21">
        <v>0.118558</v>
      </c>
    </row>
    <row r="119" spans="1:8" x14ac:dyDescent="0.15">
      <c r="A119" s="21">
        <v>2.285156E-3</v>
      </c>
      <c r="B119" s="21">
        <f t="shared" si="2"/>
        <v>0.1447928</v>
      </c>
      <c r="D119">
        <f t="shared" si="3"/>
        <v>58.007201257861638</v>
      </c>
      <c r="G119" s="21">
        <v>-0.18446290000000001</v>
      </c>
      <c r="H119" s="21">
        <v>0.1447928</v>
      </c>
    </row>
    <row r="120" spans="1:8" x14ac:dyDescent="0.15">
      <c r="A120" s="21">
        <v>2.3046870000000001E-3</v>
      </c>
      <c r="B120" s="21">
        <f t="shared" si="2"/>
        <v>0.1692391</v>
      </c>
      <c r="D120">
        <f t="shared" si="3"/>
        <v>67.809937106918241</v>
      </c>
      <c r="G120" s="21">
        <v>-0.21563560000000001</v>
      </c>
      <c r="H120" s="21">
        <v>0.1692391</v>
      </c>
    </row>
    <row r="121" spans="1:8" x14ac:dyDescent="0.15">
      <c r="A121" s="21">
        <v>2.3242190000000002E-3</v>
      </c>
      <c r="B121" s="21">
        <f t="shared" si="2"/>
        <v>0.19200039999999999</v>
      </c>
      <c r="D121">
        <f t="shared" si="3"/>
        <v>77.044559748427673</v>
      </c>
      <c r="G121" s="21">
        <v>-0.24500169999999999</v>
      </c>
      <c r="H121" s="21">
        <v>0.19200039999999999</v>
      </c>
    </row>
    <row r="122" spans="1:8" x14ac:dyDescent="0.15">
      <c r="A122" s="21">
        <v>2.3437499999999999E-3</v>
      </c>
      <c r="B122" s="21">
        <f t="shared" si="2"/>
        <v>0.21103</v>
      </c>
      <c r="D122">
        <f t="shared" si="3"/>
        <v>84.735597484276724</v>
      </c>
      <c r="G122" s="21">
        <v>-0.26945920000000001</v>
      </c>
      <c r="H122" s="21">
        <v>0.21103</v>
      </c>
    </row>
    <row r="123" spans="1:8" x14ac:dyDescent="0.15">
      <c r="A123" s="21">
        <v>2.3632810000000001E-3</v>
      </c>
      <c r="B123" s="21">
        <f t="shared" si="2"/>
        <v>0.22590660000000001</v>
      </c>
      <c r="D123">
        <f t="shared" si="3"/>
        <v>90.676132075471699</v>
      </c>
      <c r="G123" s="21">
        <v>-0.2883501</v>
      </c>
      <c r="H123" s="21">
        <v>0.22590660000000001</v>
      </c>
    </row>
    <row r="124" spans="1:8" x14ac:dyDescent="0.15">
      <c r="A124" s="21">
        <v>2.3828120000000002E-3</v>
      </c>
      <c r="B124" s="21">
        <f t="shared" si="2"/>
        <v>0.2379568</v>
      </c>
      <c r="D124">
        <f t="shared" si="3"/>
        <v>95.696603773584897</v>
      </c>
      <c r="G124" s="21">
        <v>-0.30431520000000001</v>
      </c>
      <c r="H124" s="21">
        <v>0.2379568</v>
      </c>
    </row>
    <row r="125" spans="1:8" x14ac:dyDescent="0.15">
      <c r="A125" s="21">
        <v>2.4023439999999998E-3</v>
      </c>
      <c r="B125" s="21">
        <f t="shared" si="2"/>
        <v>0.24714349999999999</v>
      </c>
      <c r="D125">
        <f t="shared" si="3"/>
        <v>99.496037735849058</v>
      </c>
      <c r="G125" s="21">
        <v>-0.3163974</v>
      </c>
      <c r="H125" s="21">
        <v>0.24714349999999999</v>
      </c>
    </row>
    <row r="126" spans="1:8" x14ac:dyDescent="0.15">
      <c r="A126" s="21">
        <v>2.421875E-3</v>
      </c>
      <c r="B126" s="21">
        <f t="shared" si="2"/>
        <v>0.25263750000000001</v>
      </c>
      <c r="D126">
        <f t="shared" si="3"/>
        <v>101.68801886792451</v>
      </c>
      <c r="G126" s="21">
        <v>-0.32336789999999999</v>
      </c>
      <c r="H126" s="21">
        <v>0.25263750000000001</v>
      </c>
    </row>
    <row r="127" spans="1:8" x14ac:dyDescent="0.15">
      <c r="A127" s="21">
        <v>2.4414060000000001E-3</v>
      </c>
      <c r="B127" s="21">
        <f t="shared" si="2"/>
        <v>0.2543704</v>
      </c>
      <c r="D127">
        <f t="shared" si="3"/>
        <v>102.46358490566037</v>
      </c>
      <c r="G127" s="21">
        <v>-0.32583420000000002</v>
      </c>
      <c r="H127" s="21">
        <v>0.2543704</v>
      </c>
    </row>
    <row r="128" spans="1:8" x14ac:dyDescent="0.15">
      <c r="A128" s="21">
        <v>2.4609380000000002E-3</v>
      </c>
      <c r="B128" s="21">
        <f t="shared" si="2"/>
        <v>0.25217479999999998</v>
      </c>
      <c r="D128">
        <f t="shared" si="3"/>
        <v>101.60424528301886</v>
      </c>
      <c r="G128" s="21">
        <v>-0.32310149999999999</v>
      </c>
      <c r="H128" s="21">
        <v>0.25217479999999998</v>
      </c>
    </row>
    <row r="129" spans="1:8" x14ac:dyDescent="0.15">
      <c r="A129" s="21">
        <v>2.4804689999999999E-3</v>
      </c>
      <c r="B129" s="21">
        <f t="shared" si="2"/>
        <v>0.24573710000000001</v>
      </c>
      <c r="D129">
        <f t="shared" si="3"/>
        <v>99.07213836477986</v>
      </c>
      <c r="G129" s="21">
        <v>-0.31504939999999998</v>
      </c>
      <c r="H129" s="21">
        <v>0.24573710000000001</v>
      </c>
    </row>
    <row r="130" spans="1:8" x14ac:dyDescent="0.15">
      <c r="A130" s="21">
        <v>2.5000000000000001E-3</v>
      </c>
      <c r="B130" s="21">
        <f t="shared" si="2"/>
        <v>0.2358239</v>
      </c>
      <c r="D130">
        <f t="shared" si="3"/>
        <v>95.167106918238986</v>
      </c>
      <c r="G130" s="21">
        <v>-0.30263139999999999</v>
      </c>
      <c r="H130" s="21">
        <v>0.2358239</v>
      </c>
    </row>
    <row r="131" spans="1:8" x14ac:dyDescent="0.15">
      <c r="A131" s="21">
        <v>2.5195310000000002E-3</v>
      </c>
      <c r="B131" s="21">
        <f t="shared" ref="B131:B194" si="4">H131</f>
        <v>0.22309909999999999</v>
      </c>
      <c r="D131">
        <f t="shared" ref="D131:D194" si="5">G131*-1000/3.18</f>
        <v>90.112767295597479</v>
      </c>
      <c r="G131" s="21">
        <v>-0.2865586</v>
      </c>
      <c r="H131" s="21">
        <v>0.22309909999999999</v>
      </c>
    </row>
    <row r="132" spans="1:8" x14ac:dyDescent="0.15">
      <c r="A132" s="21">
        <v>2.5390629999999998E-3</v>
      </c>
      <c r="B132" s="21">
        <f t="shared" si="4"/>
        <v>0.20702219999999999</v>
      </c>
      <c r="D132">
        <f t="shared" si="5"/>
        <v>83.667924528301896</v>
      </c>
      <c r="G132" s="21">
        <v>-0.26606400000000002</v>
      </c>
      <c r="H132" s="21">
        <v>0.20702219999999999</v>
      </c>
    </row>
    <row r="133" spans="1:8" x14ac:dyDescent="0.15">
      <c r="A133" s="21">
        <v>2.558594E-3</v>
      </c>
      <c r="B133" s="21">
        <f t="shared" si="4"/>
        <v>0.1872752</v>
      </c>
      <c r="D133">
        <f t="shared" si="5"/>
        <v>75.71606918238993</v>
      </c>
      <c r="G133" s="21">
        <v>-0.24077709999999999</v>
      </c>
      <c r="H133" s="21">
        <v>0.1872752</v>
      </c>
    </row>
    <row r="134" spans="1:8" x14ac:dyDescent="0.15">
      <c r="A134" s="21">
        <v>2.5781250000000001E-3</v>
      </c>
      <c r="B134" s="21">
        <f t="shared" si="4"/>
        <v>0.16433310000000001</v>
      </c>
      <c r="D134">
        <f t="shared" si="5"/>
        <v>66.627484276729547</v>
      </c>
      <c r="G134" s="21">
        <v>-0.21187539999999999</v>
      </c>
      <c r="H134" s="21">
        <v>0.16433310000000001</v>
      </c>
    </row>
    <row r="135" spans="1:8" x14ac:dyDescent="0.15">
      <c r="A135" s="21">
        <v>2.5976559999999998E-3</v>
      </c>
      <c r="B135" s="21">
        <f t="shared" si="4"/>
        <v>0.1388972</v>
      </c>
      <c r="D135">
        <f t="shared" si="5"/>
        <v>56.51930817610063</v>
      </c>
      <c r="G135" s="21">
        <v>-0.17973140000000001</v>
      </c>
      <c r="H135" s="21">
        <v>0.1388972</v>
      </c>
    </row>
    <row r="136" spans="1:8" x14ac:dyDescent="0.15">
      <c r="A136" s="21">
        <v>2.6171879999999999E-3</v>
      </c>
      <c r="B136" s="21">
        <f t="shared" si="4"/>
        <v>0.1117991</v>
      </c>
      <c r="D136">
        <f t="shared" si="5"/>
        <v>45.709465408805031</v>
      </c>
      <c r="G136" s="21">
        <v>-0.14535609999999999</v>
      </c>
      <c r="H136" s="21">
        <v>0.1117991</v>
      </c>
    </row>
    <row r="137" spans="1:8" x14ac:dyDescent="0.15">
      <c r="A137" s="21">
        <v>2.636719E-3</v>
      </c>
      <c r="B137" s="21">
        <f t="shared" si="4"/>
        <v>8.3137130000000004E-2</v>
      </c>
      <c r="D137">
        <f t="shared" si="5"/>
        <v>34.276352201257858</v>
      </c>
      <c r="G137" s="21">
        <v>-0.10899880000000001</v>
      </c>
      <c r="H137" s="21">
        <v>8.3137130000000004E-2</v>
      </c>
    </row>
    <row r="138" spans="1:8" x14ac:dyDescent="0.15">
      <c r="A138" s="21">
        <v>2.6562500000000002E-3</v>
      </c>
      <c r="B138" s="21">
        <f t="shared" si="4"/>
        <v>5.257618E-2</v>
      </c>
      <c r="D138">
        <f t="shared" si="5"/>
        <v>22.037588050314465</v>
      </c>
      <c r="G138" s="21">
        <v>-7.0079530000000001E-2</v>
      </c>
      <c r="H138" s="21">
        <v>5.257618E-2</v>
      </c>
    </row>
    <row r="139" spans="1:8" x14ac:dyDescent="0.15">
      <c r="A139" s="21">
        <v>2.6757809999999999E-3</v>
      </c>
      <c r="B139" s="21">
        <f t="shared" si="4"/>
        <v>2.1084990000000001E-2</v>
      </c>
      <c r="D139">
        <f t="shared" si="5"/>
        <v>9.5441194968553464</v>
      </c>
      <c r="G139" s="21">
        <v>-3.03503E-2</v>
      </c>
      <c r="H139" s="21">
        <v>2.1084990000000001E-2</v>
      </c>
    </row>
    <row r="140" spans="1:8" x14ac:dyDescent="0.15">
      <c r="A140" s="21">
        <v>2.695313E-3</v>
      </c>
      <c r="B140" s="21">
        <f t="shared" si="4"/>
        <v>-1.0414669999999999E-2</v>
      </c>
      <c r="D140">
        <f t="shared" si="5"/>
        <v>-3.0328952830188673</v>
      </c>
      <c r="G140" s="21">
        <v>9.6446069999999995E-3</v>
      </c>
      <c r="H140" s="21">
        <v>-1.0414669999999999E-2</v>
      </c>
    </row>
    <row r="141" spans="1:8" x14ac:dyDescent="0.15">
      <c r="A141" s="21">
        <v>2.7148440000000001E-3</v>
      </c>
      <c r="B141" s="21">
        <f t="shared" si="4"/>
        <v>-4.173412E-2</v>
      </c>
      <c r="D141">
        <f t="shared" si="5"/>
        <v>-15.65501572327044</v>
      </c>
      <c r="G141" s="21">
        <v>4.9782949999999999E-2</v>
      </c>
      <c r="H141" s="21">
        <v>-4.173412E-2</v>
      </c>
    </row>
    <row r="142" spans="1:8" x14ac:dyDescent="0.15">
      <c r="A142" s="21">
        <v>2.7343749999999998E-3</v>
      </c>
      <c r="B142" s="21">
        <f t="shared" si="4"/>
        <v>-7.1988709999999997E-2</v>
      </c>
      <c r="D142">
        <f t="shared" si="5"/>
        <v>-27.676893081761005</v>
      </c>
      <c r="G142" s="21">
        <v>8.8012519999999997E-2</v>
      </c>
      <c r="H142" s="21">
        <v>-7.1988709999999997E-2</v>
      </c>
    </row>
    <row r="143" spans="1:8" x14ac:dyDescent="0.15">
      <c r="A143" s="21">
        <v>2.753906E-3</v>
      </c>
      <c r="B143" s="21">
        <f t="shared" si="4"/>
        <v>-0.101136</v>
      </c>
      <c r="D143">
        <f t="shared" si="5"/>
        <v>-39.337106918238995</v>
      </c>
      <c r="G143" s="21">
        <v>0.12509200000000001</v>
      </c>
      <c r="H143" s="21">
        <v>-0.101136</v>
      </c>
    </row>
    <row r="144" spans="1:8" x14ac:dyDescent="0.15">
      <c r="A144" s="21">
        <v>2.7734370000000001E-3</v>
      </c>
      <c r="B144" s="21">
        <f t="shared" si="4"/>
        <v>-0.12935969999999999</v>
      </c>
      <c r="D144">
        <f t="shared" si="5"/>
        <v>-50.751886792452837</v>
      </c>
      <c r="G144" s="21">
        <v>0.16139100000000001</v>
      </c>
      <c r="H144" s="21">
        <v>-0.12935969999999999</v>
      </c>
    </row>
    <row r="145" spans="1:8" x14ac:dyDescent="0.15">
      <c r="A145" s="21">
        <v>2.7929690000000002E-3</v>
      </c>
      <c r="B145" s="21">
        <f t="shared" si="4"/>
        <v>-0.15517320000000001</v>
      </c>
      <c r="D145">
        <f t="shared" si="5"/>
        <v>-61.047987421383645</v>
      </c>
      <c r="G145" s="21">
        <v>0.19413259999999999</v>
      </c>
      <c r="H145" s="21">
        <v>-0.15517320000000001</v>
      </c>
    </row>
    <row r="146" spans="1:8" x14ac:dyDescent="0.15">
      <c r="A146" s="21">
        <v>2.8124999999999999E-3</v>
      </c>
      <c r="B146" s="21">
        <f t="shared" si="4"/>
        <v>-0.17826910000000001</v>
      </c>
      <c r="D146">
        <f t="shared" si="5"/>
        <v>-70.364811320754711</v>
      </c>
      <c r="G146" s="21">
        <v>0.22376009999999999</v>
      </c>
      <c r="H146" s="21">
        <v>-0.17826910000000001</v>
      </c>
    </row>
    <row r="147" spans="1:8" x14ac:dyDescent="0.15">
      <c r="A147" s="21">
        <v>2.832031E-3</v>
      </c>
      <c r="B147" s="21">
        <f t="shared" si="4"/>
        <v>-0.19943859999999999</v>
      </c>
      <c r="D147">
        <f t="shared" si="5"/>
        <v>-78.966194968553452</v>
      </c>
      <c r="G147" s="21">
        <v>0.25111250000000002</v>
      </c>
      <c r="H147" s="21">
        <v>-0.19943859999999999</v>
      </c>
    </row>
    <row r="148" spans="1:8" x14ac:dyDescent="0.15">
      <c r="A148" s="21">
        <v>2.8515620000000002E-3</v>
      </c>
      <c r="B148" s="21">
        <f t="shared" si="4"/>
        <v>-0.21730530000000001</v>
      </c>
      <c r="D148">
        <f t="shared" si="5"/>
        <v>-86.097012578616344</v>
      </c>
      <c r="G148" s="21">
        <v>0.27378849999999999</v>
      </c>
      <c r="H148" s="21">
        <v>-0.21730530000000001</v>
      </c>
    </row>
    <row r="149" spans="1:8" x14ac:dyDescent="0.15">
      <c r="A149" s="21">
        <v>2.8710939999999998E-3</v>
      </c>
      <c r="B149" s="21">
        <f t="shared" si="4"/>
        <v>-0.23103190000000001</v>
      </c>
      <c r="D149">
        <f t="shared" si="5"/>
        <v>-91.724213836478</v>
      </c>
      <c r="G149" s="21">
        <v>0.29168300000000003</v>
      </c>
      <c r="H149" s="21">
        <v>-0.23103190000000001</v>
      </c>
    </row>
    <row r="150" spans="1:8" x14ac:dyDescent="0.15">
      <c r="A150" s="21">
        <v>2.890625E-3</v>
      </c>
      <c r="B150" s="21">
        <f t="shared" si="4"/>
        <v>-0.24198330000000001</v>
      </c>
      <c r="D150">
        <f t="shared" si="5"/>
        <v>-96.262672955974836</v>
      </c>
      <c r="G150" s="21">
        <v>0.30611529999999998</v>
      </c>
      <c r="H150" s="21">
        <v>-0.24198330000000001</v>
      </c>
    </row>
    <row r="151" spans="1:8" x14ac:dyDescent="0.15">
      <c r="A151" s="21">
        <v>2.9101560000000001E-3</v>
      </c>
      <c r="B151" s="21">
        <f t="shared" si="4"/>
        <v>-0.2498205</v>
      </c>
      <c r="D151">
        <f t="shared" si="5"/>
        <v>-99.473081761006299</v>
      </c>
      <c r="G151" s="21">
        <v>0.31632440000000001</v>
      </c>
      <c r="H151" s="21">
        <v>-0.2498205</v>
      </c>
    </row>
    <row r="152" spans="1:8" x14ac:dyDescent="0.15">
      <c r="A152" s="21">
        <v>2.9296880000000002E-3</v>
      </c>
      <c r="B152" s="21">
        <f t="shared" si="4"/>
        <v>-0.25348710000000002</v>
      </c>
      <c r="D152">
        <f t="shared" si="5"/>
        <v>-101.07990566037735</v>
      </c>
      <c r="G152" s="21">
        <v>0.3214341</v>
      </c>
      <c r="H152" s="21">
        <v>-0.25348710000000002</v>
      </c>
    </row>
    <row r="153" spans="1:8" x14ac:dyDescent="0.15">
      <c r="A153" s="21">
        <v>2.9492189999999999E-3</v>
      </c>
      <c r="B153" s="21">
        <f t="shared" si="4"/>
        <v>-0.25350230000000001</v>
      </c>
      <c r="D153">
        <f t="shared" si="5"/>
        <v>-101.14805031446541</v>
      </c>
      <c r="G153" s="21">
        <v>0.32165080000000001</v>
      </c>
      <c r="H153" s="21">
        <v>-0.25350230000000001</v>
      </c>
    </row>
    <row r="154" spans="1:8" x14ac:dyDescent="0.15">
      <c r="A154" s="21">
        <v>2.96875E-3</v>
      </c>
      <c r="B154" s="21">
        <f t="shared" si="4"/>
        <v>-0.2499663</v>
      </c>
      <c r="D154">
        <f t="shared" si="5"/>
        <v>-99.851949685534592</v>
      </c>
      <c r="G154" s="21">
        <v>0.31752920000000001</v>
      </c>
      <c r="H154" s="21">
        <v>-0.2499663</v>
      </c>
    </row>
    <row r="155" spans="1:8" x14ac:dyDescent="0.15">
      <c r="A155" s="21">
        <v>2.9882810000000002E-3</v>
      </c>
      <c r="B155" s="21">
        <f t="shared" si="4"/>
        <v>-0.24240510000000001</v>
      </c>
      <c r="D155">
        <f t="shared" si="5"/>
        <v>-96.935534591194966</v>
      </c>
      <c r="G155" s="21">
        <v>0.308255</v>
      </c>
      <c r="H155" s="21">
        <v>-0.24240510000000001</v>
      </c>
    </row>
    <row r="156" spans="1:8" x14ac:dyDescent="0.15">
      <c r="A156" s="21">
        <v>3.0078129999999998E-3</v>
      </c>
      <c r="B156" s="21">
        <f t="shared" si="4"/>
        <v>-0.2309464</v>
      </c>
      <c r="D156">
        <f t="shared" si="5"/>
        <v>-92.303427672955976</v>
      </c>
      <c r="G156" s="21">
        <v>0.29352489999999998</v>
      </c>
      <c r="H156" s="21">
        <v>-0.2309464</v>
      </c>
    </row>
    <row r="157" spans="1:8" x14ac:dyDescent="0.15">
      <c r="A157" s="21">
        <v>3.027344E-3</v>
      </c>
      <c r="B157" s="21">
        <f t="shared" si="4"/>
        <v>-0.216562</v>
      </c>
      <c r="D157">
        <f t="shared" si="5"/>
        <v>-86.619716981132072</v>
      </c>
      <c r="G157" s="21">
        <v>0.27545069999999999</v>
      </c>
      <c r="H157" s="21">
        <v>-0.216562</v>
      </c>
    </row>
    <row r="158" spans="1:8" x14ac:dyDescent="0.15">
      <c r="A158" s="21">
        <v>3.0468750000000001E-3</v>
      </c>
      <c r="B158" s="21">
        <f t="shared" si="4"/>
        <v>-0.19928370000000001</v>
      </c>
      <c r="D158">
        <f t="shared" si="5"/>
        <v>-79.749528301886784</v>
      </c>
      <c r="G158" s="21">
        <v>0.25360349999999998</v>
      </c>
      <c r="H158" s="21">
        <v>-0.19928370000000001</v>
      </c>
    </row>
    <row r="159" spans="1:8" x14ac:dyDescent="0.15">
      <c r="A159" s="21">
        <v>3.0664059999999998E-3</v>
      </c>
      <c r="B159" s="21">
        <f t="shared" si="4"/>
        <v>-0.17822060000000001</v>
      </c>
      <c r="D159">
        <f t="shared" si="5"/>
        <v>-71.242452830188682</v>
      </c>
      <c r="G159" s="21">
        <v>0.226551</v>
      </c>
      <c r="H159" s="21">
        <v>-0.17822060000000001</v>
      </c>
    </row>
    <row r="160" spans="1:8" x14ac:dyDescent="0.15">
      <c r="A160" s="21">
        <v>3.0859379999999999E-3</v>
      </c>
      <c r="B160" s="21">
        <f t="shared" si="4"/>
        <v>-0.1544217</v>
      </c>
      <c r="D160">
        <f t="shared" si="5"/>
        <v>-61.808962264150935</v>
      </c>
      <c r="G160" s="21">
        <v>0.19655249999999999</v>
      </c>
      <c r="H160" s="21">
        <v>-0.1544217</v>
      </c>
    </row>
    <row r="161" spans="1:8" x14ac:dyDescent="0.15">
      <c r="A161" s="21">
        <v>3.105469E-3</v>
      </c>
      <c r="B161" s="21">
        <f t="shared" si="4"/>
        <v>-0.1284671</v>
      </c>
      <c r="D161">
        <f t="shared" si="5"/>
        <v>-51.53776729559749</v>
      </c>
      <c r="G161" s="21">
        <v>0.16389010000000001</v>
      </c>
      <c r="H161" s="21">
        <v>-0.1284671</v>
      </c>
    </row>
    <row r="162" spans="1:8" x14ac:dyDescent="0.15">
      <c r="A162" s="21">
        <v>3.1250000000000002E-3</v>
      </c>
      <c r="B162" s="21">
        <f t="shared" si="4"/>
        <v>-0.1000142</v>
      </c>
      <c r="D162">
        <f t="shared" si="5"/>
        <v>-40.168018867924523</v>
      </c>
      <c r="G162" s="21">
        <v>0.1277343</v>
      </c>
      <c r="H162" s="21">
        <v>-0.1000142</v>
      </c>
    </row>
    <row r="163" spans="1:8" x14ac:dyDescent="0.15">
      <c r="A163" s="21">
        <v>3.1445309999999999E-3</v>
      </c>
      <c r="B163" s="21">
        <f t="shared" si="4"/>
        <v>-7.066646E-2</v>
      </c>
      <c r="D163">
        <f t="shared" si="5"/>
        <v>-28.439380503144651</v>
      </c>
      <c r="G163" s="21">
        <v>9.0437229999999993E-2</v>
      </c>
      <c r="H163" s="21">
        <v>-7.066646E-2</v>
      </c>
    </row>
    <row r="164" spans="1:8" x14ac:dyDescent="0.15">
      <c r="A164" s="21">
        <v>3.1640629999999999E-3</v>
      </c>
      <c r="B164" s="21">
        <f t="shared" si="4"/>
        <v>-4.0289850000000002E-2</v>
      </c>
      <c r="D164">
        <f t="shared" si="5"/>
        <v>-16.201119496855345</v>
      </c>
      <c r="G164" s="21">
        <v>5.1519559999999999E-2</v>
      </c>
      <c r="H164" s="21">
        <v>-4.0289850000000002E-2</v>
      </c>
    </row>
    <row r="165" spans="1:8" x14ac:dyDescent="0.15">
      <c r="A165" s="21">
        <v>3.1835940000000001E-3</v>
      </c>
      <c r="B165" s="21">
        <f t="shared" si="4"/>
        <v>-8.2175979999999996E-3</v>
      </c>
      <c r="D165">
        <f t="shared" si="5"/>
        <v>-3.4054119496855342</v>
      </c>
      <c r="G165" s="21">
        <v>1.0829210000000001E-2</v>
      </c>
      <c r="H165" s="21">
        <v>-8.2175979999999996E-3</v>
      </c>
    </row>
    <row r="166" spans="1:8" x14ac:dyDescent="0.15">
      <c r="A166" s="21">
        <v>3.2031249999999998E-3</v>
      </c>
      <c r="B166" s="21">
        <f t="shared" si="4"/>
        <v>2.329469E-2</v>
      </c>
      <c r="D166">
        <f t="shared" si="5"/>
        <v>9.0521163522012564</v>
      </c>
      <c r="G166" s="21">
        <v>-2.8785729999999999E-2</v>
      </c>
      <c r="H166" s="21">
        <v>2.329469E-2</v>
      </c>
    </row>
    <row r="167" spans="1:8" x14ac:dyDescent="0.15">
      <c r="A167" s="21">
        <v>3.222656E-3</v>
      </c>
      <c r="B167" s="21">
        <f t="shared" si="4"/>
        <v>5.4079599999999999E-2</v>
      </c>
      <c r="D167">
        <f t="shared" si="5"/>
        <v>21.532405660377357</v>
      </c>
      <c r="G167" s="21">
        <v>-6.8473049999999994E-2</v>
      </c>
      <c r="H167" s="21">
        <v>5.4079599999999999E-2</v>
      </c>
    </row>
    <row r="168" spans="1:8" x14ac:dyDescent="0.15">
      <c r="A168" s="21">
        <v>3.242188E-3</v>
      </c>
      <c r="B168" s="21">
        <f t="shared" si="4"/>
        <v>8.4379640000000006E-2</v>
      </c>
      <c r="D168">
        <f t="shared" si="5"/>
        <v>33.745220125786162</v>
      </c>
      <c r="G168" s="21">
        <v>-0.1073098</v>
      </c>
      <c r="H168" s="21">
        <v>8.4379640000000006E-2</v>
      </c>
    </row>
    <row r="169" spans="1:8" x14ac:dyDescent="0.15">
      <c r="A169" s="21">
        <v>3.2617190000000002E-3</v>
      </c>
      <c r="B169" s="21">
        <f t="shared" si="4"/>
        <v>0.11258170000000001</v>
      </c>
      <c r="D169">
        <f t="shared" si="5"/>
        <v>44.948364779874211</v>
      </c>
      <c r="G169" s="21">
        <v>-0.1429358</v>
      </c>
      <c r="H169" s="21">
        <v>0.11258170000000001</v>
      </c>
    </row>
    <row r="170" spans="1:8" x14ac:dyDescent="0.15">
      <c r="A170" s="21">
        <v>3.2812499999999999E-3</v>
      </c>
      <c r="B170" s="21">
        <f t="shared" si="4"/>
        <v>0.13986979999999999</v>
      </c>
      <c r="D170">
        <f t="shared" si="5"/>
        <v>56.032452830188689</v>
      </c>
      <c r="G170" s="21">
        <v>-0.17818320000000001</v>
      </c>
      <c r="H170" s="21">
        <v>0.13986979999999999</v>
      </c>
    </row>
    <row r="171" spans="1:8" x14ac:dyDescent="0.15">
      <c r="A171" s="21">
        <v>3.300781E-3</v>
      </c>
      <c r="B171" s="21">
        <f t="shared" si="4"/>
        <v>0.16575329999999999</v>
      </c>
      <c r="D171">
        <f t="shared" si="5"/>
        <v>66.439150943396228</v>
      </c>
      <c r="G171" s="21">
        <v>-0.21127650000000001</v>
      </c>
      <c r="H171" s="21">
        <v>0.16575329999999999</v>
      </c>
    </row>
    <row r="172" spans="1:8" x14ac:dyDescent="0.15">
      <c r="A172" s="21">
        <v>3.3203120000000002E-3</v>
      </c>
      <c r="B172" s="21">
        <f t="shared" si="4"/>
        <v>0.187608</v>
      </c>
      <c r="D172">
        <f t="shared" si="5"/>
        <v>75.204591194968543</v>
      </c>
      <c r="G172" s="21">
        <v>-0.23915059999999999</v>
      </c>
      <c r="H172" s="21">
        <v>0.187608</v>
      </c>
    </row>
    <row r="173" spans="1:8" x14ac:dyDescent="0.15">
      <c r="A173" s="21">
        <v>3.3398439999999998E-3</v>
      </c>
      <c r="B173" s="21">
        <f t="shared" si="4"/>
        <v>0.2067784</v>
      </c>
      <c r="D173">
        <f t="shared" si="5"/>
        <v>83.122389937106917</v>
      </c>
      <c r="G173" s="21">
        <v>-0.26432919999999999</v>
      </c>
      <c r="H173" s="21">
        <v>0.2067784</v>
      </c>
    </row>
    <row r="174" spans="1:8" x14ac:dyDescent="0.15">
      <c r="A174" s="21">
        <v>3.3593749999999999E-3</v>
      </c>
      <c r="B174" s="21">
        <f t="shared" si="4"/>
        <v>0.2234286</v>
      </c>
      <c r="D174">
        <f t="shared" si="5"/>
        <v>89.854465408805041</v>
      </c>
      <c r="G174" s="21">
        <v>-0.28573720000000002</v>
      </c>
      <c r="H174" s="21">
        <v>0.2234286</v>
      </c>
    </row>
    <row r="175" spans="1:8" x14ac:dyDescent="0.15">
      <c r="A175" s="21">
        <v>3.3789060000000001E-3</v>
      </c>
      <c r="B175" s="21">
        <f t="shared" si="4"/>
        <v>0.23603360000000001</v>
      </c>
      <c r="D175">
        <f t="shared" si="5"/>
        <v>94.906037735849054</v>
      </c>
      <c r="G175" s="21">
        <v>-0.30180119999999999</v>
      </c>
      <c r="H175" s="21">
        <v>0.23603360000000001</v>
      </c>
    </row>
    <row r="176" spans="1:8" x14ac:dyDescent="0.15">
      <c r="A176" s="21">
        <v>3.3984369999999998E-3</v>
      </c>
      <c r="B176" s="21">
        <f t="shared" si="4"/>
        <v>0.24608150000000001</v>
      </c>
      <c r="D176">
        <f t="shared" si="5"/>
        <v>99.047169811320757</v>
      </c>
      <c r="G176" s="21">
        <v>-0.31497000000000003</v>
      </c>
      <c r="H176" s="21">
        <v>0.24608150000000001</v>
      </c>
    </row>
    <row r="177" spans="1:8" x14ac:dyDescent="0.15">
      <c r="A177" s="21">
        <v>3.4179689999999999E-3</v>
      </c>
      <c r="B177" s="21">
        <f t="shared" si="4"/>
        <v>0.25287880000000001</v>
      </c>
      <c r="D177">
        <f t="shared" si="5"/>
        <v>101.80823899371069</v>
      </c>
      <c r="G177" s="21">
        <v>-0.32375019999999999</v>
      </c>
      <c r="H177" s="21">
        <v>0.25287880000000001</v>
      </c>
    </row>
    <row r="178" spans="1:8" x14ac:dyDescent="0.15">
      <c r="A178" s="21">
        <v>3.4375E-3</v>
      </c>
      <c r="B178" s="21">
        <f t="shared" si="4"/>
        <v>0.2546793</v>
      </c>
      <c r="D178">
        <f t="shared" si="5"/>
        <v>102.54261006289306</v>
      </c>
      <c r="G178" s="21">
        <v>-0.32608549999999997</v>
      </c>
      <c r="H178" s="21">
        <v>0.2546793</v>
      </c>
    </row>
    <row r="179" spans="1:8" x14ac:dyDescent="0.15">
      <c r="A179" s="21">
        <v>3.4570310000000002E-3</v>
      </c>
      <c r="B179" s="21">
        <f t="shared" si="4"/>
        <v>0.25286619999999999</v>
      </c>
      <c r="D179">
        <f t="shared" si="5"/>
        <v>101.89632075471698</v>
      </c>
      <c r="G179" s="21">
        <v>-0.32403029999999999</v>
      </c>
      <c r="H179" s="21">
        <v>0.25286619999999999</v>
      </c>
    </row>
    <row r="180" spans="1:8" x14ac:dyDescent="0.15">
      <c r="A180" s="21">
        <v>3.4765629999999998E-3</v>
      </c>
      <c r="B180" s="21">
        <f t="shared" si="4"/>
        <v>0.24756839999999999</v>
      </c>
      <c r="D180">
        <f t="shared" si="5"/>
        <v>99.845283018867931</v>
      </c>
      <c r="G180" s="21">
        <v>-0.31750800000000001</v>
      </c>
      <c r="H180" s="21">
        <v>0.24756839999999999</v>
      </c>
    </row>
    <row r="181" spans="1:8" x14ac:dyDescent="0.15">
      <c r="A181" s="21">
        <v>3.4960939999999999E-3</v>
      </c>
      <c r="B181" s="21">
        <f t="shared" si="4"/>
        <v>0.23863819999999999</v>
      </c>
      <c r="D181">
        <f t="shared" si="5"/>
        <v>96.250220125786157</v>
      </c>
      <c r="G181" s="21">
        <v>-0.30607570000000001</v>
      </c>
      <c r="H181" s="21">
        <v>0.23863819999999999</v>
      </c>
    </row>
    <row r="182" spans="1:8" x14ac:dyDescent="0.15">
      <c r="A182" s="21">
        <v>3.5156250000000001E-3</v>
      </c>
      <c r="B182" s="21">
        <f t="shared" si="4"/>
        <v>0.22651930000000001</v>
      </c>
      <c r="D182">
        <f t="shared" si="5"/>
        <v>91.411635220125774</v>
      </c>
      <c r="G182" s="21">
        <v>-0.29068899999999998</v>
      </c>
      <c r="H182" s="21">
        <v>0.22651930000000001</v>
      </c>
    </row>
    <row r="183" spans="1:8" x14ac:dyDescent="0.15">
      <c r="A183" s="21">
        <v>3.5351559999999998E-3</v>
      </c>
      <c r="B183" s="21">
        <f t="shared" si="4"/>
        <v>0.210698</v>
      </c>
      <c r="D183">
        <f t="shared" si="5"/>
        <v>85.085345911949688</v>
      </c>
      <c r="G183" s="21">
        <v>-0.27057140000000002</v>
      </c>
      <c r="H183" s="21">
        <v>0.210698</v>
      </c>
    </row>
    <row r="184" spans="1:8" x14ac:dyDescent="0.15">
      <c r="A184" s="21">
        <v>3.5546879999999999E-3</v>
      </c>
      <c r="B184" s="21">
        <f t="shared" si="4"/>
        <v>0.1917181</v>
      </c>
      <c r="D184">
        <f t="shared" si="5"/>
        <v>77.485377358490567</v>
      </c>
      <c r="G184" s="21">
        <v>-0.2464035</v>
      </c>
      <c r="H184" s="21">
        <v>0.1917181</v>
      </c>
    </row>
    <row r="185" spans="1:8" x14ac:dyDescent="0.15">
      <c r="A185" s="21">
        <v>3.574219E-3</v>
      </c>
      <c r="B185" s="21">
        <f t="shared" si="4"/>
        <v>0.1694909</v>
      </c>
      <c r="D185">
        <f t="shared" si="5"/>
        <v>68.667044025157224</v>
      </c>
      <c r="G185" s="21">
        <v>-0.21836120000000001</v>
      </c>
      <c r="H185" s="21">
        <v>0.1694909</v>
      </c>
    </row>
    <row r="186" spans="1:8" x14ac:dyDescent="0.15">
      <c r="A186" s="21">
        <v>3.5937500000000002E-3</v>
      </c>
      <c r="B186" s="21">
        <f t="shared" si="4"/>
        <v>0.1442348</v>
      </c>
      <c r="D186">
        <f t="shared" si="5"/>
        <v>58.600503144654091</v>
      </c>
      <c r="G186" s="21">
        <v>-0.1863496</v>
      </c>
      <c r="H186" s="21">
        <v>0.1442348</v>
      </c>
    </row>
    <row r="187" spans="1:8" x14ac:dyDescent="0.15">
      <c r="A187" s="21">
        <v>3.6132809999999999E-3</v>
      </c>
      <c r="B187" s="21">
        <f t="shared" si="4"/>
        <v>0.11748749999999999</v>
      </c>
      <c r="D187">
        <f t="shared" si="5"/>
        <v>48.006226415094346</v>
      </c>
      <c r="G187" s="21">
        <v>-0.15265980000000001</v>
      </c>
      <c r="H187" s="21">
        <v>0.11748749999999999</v>
      </c>
    </row>
    <row r="188" spans="1:8" x14ac:dyDescent="0.15">
      <c r="A188" s="21">
        <v>3.6328129999999999E-3</v>
      </c>
      <c r="B188" s="21">
        <f t="shared" si="4"/>
        <v>8.898035E-2</v>
      </c>
      <c r="D188">
        <f t="shared" si="5"/>
        <v>36.683459119496852</v>
      </c>
      <c r="G188" s="21">
        <v>-0.1166534</v>
      </c>
      <c r="H188" s="21">
        <v>8.898035E-2</v>
      </c>
    </row>
    <row r="189" spans="1:8" x14ac:dyDescent="0.15">
      <c r="A189" s="21">
        <v>3.6523440000000001E-3</v>
      </c>
      <c r="B189" s="21">
        <f t="shared" si="4"/>
        <v>5.8548290000000003E-2</v>
      </c>
      <c r="D189">
        <f t="shared" si="5"/>
        <v>24.482955974842767</v>
      </c>
      <c r="G189" s="21">
        <v>-7.7855800000000003E-2</v>
      </c>
      <c r="H189" s="21">
        <v>5.8548290000000003E-2</v>
      </c>
    </row>
    <row r="190" spans="1:8" x14ac:dyDescent="0.15">
      <c r="A190" s="21">
        <v>3.6718749999999998E-3</v>
      </c>
      <c r="B190" s="21">
        <f t="shared" si="4"/>
        <v>2.741269E-2</v>
      </c>
      <c r="D190">
        <f t="shared" si="5"/>
        <v>12.10791823899371</v>
      </c>
      <c r="G190" s="21">
        <v>-3.8503179999999998E-2</v>
      </c>
      <c r="H190" s="21">
        <v>2.741269E-2</v>
      </c>
    </row>
    <row r="191" spans="1:8" x14ac:dyDescent="0.15">
      <c r="A191" s="21">
        <v>3.6914059999999999E-3</v>
      </c>
      <c r="B191" s="21">
        <f t="shared" si="4"/>
        <v>-3.9373890000000003E-3</v>
      </c>
      <c r="D191">
        <f t="shared" si="5"/>
        <v>-0.37661037735849057</v>
      </c>
      <c r="G191" s="21">
        <v>1.1976210000000001E-3</v>
      </c>
      <c r="H191" s="21">
        <v>-3.9373890000000003E-3</v>
      </c>
    </row>
    <row r="192" spans="1:8" x14ac:dyDescent="0.15">
      <c r="A192" s="21">
        <v>3.710938E-3</v>
      </c>
      <c r="B192" s="21">
        <f t="shared" si="4"/>
        <v>-3.5408920000000003E-2</v>
      </c>
      <c r="D192">
        <f t="shared" si="5"/>
        <v>-13.023122641509431</v>
      </c>
      <c r="G192" s="21">
        <v>4.1413529999999997E-2</v>
      </c>
      <c r="H192" s="21">
        <v>-3.5408920000000003E-2</v>
      </c>
    </row>
    <row r="193" spans="1:8" x14ac:dyDescent="0.15">
      <c r="A193" s="21">
        <v>3.7304690000000001E-3</v>
      </c>
      <c r="B193" s="21">
        <f t="shared" si="4"/>
        <v>-6.6121899999999997E-2</v>
      </c>
      <c r="D193">
        <f t="shared" si="5"/>
        <v>-25.332119496855345</v>
      </c>
      <c r="G193" s="21">
        <v>8.0556139999999998E-2</v>
      </c>
      <c r="H193" s="21">
        <v>-6.6121899999999997E-2</v>
      </c>
    </row>
    <row r="194" spans="1:8" x14ac:dyDescent="0.15">
      <c r="A194" s="21">
        <v>3.7499999999999999E-3</v>
      </c>
      <c r="B194" s="21">
        <f t="shared" si="4"/>
        <v>-9.5589469999999996E-2</v>
      </c>
      <c r="D194">
        <f t="shared" si="5"/>
        <v>-37.089811320754713</v>
      </c>
      <c r="G194" s="21">
        <v>0.1179456</v>
      </c>
      <c r="H194" s="21">
        <v>-9.5589469999999996E-2</v>
      </c>
    </row>
    <row r="195" spans="1:8" x14ac:dyDescent="0.15">
      <c r="A195" s="21">
        <v>3.769531E-3</v>
      </c>
      <c r="B195" s="21">
        <f t="shared" ref="B195:B258" si="6">H195</f>
        <v>-0.1237458</v>
      </c>
      <c r="D195">
        <f t="shared" ref="D195:D258" si="7">G195*-1000/3.18</f>
        <v>-48.386635220125783</v>
      </c>
      <c r="G195" s="21">
        <v>0.15386949999999999</v>
      </c>
      <c r="H195" s="21">
        <v>-0.1237458</v>
      </c>
    </row>
    <row r="196" spans="1:8" x14ac:dyDescent="0.15">
      <c r="A196" s="21">
        <v>3.7890620000000002E-3</v>
      </c>
      <c r="B196" s="21">
        <f t="shared" si="6"/>
        <v>-0.14981069999999999</v>
      </c>
      <c r="D196">
        <f t="shared" si="7"/>
        <v>-58.906100628930815</v>
      </c>
      <c r="G196" s="21">
        <v>0.1873214</v>
      </c>
      <c r="H196" s="21">
        <v>-0.14981069999999999</v>
      </c>
    </row>
    <row r="197" spans="1:8" x14ac:dyDescent="0.15">
      <c r="A197" s="21">
        <v>3.8085940000000002E-3</v>
      </c>
      <c r="B197" s="21">
        <f t="shared" si="6"/>
        <v>-0.1738217</v>
      </c>
      <c r="D197">
        <f t="shared" si="7"/>
        <v>-68.599150943396225</v>
      </c>
      <c r="G197" s="21">
        <v>0.21814529999999999</v>
      </c>
      <c r="H197" s="21">
        <v>-0.1738217</v>
      </c>
    </row>
    <row r="198" spans="1:8" x14ac:dyDescent="0.15">
      <c r="A198" s="21">
        <v>3.8281249999999999E-3</v>
      </c>
      <c r="B198" s="21">
        <f t="shared" si="6"/>
        <v>-0.1957865</v>
      </c>
      <c r="D198">
        <f t="shared" si="7"/>
        <v>-77.445031446540881</v>
      </c>
      <c r="G198" s="21">
        <v>0.2462752</v>
      </c>
      <c r="H198" s="21">
        <v>-0.1957865</v>
      </c>
    </row>
    <row r="199" spans="1:8" x14ac:dyDescent="0.15">
      <c r="A199" s="21">
        <v>3.8476560000000001E-3</v>
      </c>
      <c r="B199" s="21">
        <f t="shared" si="6"/>
        <v>-0.21399580000000001</v>
      </c>
      <c r="D199">
        <f t="shared" si="7"/>
        <v>-84.744685534591198</v>
      </c>
      <c r="G199" s="21">
        <v>0.26948810000000001</v>
      </c>
      <c r="H199" s="21">
        <v>-0.21399580000000001</v>
      </c>
    </row>
    <row r="200" spans="1:8" x14ac:dyDescent="0.15">
      <c r="A200" s="21">
        <v>3.8671869999999998E-3</v>
      </c>
      <c r="B200" s="21">
        <f t="shared" si="6"/>
        <v>-0.2283287</v>
      </c>
      <c r="D200">
        <f t="shared" si="7"/>
        <v>-90.644496855345906</v>
      </c>
      <c r="G200" s="21">
        <v>0.28824949999999999</v>
      </c>
      <c r="H200" s="21">
        <v>-0.2283287</v>
      </c>
    </row>
    <row r="201" spans="1:8" x14ac:dyDescent="0.15">
      <c r="A201" s="21">
        <v>3.8867189999999999E-3</v>
      </c>
      <c r="B201" s="21">
        <f t="shared" si="6"/>
        <v>-0.24021000000000001</v>
      </c>
      <c r="D201">
        <f t="shared" si="7"/>
        <v>-95.567672955974828</v>
      </c>
      <c r="G201" s="21">
        <v>0.30390519999999999</v>
      </c>
      <c r="H201" s="21">
        <v>-0.24021000000000001</v>
      </c>
    </row>
    <row r="202" spans="1:8" x14ac:dyDescent="0.15">
      <c r="A202" s="21">
        <v>3.90625E-3</v>
      </c>
      <c r="B202" s="21">
        <f t="shared" si="6"/>
        <v>-0.24862219999999999</v>
      </c>
      <c r="D202">
        <f t="shared" si="7"/>
        <v>-98.927610062893066</v>
      </c>
      <c r="G202" s="21">
        <v>0.31458979999999998</v>
      </c>
      <c r="H202" s="21">
        <v>-0.24862219999999999</v>
      </c>
    </row>
    <row r="203" spans="1:8" x14ac:dyDescent="0.15">
      <c r="A203" s="21">
        <v>3.9257809999999997E-3</v>
      </c>
      <c r="B203" s="21">
        <f t="shared" si="6"/>
        <v>-0.2530597</v>
      </c>
      <c r="D203">
        <f t="shared" si="7"/>
        <v>-100.82430817610063</v>
      </c>
      <c r="G203" s="21">
        <v>0.3206213</v>
      </c>
      <c r="H203" s="21">
        <v>-0.2530597</v>
      </c>
    </row>
    <row r="204" spans="1:8" x14ac:dyDescent="0.15">
      <c r="A204" s="21">
        <v>3.9453129999999998E-3</v>
      </c>
      <c r="B204" s="21">
        <f t="shared" si="6"/>
        <v>-0.25442409999999999</v>
      </c>
      <c r="D204">
        <f t="shared" si="7"/>
        <v>-101.46371069182391</v>
      </c>
      <c r="G204" s="21">
        <v>0.32265460000000001</v>
      </c>
      <c r="H204" s="21">
        <v>-0.25442409999999999</v>
      </c>
    </row>
    <row r="205" spans="1:8" x14ac:dyDescent="0.15">
      <c r="A205" s="21">
        <v>3.9648440000000004E-3</v>
      </c>
      <c r="B205" s="21">
        <f t="shared" si="6"/>
        <v>-0.25129659999999998</v>
      </c>
      <c r="D205">
        <f t="shared" si="7"/>
        <v>-100.24367924528302</v>
      </c>
      <c r="G205" s="21">
        <v>0.31877490000000003</v>
      </c>
      <c r="H205" s="21">
        <v>-0.25129659999999998</v>
      </c>
    </row>
    <row r="206" spans="1:8" x14ac:dyDescent="0.15">
      <c r="A206" s="21">
        <v>3.9843750000000001E-3</v>
      </c>
      <c r="B206" s="21">
        <f t="shared" si="6"/>
        <v>-0.2439537</v>
      </c>
      <c r="D206">
        <f t="shared" si="7"/>
        <v>-97.440220125786169</v>
      </c>
      <c r="G206" s="21">
        <v>0.30985990000000002</v>
      </c>
      <c r="H206" s="21">
        <v>-0.2439537</v>
      </c>
    </row>
    <row r="207" spans="1:8" x14ac:dyDescent="0.15">
      <c r="A207" s="21">
        <v>4.0039059999999998E-3</v>
      </c>
      <c r="B207" s="21">
        <f t="shared" si="6"/>
        <v>-0.2338344</v>
      </c>
      <c r="D207">
        <f t="shared" si="7"/>
        <v>-93.413144654088029</v>
      </c>
      <c r="G207" s="21">
        <v>0.29705379999999998</v>
      </c>
      <c r="H207" s="21">
        <v>-0.2338344</v>
      </c>
    </row>
    <row r="208" spans="1:8" x14ac:dyDescent="0.15">
      <c r="A208" s="21">
        <v>4.0234379999999998E-3</v>
      </c>
      <c r="B208" s="21">
        <f t="shared" si="6"/>
        <v>-0.21998809999999999</v>
      </c>
      <c r="D208">
        <f t="shared" si="7"/>
        <v>-87.941729559748424</v>
      </c>
      <c r="G208" s="21">
        <v>0.27965469999999998</v>
      </c>
      <c r="H208" s="21">
        <v>-0.21998809999999999</v>
      </c>
    </row>
    <row r="209" spans="1:8" x14ac:dyDescent="0.15">
      <c r="A209" s="21">
        <v>4.0429690000000004E-3</v>
      </c>
      <c r="B209" s="21">
        <f t="shared" si="6"/>
        <v>-0.20292399999999999</v>
      </c>
      <c r="D209">
        <f t="shared" si="7"/>
        <v>-81.214528301886787</v>
      </c>
      <c r="G209" s="21">
        <v>0.2582622</v>
      </c>
      <c r="H209" s="21">
        <v>-0.20292399999999999</v>
      </c>
    </row>
    <row r="210" spans="1:8" x14ac:dyDescent="0.15">
      <c r="A210" s="21">
        <v>4.0625000000000001E-3</v>
      </c>
      <c r="B210" s="21">
        <f t="shared" si="6"/>
        <v>-0.1829895</v>
      </c>
      <c r="D210">
        <f t="shared" si="7"/>
        <v>-73.196257861635218</v>
      </c>
      <c r="G210" s="21">
        <v>0.2327641</v>
      </c>
      <c r="H210" s="21">
        <v>-0.1829895</v>
      </c>
    </row>
    <row r="211" spans="1:8" x14ac:dyDescent="0.15">
      <c r="A211" s="21">
        <v>4.0820309999999999E-3</v>
      </c>
      <c r="B211" s="21">
        <f t="shared" si="6"/>
        <v>-0.1594198</v>
      </c>
      <c r="D211">
        <f t="shared" si="7"/>
        <v>-63.775974842767297</v>
      </c>
      <c r="G211" s="21">
        <v>0.2028076</v>
      </c>
      <c r="H211" s="21">
        <v>-0.1594198</v>
      </c>
    </row>
    <row r="212" spans="1:8" x14ac:dyDescent="0.15">
      <c r="A212" s="21">
        <v>4.1015629999999999E-3</v>
      </c>
      <c r="B212" s="21">
        <f t="shared" si="6"/>
        <v>-0.1334756</v>
      </c>
      <c r="D212">
        <f t="shared" si="7"/>
        <v>-53.499276729559746</v>
      </c>
      <c r="G212" s="21">
        <v>0.17012769999999999</v>
      </c>
      <c r="H212" s="21">
        <v>-0.1334756</v>
      </c>
    </row>
    <row r="213" spans="1:8" x14ac:dyDescent="0.15">
      <c r="A213" s="21">
        <v>4.1210939999999996E-3</v>
      </c>
      <c r="B213" s="21">
        <f t="shared" si="6"/>
        <v>-0.1058062</v>
      </c>
      <c r="D213">
        <f t="shared" si="7"/>
        <v>-42.485314465408806</v>
      </c>
      <c r="G213" s="21">
        <v>0.13510330000000001</v>
      </c>
      <c r="H213" s="21">
        <v>-0.1058062</v>
      </c>
    </row>
    <row r="214" spans="1:8" x14ac:dyDescent="0.15">
      <c r="A214" s="21">
        <v>4.1406250000000002E-3</v>
      </c>
      <c r="B214" s="21">
        <f t="shared" si="6"/>
        <v>-7.6354790000000006E-2</v>
      </c>
      <c r="D214">
        <f t="shared" si="7"/>
        <v>-30.701405660377358</v>
      </c>
      <c r="G214" s="21">
        <v>9.7630469999999997E-2</v>
      </c>
      <c r="H214" s="21">
        <v>-7.6354790000000006E-2</v>
      </c>
    </row>
    <row r="215" spans="1:8" x14ac:dyDescent="0.15">
      <c r="A215" s="21">
        <v>4.1601559999999999E-3</v>
      </c>
      <c r="B215" s="21">
        <f t="shared" si="6"/>
        <v>-4.6319890000000002E-2</v>
      </c>
      <c r="D215">
        <f t="shared" si="7"/>
        <v>-18.776358490566039</v>
      </c>
      <c r="G215" s="21">
        <v>5.9708820000000003E-2</v>
      </c>
      <c r="H215" s="21">
        <v>-4.6319890000000002E-2</v>
      </c>
    </row>
    <row r="216" spans="1:8" x14ac:dyDescent="0.15">
      <c r="A216" s="21">
        <v>4.179688E-3</v>
      </c>
      <c r="B216" s="21">
        <f t="shared" si="6"/>
        <v>-1.537884E-2</v>
      </c>
      <c r="D216">
        <f t="shared" si="7"/>
        <v>-6.356937106918239</v>
      </c>
      <c r="G216" s="21">
        <v>2.021506E-2</v>
      </c>
      <c r="H216" s="21">
        <v>-1.537884E-2</v>
      </c>
    </row>
    <row r="217" spans="1:8" x14ac:dyDescent="0.15">
      <c r="A217" s="21">
        <v>4.1992189999999997E-3</v>
      </c>
      <c r="B217" s="21">
        <f t="shared" si="6"/>
        <v>1.6901010000000001E-2</v>
      </c>
      <c r="D217">
        <f t="shared" si="7"/>
        <v>6.6739937106918239</v>
      </c>
      <c r="G217" s="21">
        <v>-2.12233E-2</v>
      </c>
      <c r="H217" s="21">
        <v>1.6901010000000001E-2</v>
      </c>
    </row>
    <row r="218" spans="1:8" x14ac:dyDescent="0.15">
      <c r="A218" s="21">
        <v>4.2187500000000003E-3</v>
      </c>
      <c r="B218" s="21">
        <f t="shared" si="6"/>
        <v>4.8276090000000001E-2</v>
      </c>
      <c r="D218">
        <f t="shared" si="7"/>
        <v>19.165053459119495</v>
      </c>
      <c r="G218" s="21">
        <v>-6.0944869999999998E-2</v>
      </c>
      <c r="H218" s="21">
        <v>4.8276090000000001E-2</v>
      </c>
    </row>
    <row r="219" spans="1:8" x14ac:dyDescent="0.15">
      <c r="A219" s="21">
        <v>4.238281E-3</v>
      </c>
      <c r="B219" s="21">
        <f t="shared" si="6"/>
        <v>7.8221089999999993E-2</v>
      </c>
      <c r="D219">
        <f t="shared" si="7"/>
        <v>31.234355345911947</v>
      </c>
      <c r="G219" s="21">
        <v>-9.9325250000000004E-2</v>
      </c>
      <c r="H219" s="21">
        <v>7.8221089999999993E-2</v>
      </c>
    </row>
    <row r="220" spans="1:8" x14ac:dyDescent="0.15">
      <c r="A220" s="21">
        <v>4.257813E-3</v>
      </c>
      <c r="B220" s="21">
        <f t="shared" si="6"/>
        <v>0.1073146</v>
      </c>
      <c r="D220">
        <f t="shared" si="7"/>
        <v>42.965283018867915</v>
      </c>
      <c r="G220" s="21">
        <v>-0.13662959999999999</v>
      </c>
      <c r="H220" s="21">
        <v>0.1073146</v>
      </c>
    </row>
    <row r="221" spans="1:8" x14ac:dyDescent="0.15">
      <c r="A221" s="21">
        <v>4.2773439999999998E-3</v>
      </c>
      <c r="B221" s="21">
        <f t="shared" si="6"/>
        <v>0.13441249999999999</v>
      </c>
      <c r="D221">
        <f t="shared" si="7"/>
        <v>53.85427672955975</v>
      </c>
      <c r="G221" s="21">
        <v>-0.17125660000000001</v>
      </c>
      <c r="H221" s="21">
        <v>0.13441249999999999</v>
      </c>
    </row>
    <row r="222" spans="1:8" x14ac:dyDescent="0.15">
      <c r="A222" s="21">
        <v>4.2968750000000003E-3</v>
      </c>
      <c r="B222" s="21">
        <f t="shared" si="6"/>
        <v>0.15975900000000001</v>
      </c>
      <c r="D222">
        <f t="shared" si="7"/>
        <v>64.126698113207539</v>
      </c>
      <c r="G222" s="21">
        <v>-0.20392289999999999</v>
      </c>
      <c r="H222" s="21">
        <v>0.15975900000000001</v>
      </c>
    </row>
    <row r="223" spans="1:8" x14ac:dyDescent="0.15">
      <c r="A223" s="21">
        <v>4.3164060000000001E-3</v>
      </c>
      <c r="B223" s="21">
        <f t="shared" si="6"/>
        <v>0.1830765</v>
      </c>
      <c r="D223">
        <f t="shared" si="7"/>
        <v>73.465000000000003</v>
      </c>
      <c r="G223" s="21">
        <v>-0.23361870000000001</v>
      </c>
      <c r="H223" s="21">
        <v>0.1830765</v>
      </c>
    </row>
    <row r="224" spans="1:8" x14ac:dyDescent="0.15">
      <c r="A224" s="21">
        <v>4.3359380000000001E-3</v>
      </c>
      <c r="B224" s="21">
        <f t="shared" si="6"/>
        <v>0.20324149999999999</v>
      </c>
      <c r="D224">
        <f t="shared" si="7"/>
        <v>81.650660377358491</v>
      </c>
      <c r="G224" s="21">
        <v>-0.25964910000000002</v>
      </c>
      <c r="H224" s="21">
        <v>0.20324149999999999</v>
      </c>
    </row>
    <row r="225" spans="1:8" x14ac:dyDescent="0.15">
      <c r="A225" s="21">
        <v>4.3554689999999998E-3</v>
      </c>
      <c r="B225" s="21">
        <f t="shared" si="6"/>
        <v>0.22031629999999999</v>
      </c>
      <c r="D225">
        <f t="shared" si="7"/>
        <v>88.600503144654084</v>
      </c>
      <c r="G225" s="21">
        <v>-0.28174959999999999</v>
      </c>
      <c r="H225" s="21">
        <v>0.22031629999999999</v>
      </c>
    </row>
    <row r="226" spans="1:8" x14ac:dyDescent="0.15">
      <c r="A226" s="21">
        <v>4.3750000000000004E-3</v>
      </c>
      <c r="B226" s="21">
        <f t="shared" si="6"/>
        <v>0.23348079999999999</v>
      </c>
      <c r="D226">
        <f t="shared" si="7"/>
        <v>93.905345911949695</v>
      </c>
      <c r="G226" s="21">
        <v>-0.29861900000000002</v>
      </c>
      <c r="H226" s="21">
        <v>0.23348079999999999</v>
      </c>
    </row>
    <row r="227" spans="1:8" x14ac:dyDescent="0.15">
      <c r="A227" s="21">
        <v>4.3945310000000001E-3</v>
      </c>
      <c r="B227" s="21">
        <f t="shared" si="6"/>
        <v>0.24360989999999999</v>
      </c>
      <c r="D227">
        <f t="shared" si="7"/>
        <v>98.119025157232684</v>
      </c>
      <c r="G227" s="21">
        <v>-0.31201849999999998</v>
      </c>
      <c r="H227" s="21">
        <v>0.24360989999999999</v>
      </c>
    </row>
    <row r="228" spans="1:8" x14ac:dyDescent="0.15">
      <c r="A228" s="21">
        <v>4.4140630000000002E-3</v>
      </c>
      <c r="B228" s="21">
        <f t="shared" si="6"/>
        <v>0.25134610000000002</v>
      </c>
      <c r="D228">
        <f t="shared" si="7"/>
        <v>101.24789308176101</v>
      </c>
      <c r="G228" s="21">
        <v>-0.32196829999999999</v>
      </c>
      <c r="H228" s="21">
        <v>0.25134610000000002</v>
      </c>
    </row>
    <row r="229" spans="1:8" x14ac:dyDescent="0.15">
      <c r="A229" s="21">
        <v>4.4335939999999999E-3</v>
      </c>
      <c r="B229" s="21">
        <f t="shared" si="6"/>
        <v>0.25421050000000001</v>
      </c>
      <c r="D229">
        <f t="shared" si="7"/>
        <v>102.32059748427673</v>
      </c>
      <c r="G229" s="21">
        <v>-0.32537949999999999</v>
      </c>
      <c r="H229" s="21">
        <v>0.25421050000000001</v>
      </c>
    </row>
    <row r="230" spans="1:8" x14ac:dyDescent="0.15">
      <c r="A230" s="21">
        <v>4.4531249999999996E-3</v>
      </c>
      <c r="B230" s="21">
        <f t="shared" si="6"/>
        <v>0.25325300000000001</v>
      </c>
      <c r="D230">
        <f t="shared" si="7"/>
        <v>101.99355345911948</v>
      </c>
      <c r="G230" s="21">
        <v>-0.3243395</v>
      </c>
      <c r="H230" s="21">
        <v>0.25325300000000001</v>
      </c>
    </row>
    <row r="231" spans="1:8" x14ac:dyDescent="0.15">
      <c r="A231" s="21">
        <v>4.4726560000000002E-3</v>
      </c>
      <c r="B231" s="21">
        <f t="shared" si="6"/>
        <v>0.24945139999999999</v>
      </c>
      <c r="D231">
        <f t="shared" si="7"/>
        <v>100.58279874213835</v>
      </c>
      <c r="G231" s="21">
        <v>-0.31985330000000001</v>
      </c>
      <c r="H231" s="21">
        <v>0.24945139999999999</v>
      </c>
    </row>
    <row r="232" spans="1:8" x14ac:dyDescent="0.15">
      <c r="A232" s="21">
        <v>4.4921880000000003E-3</v>
      </c>
      <c r="B232" s="21">
        <f t="shared" si="6"/>
        <v>0.24049429999999999</v>
      </c>
      <c r="D232">
        <f t="shared" si="7"/>
        <v>96.942515723270432</v>
      </c>
      <c r="G232" s="21">
        <v>-0.30827719999999997</v>
      </c>
      <c r="H232" s="21">
        <v>0.24049429999999999</v>
      </c>
    </row>
    <row r="233" spans="1:8" x14ac:dyDescent="0.15">
      <c r="A233" s="21">
        <v>4.511719E-3</v>
      </c>
      <c r="B233" s="21">
        <f t="shared" si="6"/>
        <v>0.2282904</v>
      </c>
      <c r="D233">
        <f t="shared" si="7"/>
        <v>92.034779874213825</v>
      </c>
      <c r="G233" s="21">
        <v>-0.2926706</v>
      </c>
      <c r="H233" s="21">
        <v>0.2282904</v>
      </c>
    </row>
    <row r="234" spans="1:8" x14ac:dyDescent="0.15">
      <c r="A234" s="21">
        <v>4.5312499999999997E-3</v>
      </c>
      <c r="B234" s="21">
        <f t="shared" si="6"/>
        <v>0.2139364</v>
      </c>
      <c r="D234">
        <f t="shared" si="7"/>
        <v>86.419339622641502</v>
      </c>
      <c r="G234" s="21">
        <v>-0.27481349999999999</v>
      </c>
      <c r="H234" s="21">
        <v>0.2139364</v>
      </c>
    </row>
    <row r="235" spans="1:8" x14ac:dyDescent="0.15">
      <c r="A235" s="21">
        <v>4.5507810000000003E-3</v>
      </c>
      <c r="B235" s="21">
        <f t="shared" si="6"/>
        <v>0.19533790000000001</v>
      </c>
      <c r="D235">
        <f t="shared" si="7"/>
        <v>78.970597484276709</v>
      </c>
      <c r="G235" s="21">
        <v>-0.25112649999999997</v>
      </c>
      <c r="H235" s="21">
        <v>0.19533790000000001</v>
      </c>
    </row>
    <row r="236" spans="1:8" x14ac:dyDescent="0.15">
      <c r="A236" s="21">
        <v>4.570312E-3</v>
      </c>
      <c r="B236" s="21">
        <f t="shared" si="6"/>
        <v>0.17391019999999999</v>
      </c>
      <c r="D236">
        <f t="shared" si="7"/>
        <v>70.44971698113207</v>
      </c>
      <c r="G236" s="21">
        <v>-0.22403010000000001</v>
      </c>
      <c r="H236" s="21">
        <v>0.17391019999999999</v>
      </c>
    </row>
    <row r="237" spans="1:8" x14ac:dyDescent="0.15">
      <c r="A237" s="21">
        <v>4.589844E-3</v>
      </c>
      <c r="B237" s="21">
        <f t="shared" si="6"/>
        <v>0.15001419999999999</v>
      </c>
      <c r="D237">
        <f t="shared" si="7"/>
        <v>60.967641509433953</v>
      </c>
      <c r="G237" s="21">
        <v>-0.1938771</v>
      </c>
      <c r="H237" s="21">
        <v>0.15001419999999999</v>
      </c>
    </row>
    <row r="238" spans="1:8" x14ac:dyDescent="0.15">
      <c r="A238" s="21">
        <v>4.6093749999999998E-3</v>
      </c>
      <c r="B238" s="21">
        <f t="shared" si="6"/>
        <v>0.1227731</v>
      </c>
      <c r="D238">
        <f t="shared" si="7"/>
        <v>50.080754716981126</v>
      </c>
      <c r="G238" s="21">
        <v>-0.1592568</v>
      </c>
      <c r="H238" s="21">
        <v>0.1227731</v>
      </c>
    </row>
    <row r="239" spans="1:8" x14ac:dyDescent="0.15">
      <c r="A239" s="21">
        <v>4.6289060000000003E-3</v>
      </c>
      <c r="B239" s="21">
        <f t="shared" si="6"/>
        <v>9.4209370000000001E-2</v>
      </c>
      <c r="D239">
        <f t="shared" si="7"/>
        <v>38.82663522012578</v>
      </c>
      <c r="G239" s="21">
        <v>-0.1234687</v>
      </c>
      <c r="H239" s="21">
        <v>9.4209370000000001E-2</v>
      </c>
    </row>
    <row r="240" spans="1:8" x14ac:dyDescent="0.15">
      <c r="A240" s="21">
        <v>4.6484370000000001E-3</v>
      </c>
      <c r="B240" s="21">
        <f t="shared" si="6"/>
        <v>6.4513790000000001E-2</v>
      </c>
      <c r="D240">
        <f t="shared" si="7"/>
        <v>26.977487421383646</v>
      </c>
      <c r="G240" s="21">
        <v>-8.5788409999999996E-2</v>
      </c>
      <c r="H240" s="21">
        <v>6.4513790000000001E-2</v>
      </c>
    </row>
    <row r="241" spans="1:8" x14ac:dyDescent="0.15">
      <c r="A241" s="21">
        <v>4.6679690000000001E-3</v>
      </c>
      <c r="B241" s="21">
        <f t="shared" si="6"/>
        <v>3.3332059999999997E-2</v>
      </c>
      <c r="D241">
        <f t="shared" si="7"/>
        <v>14.466459119496854</v>
      </c>
      <c r="G241" s="21">
        <v>-4.6003339999999997E-2</v>
      </c>
      <c r="H241" s="21">
        <v>3.3332059999999997E-2</v>
      </c>
    </row>
    <row r="242" spans="1:8" x14ac:dyDescent="0.15">
      <c r="A242" s="21">
        <v>4.6874999999999998E-3</v>
      </c>
      <c r="B242" s="21">
        <f t="shared" si="6"/>
        <v>2.2932370000000001E-3</v>
      </c>
      <c r="D242">
        <f t="shared" si="7"/>
        <v>2.1080393081761004</v>
      </c>
      <c r="G242" s="21">
        <v>-6.7035649999999999E-3</v>
      </c>
      <c r="H242" s="21">
        <v>2.2932370000000001E-3</v>
      </c>
    </row>
    <row r="243" spans="1:8" x14ac:dyDescent="0.15">
      <c r="A243" s="21">
        <v>4.7070310000000004E-3</v>
      </c>
      <c r="B243" s="21">
        <f t="shared" si="6"/>
        <v>-2.9013319999999999E-2</v>
      </c>
      <c r="D243">
        <f t="shared" si="7"/>
        <v>-10.508128930817609</v>
      </c>
      <c r="G243" s="21">
        <v>3.3415849999999997E-2</v>
      </c>
      <c r="H243" s="21">
        <v>-2.9013319999999999E-2</v>
      </c>
    </row>
    <row r="244" spans="1:8" x14ac:dyDescent="0.15">
      <c r="A244" s="21">
        <v>4.7265620000000001E-3</v>
      </c>
      <c r="B244" s="21">
        <f t="shared" si="6"/>
        <v>-6.053584E-2</v>
      </c>
      <c r="D244">
        <f t="shared" si="7"/>
        <v>-23.088342767295597</v>
      </c>
      <c r="G244" s="21">
        <v>7.3420929999999995E-2</v>
      </c>
      <c r="H244" s="21">
        <v>-6.053584E-2</v>
      </c>
    </row>
    <row r="245" spans="1:8" x14ac:dyDescent="0.15">
      <c r="A245" s="21">
        <v>4.7460940000000002E-3</v>
      </c>
      <c r="B245" s="21">
        <f t="shared" si="6"/>
        <v>-9.0294910000000006E-2</v>
      </c>
      <c r="D245">
        <f t="shared" si="7"/>
        <v>-34.912704402515722</v>
      </c>
      <c r="G245" s="21">
        <v>0.11102239999999999</v>
      </c>
      <c r="H245" s="21">
        <v>-9.0294910000000006E-2</v>
      </c>
    </row>
    <row r="246" spans="1:8" x14ac:dyDescent="0.15">
      <c r="A246" s="21">
        <v>4.7656249999999999E-3</v>
      </c>
      <c r="B246" s="21">
        <f t="shared" si="6"/>
        <v>-0.1186045</v>
      </c>
      <c r="D246">
        <f t="shared" si="7"/>
        <v>-46.36336477987421</v>
      </c>
      <c r="G246" s="21">
        <v>0.1474355</v>
      </c>
      <c r="H246" s="21">
        <v>-0.1186045</v>
      </c>
    </row>
    <row r="247" spans="1:8" x14ac:dyDescent="0.15">
      <c r="A247" s="21">
        <v>4.7851559999999996E-3</v>
      </c>
      <c r="B247" s="21">
        <f t="shared" si="6"/>
        <v>-0.1452852</v>
      </c>
      <c r="D247">
        <f t="shared" si="7"/>
        <v>-57.08930817610063</v>
      </c>
      <c r="G247" s="21">
        <v>0.18154400000000001</v>
      </c>
      <c r="H247" s="21">
        <v>-0.1452852</v>
      </c>
    </row>
    <row r="248" spans="1:8" x14ac:dyDescent="0.15">
      <c r="A248" s="21">
        <v>4.8046870000000002E-3</v>
      </c>
      <c r="B248" s="21">
        <f t="shared" si="6"/>
        <v>-0.16948849999999999</v>
      </c>
      <c r="D248">
        <f t="shared" si="7"/>
        <v>-66.803553459119485</v>
      </c>
      <c r="G248" s="21">
        <v>0.21243529999999999</v>
      </c>
      <c r="H248" s="21">
        <v>-0.16948849999999999</v>
      </c>
    </row>
    <row r="249" spans="1:8" x14ac:dyDescent="0.15">
      <c r="A249" s="21">
        <v>4.8242190000000003E-3</v>
      </c>
      <c r="B249" s="21">
        <f t="shared" si="6"/>
        <v>-0.1920018</v>
      </c>
      <c r="D249">
        <f t="shared" si="7"/>
        <v>-75.917044025157224</v>
      </c>
      <c r="G249" s="21">
        <v>0.2414162</v>
      </c>
      <c r="H249" s="21">
        <v>-0.1920018</v>
      </c>
    </row>
    <row r="250" spans="1:8" x14ac:dyDescent="0.15">
      <c r="A250" s="21">
        <v>4.84375E-3</v>
      </c>
      <c r="B250" s="21">
        <f t="shared" si="6"/>
        <v>-0.2111276</v>
      </c>
      <c r="D250">
        <f t="shared" si="7"/>
        <v>-83.583679245283008</v>
      </c>
      <c r="G250" s="21">
        <v>0.26579609999999998</v>
      </c>
      <c r="H250" s="21">
        <v>-0.2111276</v>
      </c>
    </row>
    <row r="251" spans="1:8" x14ac:dyDescent="0.15">
      <c r="A251" s="21">
        <v>4.8632809999999997E-3</v>
      </c>
      <c r="B251" s="21">
        <f t="shared" si="6"/>
        <v>-0.2260315</v>
      </c>
      <c r="D251">
        <f t="shared" si="7"/>
        <v>-89.641855345911949</v>
      </c>
      <c r="G251" s="21">
        <v>0.28506110000000001</v>
      </c>
      <c r="H251" s="21">
        <v>-0.2260315</v>
      </c>
    </row>
    <row r="252" spans="1:8" x14ac:dyDescent="0.15">
      <c r="A252" s="21">
        <v>4.8828120000000003E-3</v>
      </c>
      <c r="B252" s="21">
        <f t="shared" si="6"/>
        <v>-0.23854529999999999</v>
      </c>
      <c r="D252">
        <f t="shared" si="7"/>
        <v>-94.898081761006281</v>
      </c>
      <c r="G252" s="21">
        <v>0.30177589999999999</v>
      </c>
      <c r="H252" s="21">
        <v>-0.23854529999999999</v>
      </c>
    </row>
    <row r="253" spans="1:8" x14ac:dyDescent="0.15">
      <c r="A253" s="21">
        <v>4.9023440000000003E-3</v>
      </c>
      <c r="B253" s="21">
        <f t="shared" si="6"/>
        <v>-0.24777840000000001</v>
      </c>
      <c r="D253">
        <f t="shared" si="7"/>
        <v>-98.615817610062891</v>
      </c>
      <c r="G253" s="21">
        <v>0.3135983</v>
      </c>
      <c r="H253" s="21">
        <v>-0.24777840000000001</v>
      </c>
    </row>
    <row r="254" spans="1:8" x14ac:dyDescent="0.15">
      <c r="A254" s="21">
        <v>4.921875E-3</v>
      </c>
      <c r="B254" s="21">
        <f t="shared" si="6"/>
        <v>-0.25297839999999999</v>
      </c>
      <c r="D254">
        <f t="shared" si="7"/>
        <v>-100.64896226415094</v>
      </c>
      <c r="G254" s="21">
        <v>0.32006370000000001</v>
      </c>
      <c r="H254" s="21">
        <v>-0.25297839999999999</v>
      </c>
    </row>
    <row r="255" spans="1:8" x14ac:dyDescent="0.15">
      <c r="A255" s="21">
        <v>4.9414059999999997E-3</v>
      </c>
      <c r="B255" s="21">
        <f t="shared" si="6"/>
        <v>-0.25461689999999998</v>
      </c>
      <c r="D255">
        <f t="shared" si="7"/>
        <v>-101.49100628930817</v>
      </c>
      <c r="G255" s="21">
        <v>0.32274140000000001</v>
      </c>
      <c r="H255" s="21">
        <v>-0.25461689999999998</v>
      </c>
    </row>
    <row r="256" spans="1:8" x14ac:dyDescent="0.15">
      <c r="A256" s="21">
        <v>4.9609379999999998E-3</v>
      </c>
      <c r="B256" s="21">
        <f t="shared" si="6"/>
        <v>-0.25230839999999999</v>
      </c>
      <c r="D256">
        <f t="shared" si="7"/>
        <v>-100.69786163522012</v>
      </c>
      <c r="G256" s="21">
        <v>0.32021919999999998</v>
      </c>
      <c r="H256" s="21">
        <v>-0.25230839999999999</v>
      </c>
    </row>
    <row r="257" spans="1:8" x14ac:dyDescent="0.15">
      <c r="A257" s="21">
        <v>4.9804690000000004E-3</v>
      </c>
      <c r="B257" s="21">
        <f t="shared" si="6"/>
        <v>-0.24623439999999999</v>
      </c>
      <c r="D257">
        <f t="shared" si="7"/>
        <v>-98.310031446540876</v>
      </c>
      <c r="G257" s="21">
        <v>0.31262590000000001</v>
      </c>
      <c r="H257" s="21">
        <v>-0.24623439999999999</v>
      </c>
    </row>
    <row r="258" spans="1:8" x14ac:dyDescent="0.15">
      <c r="A258" s="21">
        <v>5.0000000000000001E-3</v>
      </c>
      <c r="B258" s="21">
        <f t="shared" si="6"/>
        <v>-0.2363122</v>
      </c>
      <c r="D258">
        <f t="shared" si="7"/>
        <v>-94.384937106918244</v>
      </c>
      <c r="G258" s="21">
        <v>0.30014410000000002</v>
      </c>
      <c r="H258" s="21">
        <v>-0.2363122</v>
      </c>
    </row>
    <row r="259" spans="1:8" x14ac:dyDescent="0.15">
      <c r="A259" s="21">
        <v>5.0195309999999998E-3</v>
      </c>
      <c r="B259" s="21">
        <f t="shared" ref="B259:B322" si="8">H259</f>
        <v>-0.22306000000000001</v>
      </c>
      <c r="D259">
        <f t="shared" ref="D259:D322" si="9">G259*-1000/3.18</f>
        <v>-89.150062893081767</v>
      </c>
      <c r="G259" s="21">
        <v>0.2834972</v>
      </c>
      <c r="H259" s="21">
        <v>-0.22306000000000001</v>
      </c>
    </row>
    <row r="260" spans="1:8" x14ac:dyDescent="0.15">
      <c r="A260" s="21">
        <v>5.0390629999999999E-3</v>
      </c>
      <c r="B260" s="21">
        <f t="shared" si="8"/>
        <v>-0.20720060000000001</v>
      </c>
      <c r="D260">
        <f t="shared" si="9"/>
        <v>-82.919182389937106</v>
      </c>
      <c r="G260" s="21">
        <v>0.263683</v>
      </c>
      <c r="H260" s="21">
        <v>-0.20720060000000001</v>
      </c>
    </row>
    <row r="261" spans="1:8" x14ac:dyDescent="0.15">
      <c r="A261" s="21">
        <v>5.0585939999999996E-3</v>
      </c>
      <c r="B261" s="21">
        <f t="shared" si="8"/>
        <v>-0.1876372</v>
      </c>
      <c r="D261">
        <f t="shared" si="9"/>
        <v>-75.082641509433955</v>
      </c>
      <c r="G261" s="21">
        <v>0.2387628</v>
      </c>
      <c r="H261" s="21">
        <v>-0.1876372</v>
      </c>
    </row>
    <row r="262" spans="1:8" x14ac:dyDescent="0.15">
      <c r="A262" s="21">
        <v>5.0781250000000002E-3</v>
      </c>
      <c r="B262" s="21">
        <f t="shared" si="8"/>
        <v>-0.16453409999999999</v>
      </c>
      <c r="D262">
        <f t="shared" si="9"/>
        <v>-65.880691823899369</v>
      </c>
      <c r="G262" s="21">
        <v>0.20950060000000001</v>
      </c>
      <c r="H262" s="21">
        <v>-0.16453409999999999</v>
      </c>
    </row>
    <row r="263" spans="1:8" x14ac:dyDescent="0.15">
      <c r="A263" s="21">
        <v>5.0976559999999999E-3</v>
      </c>
      <c r="B263" s="21">
        <f t="shared" si="8"/>
        <v>-0.13921990000000001</v>
      </c>
      <c r="D263">
        <f t="shared" si="9"/>
        <v>-55.918836477987419</v>
      </c>
      <c r="G263" s="21">
        <v>0.1778219</v>
      </c>
      <c r="H263" s="21">
        <v>-0.13921990000000001</v>
      </c>
    </row>
    <row r="264" spans="1:8" x14ac:dyDescent="0.15">
      <c r="A264" s="21">
        <v>5.1171879999999999E-3</v>
      </c>
      <c r="B264" s="21">
        <f t="shared" si="8"/>
        <v>-0.11173180000000001</v>
      </c>
      <c r="D264">
        <f t="shared" si="9"/>
        <v>-44.914245283018857</v>
      </c>
      <c r="G264" s="21">
        <v>0.14282729999999999</v>
      </c>
      <c r="H264" s="21">
        <v>-0.11173180000000001</v>
      </c>
    </row>
    <row r="265" spans="1:8" x14ac:dyDescent="0.15">
      <c r="A265" s="21">
        <v>5.1367189999999997E-3</v>
      </c>
      <c r="B265" s="21">
        <f t="shared" si="8"/>
        <v>-8.2588809999999999E-2</v>
      </c>
      <c r="D265">
        <f t="shared" si="9"/>
        <v>-33.215220125786161</v>
      </c>
      <c r="G265" s="21">
        <v>0.10562439999999999</v>
      </c>
      <c r="H265" s="21">
        <v>-8.2588809999999999E-2</v>
      </c>
    </row>
    <row r="266" spans="1:8" x14ac:dyDescent="0.15">
      <c r="A266" s="21">
        <v>5.1562500000000002E-3</v>
      </c>
      <c r="B266" s="21">
        <f t="shared" si="8"/>
        <v>-5.2842260000000002E-2</v>
      </c>
      <c r="D266">
        <f t="shared" si="9"/>
        <v>-21.375393081761004</v>
      </c>
      <c r="G266" s="21">
        <v>6.7973749999999999E-2</v>
      </c>
      <c r="H266" s="21">
        <v>-5.2842260000000002E-2</v>
      </c>
    </row>
    <row r="267" spans="1:8" x14ac:dyDescent="0.15">
      <c r="A267" s="21">
        <v>5.175781E-3</v>
      </c>
      <c r="B267" s="21">
        <f t="shared" si="8"/>
        <v>-2.2061460000000001E-2</v>
      </c>
      <c r="D267">
        <f t="shared" si="9"/>
        <v>-9.0460125786163523</v>
      </c>
      <c r="G267" s="21">
        <v>2.8766320000000001E-2</v>
      </c>
      <c r="H267" s="21">
        <v>-2.2061460000000001E-2</v>
      </c>
    </row>
    <row r="268" spans="1:8" x14ac:dyDescent="0.15">
      <c r="A268" s="21">
        <v>5.195313E-3</v>
      </c>
      <c r="B268" s="21">
        <f t="shared" si="8"/>
        <v>1.001847E-2</v>
      </c>
      <c r="D268">
        <f t="shared" si="9"/>
        <v>3.8231509433962261</v>
      </c>
      <c r="G268" s="21">
        <v>-1.2157619999999999E-2</v>
      </c>
      <c r="H268" s="21">
        <v>1.001847E-2</v>
      </c>
    </row>
    <row r="269" spans="1:8" x14ac:dyDescent="0.15">
      <c r="A269" s="21">
        <v>5.2148439999999997E-3</v>
      </c>
      <c r="B269" s="21">
        <f t="shared" si="8"/>
        <v>4.1704449999999997E-2</v>
      </c>
      <c r="D269">
        <f t="shared" si="9"/>
        <v>16.49138993710692</v>
      </c>
      <c r="G269" s="21">
        <v>-5.2442620000000002E-2</v>
      </c>
      <c r="H269" s="21">
        <v>4.1704449999999997E-2</v>
      </c>
    </row>
    <row r="270" spans="1:8" x14ac:dyDescent="0.15">
      <c r="A270" s="21">
        <v>5.2343750000000003E-3</v>
      </c>
      <c r="B270" s="21">
        <f t="shared" si="8"/>
        <v>7.2023100000000007E-2</v>
      </c>
      <c r="D270">
        <f t="shared" si="9"/>
        <v>28.646298742138363</v>
      </c>
      <c r="G270" s="21">
        <v>-9.1095229999999999E-2</v>
      </c>
      <c r="H270" s="21">
        <v>7.2023100000000007E-2</v>
      </c>
    </row>
    <row r="271" spans="1:8" x14ac:dyDescent="0.15">
      <c r="A271" s="21">
        <v>5.253906E-3</v>
      </c>
      <c r="B271" s="21">
        <f t="shared" si="8"/>
        <v>0.1013888</v>
      </c>
      <c r="D271">
        <f t="shared" si="9"/>
        <v>40.481037735849057</v>
      </c>
      <c r="G271" s="21">
        <v>-0.1287297</v>
      </c>
      <c r="H271" s="21">
        <v>0.1013888</v>
      </c>
    </row>
    <row r="272" spans="1:8" x14ac:dyDescent="0.15">
      <c r="A272" s="21">
        <v>5.2734380000000001E-3</v>
      </c>
      <c r="B272" s="21">
        <f t="shared" si="8"/>
        <v>0.12915550000000001</v>
      </c>
      <c r="D272">
        <f t="shared" si="9"/>
        <v>51.714465408805026</v>
      </c>
      <c r="G272" s="21">
        <v>-0.16445199999999999</v>
      </c>
      <c r="H272" s="21">
        <v>0.12915550000000001</v>
      </c>
    </row>
    <row r="273" spans="1:8" x14ac:dyDescent="0.15">
      <c r="A273" s="21">
        <v>5.2929689999999998E-3</v>
      </c>
      <c r="B273" s="21">
        <f t="shared" si="8"/>
        <v>0.15457650000000001</v>
      </c>
      <c r="D273">
        <f t="shared" si="9"/>
        <v>61.983836477987417</v>
      </c>
      <c r="G273" s="21">
        <v>-0.19710859999999999</v>
      </c>
      <c r="H273" s="21">
        <v>0.15457650000000001</v>
      </c>
    </row>
    <row r="274" spans="1:8" x14ac:dyDescent="0.15">
      <c r="A274" s="21">
        <v>5.3125000000000004E-3</v>
      </c>
      <c r="B274" s="21">
        <f t="shared" si="8"/>
        <v>0.17802879999999999</v>
      </c>
      <c r="D274">
        <f t="shared" si="9"/>
        <v>71.468553459119491</v>
      </c>
      <c r="G274" s="21">
        <v>-0.22727</v>
      </c>
      <c r="H274" s="21">
        <v>0.17802879999999999</v>
      </c>
    </row>
    <row r="275" spans="1:8" x14ac:dyDescent="0.15">
      <c r="A275" s="21">
        <v>5.3320310000000001E-3</v>
      </c>
      <c r="B275" s="21">
        <f t="shared" si="8"/>
        <v>0.19924320000000001</v>
      </c>
      <c r="D275">
        <f t="shared" si="9"/>
        <v>80.029276729559754</v>
      </c>
      <c r="G275" s="21">
        <v>-0.25449310000000003</v>
      </c>
      <c r="H275" s="21">
        <v>0.19924320000000001</v>
      </c>
    </row>
    <row r="276" spans="1:8" x14ac:dyDescent="0.15">
      <c r="A276" s="21">
        <v>5.3515630000000002E-3</v>
      </c>
      <c r="B276" s="21">
        <f t="shared" si="8"/>
        <v>0.2170464</v>
      </c>
      <c r="D276">
        <f t="shared" si="9"/>
        <v>87.130314465408816</v>
      </c>
      <c r="G276" s="21">
        <v>-0.2770744</v>
      </c>
      <c r="H276" s="21">
        <v>0.2170464</v>
      </c>
    </row>
    <row r="277" spans="1:8" x14ac:dyDescent="0.15">
      <c r="A277" s="21">
        <v>5.3710939999999999E-3</v>
      </c>
      <c r="B277" s="21">
        <f t="shared" si="8"/>
        <v>0.231159</v>
      </c>
      <c r="D277">
        <f t="shared" si="9"/>
        <v>92.905754716981122</v>
      </c>
      <c r="G277" s="21">
        <v>-0.29544029999999999</v>
      </c>
      <c r="H277" s="21">
        <v>0.231159</v>
      </c>
    </row>
    <row r="278" spans="1:8" x14ac:dyDescent="0.15">
      <c r="A278" s="21">
        <v>5.3906249999999996E-3</v>
      </c>
      <c r="B278" s="21">
        <f t="shared" si="8"/>
        <v>0.24210470000000001</v>
      </c>
      <c r="D278">
        <f t="shared" si="9"/>
        <v>97.491635220125772</v>
      </c>
      <c r="G278" s="21">
        <v>-0.3100234</v>
      </c>
      <c r="H278" s="21">
        <v>0.24210470000000001</v>
      </c>
    </row>
    <row r="279" spans="1:8" x14ac:dyDescent="0.15">
      <c r="A279" s="21">
        <v>5.4101560000000002E-3</v>
      </c>
      <c r="B279" s="21">
        <f t="shared" si="8"/>
        <v>0.24974399999999999</v>
      </c>
      <c r="D279">
        <f t="shared" si="9"/>
        <v>100.57339622641508</v>
      </c>
      <c r="G279" s="21">
        <v>-0.31982339999999998</v>
      </c>
      <c r="H279" s="21">
        <v>0.24974399999999999</v>
      </c>
    </row>
    <row r="280" spans="1:8" x14ac:dyDescent="0.15">
      <c r="A280" s="21">
        <v>5.4296880000000002E-3</v>
      </c>
      <c r="B280" s="21">
        <f t="shared" si="8"/>
        <v>0.25357360000000001</v>
      </c>
      <c r="D280">
        <f t="shared" si="9"/>
        <v>102.12767295597484</v>
      </c>
      <c r="G280" s="21">
        <v>-0.324766</v>
      </c>
      <c r="H280" s="21">
        <v>0.25357360000000001</v>
      </c>
    </row>
    <row r="281" spans="1:8" x14ac:dyDescent="0.15">
      <c r="A281" s="21">
        <v>5.4492189999999999E-3</v>
      </c>
      <c r="B281" s="21">
        <f t="shared" si="8"/>
        <v>0.2537161</v>
      </c>
      <c r="D281">
        <f t="shared" si="9"/>
        <v>102.20584905660375</v>
      </c>
      <c r="G281" s="21">
        <v>-0.32501459999999999</v>
      </c>
      <c r="H281" s="21">
        <v>0.2537161</v>
      </c>
    </row>
    <row r="282" spans="1:8" x14ac:dyDescent="0.15">
      <c r="A282" s="21">
        <v>5.4687499999999997E-3</v>
      </c>
      <c r="B282" s="21">
        <f t="shared" si="8"/>
        <v>0.25000260000000002</v>
      </c>
      <c r="D282">
        <f t="shared" si="9"/>
        <v>100.70393081761006</v>
      </c>
      <c r="G282" s="21">
        <v>-0.32023849999999998</v>
      </c>
      <c r="H282" s="21">
        <v>0.25000260000000002</v>
      </c>
    </row>
    <row r="283" spans="1:8" x14ac:dyDescent="0.15">
      <c r="A283" s="21">
        <v>5.4882810000000002E-3</v>
      </c>
      <c r="B283" s="21">
        <f t="shared" si="8"/>
        <v>0.2424143</v>
      </c>
      <c r="D283">
        <f t="shared" si="9"/>
        <v>97.723773584905672</v>
      </c>
      <c r="G283" s="21">
        <v>-0.31076160000000003</v>
      </c>
      <c r="H283" s="21">
        <v>0.2424143</v>
      </c>
    </row>
    <row r="284" spans="1:8" x14ac:dyDescent="0.15">
      <c r="A284" s="21">
        <v>5.507812E-3</v>
      </c>
      <c r="B284" s="21">
        <f t="shared" si="8"/>
        <v>0.23152800000000001</v>
      </c>
      <c r="D284">
        <f t="shared" si="9"/>
        <v>93.386540880503134</v>
      </c>
      <c r="G284" s="21">
        <v>-0.29696919999999999</v>
      </c>
      <c r="H284" s="21">
        <v>0.23152800000000001</v>
      </c>
    </row>
    <row r="285" spans="1:8" x14ac:dyDescent="0.15">
      <c r="A285" s="21">
        <v>5.527344E-3</v>
      </c>
      <c r="B285" s="21">
        <f t="shared" si="8"/>
        <v>0.21708040000000001</v>
      </c>
      <c r="D285">
        <f t="shared" si="9"/>
        <v>87.573584905660383</v>
      </c>
      <c r="G285" s="21">
        <v>-0.27848400000000001</v>
      </c>
      <c r="H285" s="21">
        <v>0.21708040000000001</v>
      </c>
    </row>
    <row r="286" spans="1:8" x14ac:dyDescent="0.15">
      <c r="A286" s="21">
        <v>5.5468749999999997E-3</v>
      </c>
      <c r="B286" s="21">
        <f t="shared" si="8"/>
        <v>0.19916890000000001</v>
      </c>
      <c r="D286">
        <f t="shared" si="9"/>
        <v>80.461415094339628</v>
      </c>
      <c r="G286" s="21">
        <v>-0.25586730000000002</v>
      </c>
      <c r="H286" s="21">
        <v>0.19916890000000001</v>
      </c>
    </row>
    <row r="287" spans="1:8" x14ac:dyDescent="0.15">
      <c r="A287" s="21">
        <v>5.5664060000000003E-3</v>
      </c>
      <c r="B287" s="21">
        <f t="shared" si="8"/>
        <v>0.17821110000000001</v>
      </c>
      <c r="D287">
        <f t="shared" si="9"/>
        <v>72.152641509433963</v>
      </c>
      <c r="G287" s="21">
        <v>-0.22944539999999999</v>
      </c>
      <c r="H287" s="21">
        <v>0.17821110000000001</v>
      </c>
    </row>
    <row r="288" spans="1:8" x14ac:dyDescent="0.15">
      <c r="A288" s="21">
        <v>5.585937E-3</v>
      </c>
      <c r="B288" s="21">
        <f t="shared" si="8"/>
        <v>0.15431300000000001</v>
      </c>
      <c r="D288">
        <f t="shared" si="9"/>
        <v>62.585534591194964</v>
      </c>
      <c r="G288" s="21">
        <v>-0.199022</v>
      </c>
      <c r="H288" s="21">
        <v>0.15431300000000001</v>
      </c>
    </row>
    <row r="289" spans="1:8" x14ac:dyDescent="0.15">
      <c r="A289" s="21">
        <v>5.6054690000000001E-3</v>
      </c>
      <c r="B289" s="21">
        <f t="shared" si="8"/>
        <v>0.1282201</v>
      </c>
      <c r="D289">
        <f t="shared" si="9"/>
        <v>52.206540880503141</v>
      </c>
      <c r="G289" s="21">
        <v>-0.16601679999999999</v>
      </c>
      <c r="H289" s="21">
        <v>0.1282201</v>
      </c>
    </row>
    <row r="290" spans="1:8" x14ac:dyDescent="0.15">
      <c r="A290" s="21">
        <v>5.6249999999999998E-3</v>
      </c>
      <c r="B290" s="21">
        <f t="shared" si="8"/>
        <v>0.1004278</v>
      </c>
      <c r="D290">
        <f t="shared" si="9"/>
        <v>41.182735849056598</v>
      </c>
      <c r="G290" s="21">
        <v>-0.1309611</v>
      </c>
      <c r="H290" s="21">
        <v>0.1004278</v>
      </c>
    </row>
    <row r="291" spans="1:8" x14ac:dyDescent="0.15">
      <c r="A291" s="21">
        <v>5.6445310000000004E-3</v>
      </c>
      <c r="B291" s="21">
        <f t="shared" si="8"/>
        <v>7.0887749999999999E-2</v>
      </c>
      <c r="D291">
        <f t="shared" si="9"/>
        <v>29.359764150943395</v>
      </c>
      <c r="G291" s="21">
        <v>-9.3364050000000004E-2</v>
      </c>
      <c r="H291" s="21">
        <v>7.0887749999999999E-2</v>
      </c>
    </row>
    <row r="292" spans="1:8" x14ac:dyDescent="0.15">
      <c r="A292" s="21">
        <v>5.6640620000000001E-3</v>
      </c>
      <c r="B292" s="21">
        <f t="shared" si="8"/>
        <v>3.983838E-2</v>
      </c>
      <c r="D292">
        <f t="shared" si="9"/>
        <v>16.987842767295597</v>
      </c>
      <c r="G292" s="21">
        <v>-5.4021340000000001E-2</v>
      </c>
      <c r="H292" s="21">
        <v>3.983838E-2</v>
      </c>
    </row>
    <row r="293" spans="1:8" x14ac:dyDescent="0.15">
      <c r="A293" s="21">
        <v>5.6835940000000001E-3</v>
      </c>
      <c r="B293" s="21">
        <f t="shared" si="8"/>
        <v>8.238904E-3</v>
      </c>
      <c r="D293">
        <f t="shared" si="9"/>
        <v>4.4511792452830186</v>
      </c>
      <c r="G293" s="21">
        <v>-1.4154750000000001E-2</v>
      </c>
      <c r="H293" s="21">
        <v>8.238904E-3</v>
      </c>
    </row>
    <row r="294" spans="1:8" x14ac:dyDescent="0.15">
      <c r="A294" s="21">
        <v>5.7031249999999999E-3</v>
      </c>
      <c r="B294" s="21">
        <f t="shared" si="8"/>
        <v>-2.3347039999999999E-2</v>
      </c>
      <c r="D294">
        <f t="shared" si="9"/>
        <v>-8.1855314465408799</v>
      </c>
      <c r="G294" s="21">
        <v>2.6029989999999999E-2</v>
      </c>
      <c r="H294" s="21">
        <v>-2.3347039999999999E-2</v>
      </c>
    </row>
    <row r="295" spans="1:8" x14ac:dyDescent="0.15">
      <c r="A295" s="21">
        <v>5.7226559999999996E-3</v>
      </c>
      <c r="B295" s="21">
        <f t="shared" si="8"/>
        <v>-5.4496240000000001E-2</v>
      </c>
      <c r="D295">
        <f t="shared" si="9"/>
        <v>-20.710201257861634</v>
      </c>
      <c r="G295" s="21">
        <v>6.5858440000000004E-2</v>
      </c>
      <c r="H295" s="21">
        <v>-5.4496240000000001E-2</v>
      </c>
    </row>
    <row r="296" spans="1:8" x14ac:dyDescent="0.15">
      <c r="A296" s="21">
        <v>5.7421870000000002E-3</v>
      </c>
      <c r="B296" s="21">
        <f t="shared" si="8"/>
        <v>-8.4098450000000005E-2</v>
      </c>
      <c r="D296">
        <f t="shared" si="9"/>
        <v>-32.565283018867923</v>
      </c>
      <c r="G296" s="21">
        <v>0.1035576</v>
      </c>
      <c r="H296" s="21">
        <v>-8.4098450000000005E-2</v>
      </c>
    </row>
    <row r="297" spans="1:8" x14ac:dyDescent="0.15">
      <c r="A297" s="21">
        <v>5.7617190000000002E-3</v>
      </c>
      <c r="B297" s="21">
        <f t="shared" si="8"/>
        <v>-0.1125739</v>
      </c>
      <c r="D297">
        <f t="shared" si="9"/>
        <v>-43.999119496855336</v>
      </c>
      <c r="G297" s="21">
        <v>0.13991719999999999</v>
      </c>
      <c r="H297" s="21">
        <v>-0.1125739</v>
      </c>
    </row>
    <row r="298" spans="1:8" x14ac:dyDescent="0.15">
      <c r="A298" s="21">
        <v>5.7812499999999999E-3</v>
      </c>
      <c r="B298" s="21">
        <f t="shared" si="8"/>
        <v>-0.14009150000000001</v>
      </c>
      <c r="D298">
        <f t="shared" si="9"/>
        <v>-55.03534591194969</v>
      </c>
      <c r="G298" s="21">
        <v>0.17501240000000001</v>
      </c>
      <c r="H298" s="21">
        <v>-0.14009150000000001</v>
      </c>
    </row>
    <row r="299" spans="1:8" x14ac:dyDescent="0.15">
      <c r="A299" s="21">
        <v>5.8007809999999996E-3</v>
      </c>
      <c r="B299" s="21">
        <f t="shared" si="8"/>
        <v>-0.16492370000000001</v>
      </c>
      <c r="D299">
        <f t="shared" si="9"/>
        <v>-64.937389937106914</v>
      </c>
      <c r="G299" s="21">
        <v>0.20650089999999999</v>
      </c>
      <c r="H299" s="21">
        <v>-0.16492370000000001</v>
      </c>
    </row>
    <row r="300" spans="1:8" x14ac:dyDescent="0.15">
      <c r="A300" s="21">
        <v>5.8203120000000002E-3</v>
      </c>
      <c r="B300" s="21">
        <f t="shared" si="8"/>
        <v>-0.18723790000000001</v>
      </c>
      <c r="D300">
        <f t="shared" si="9"/>
        <v>-73.98625786163521</v>
      </c>
      <c r="G300" s="21">
        <v>0.23527629999999999</v>
      </c>
      <c r="H300" s="21">
        <v>-0.18723790000000001</v>
      </c>
    </row>
    <row r="301" spans="1:8" x14ac:dyDescent="0.15">
      <c r="A301" s="21">
        <v>5.8398440000000003E-3</v>
      </c>
      <c r="B301" s="21">
        <f t="shared" si="8"/>
        <v>-0.207374</v>
      </c>
      <c r="D301">
        <f t="shared" si="9"/>
        <v>-82.152327044025142</v>
      </c>
      <c r="G301" s="21">
        <v>0.26124439999999999</v>
      </c>
      <c r="H301" s="21">
        <v>-0.207374</v>
      </c>
    </row>
    <row r="302" spans="1:8" x14ac:dyDescent="0.15">
      <c r="A302" s="21">
        <v>5.859375E-3</v>
      </c>
      <c r="B302" s="21">
        <f t="shared" si="8"/>
        <v>-0.22347030000000001</v>
      </c>
      <c r="D302">
        <f t="shared" si="9"/>
        <v>-88.615440251572323</v>
      </c>
      <c r="G302" s="21">
        <v>0.28179710000000002</v>
      </c>
      <c r="H302" s="21">
        <v>-0.22347030000000001</v>
      </c>
    </row>
    <row r="303" spans="1:8" x14ac:dyDescent="0.15">
      <c r="A303" s="21">
        <v>5.8789059999999997E-3</v>
      </c>
      <c r="B303" s="21">
        <f t="shared" si="8"/>
        <v>-0.23604839999999999</v>
      </c>
      <c r="D303">
        <f t="shared" si="9"/>
        <v>-93.834150943396224</v>
      </c>
      <c r="G303" s="21">
        <v>0.29839260000000001</v>
      </c>
      <c r="H303" s="21">
        <v>-0.23604839999999999</v>
      </c>
    </row>
    <row r="304" spans="1:8" x14ac:dyDescent="0.15">
      <c r="A304" s="21">
        <v>5.8984379999999998E-3</v>
      </c>
      <c r="B304" s="21">
        <f t="shared" si="8"/>
        <v>-0.2460869</v>
      </c>
      <c r="D304">
        <f t="shared" si="9"/>
        <v>-97.96974842767294</v>
      </c>
      <c r="G304" s="21">
        <v>0.31154379999999998</v>
      </c>
      <c r="H304" s="21">
        <v>-0.2460869</v>
      </c>
    </row>
    <row r="305" spans="1:8" x14ac:dyDescent="0.15">
      <c r="A305" s="21">
        <v>5.9179690000000004E-3</v>
      </c>
      <c r="B305" s="21">
        <f t="shared" si="8"/>
        <v>-0.25189620000000001</v>
      </c>
      <c r="D305">
        <f t="shared" si="9"/>
        <v>-100.33594339622641</v>
      </c>
      <c r="G305" s="21">
        <v>0.31906830000000003</v>
      </c>
      <c r="H305" s="21">
        <v>-0.25189620000000001</v>
      </c>
    </row>
    <row r="306" spans="1:8" x14ac:dyDescent="0.15">
      <c r="A306" s="21">
        <v>5.9375000000000001E-3</v>
      </c>
      <c r="B306" s="21">
        <f t="shared" si="8"/>
        <v>-0.25404280000000001</v>
      </c>
      <c r="D306">
        <f t="shared" si="9"/>
        <v>-101.30921383647798</v>
      </c>
      <c r="G306" s="21">
        <v>0.32216329999999999</v>
      </c>
      <c r="H306" s="21">
        <v>-0.25404280000000001</v>
      </c>
    </row>
    <row r="307" spans="1:8" x14ac:dyDescent="0.15">
      <c r="A307" s="21">
        <v>5.9570309999999998E-3</v>
      </c>
      <c r="B307" s="21">
        <f t="shared" si="8"/>
        <v>-0.2530908</v>
      </c>
      <c r="D307">
        <f t="shared" si="9"/>
        <v>-100.97292452830187</v>
      </c>
      <c r="G307" s="21">
        <v>0.32109389999999999</v>
      </c>
      <c r="H307" s="21">
        <v>-0.2530908</v>
      </c>
    </row>
    <row r="308" spans="1:8" x14ac:dyDescent="0.15">
      <c r="A308" s="21">
        <v>5.9765629999999998E-3</v>
      </c>
      <c r="B308" s="21">
        <f t="shared" si="8"/>
        <v>-0.24765770000000001</v>
      </c>
      <c r="D308">
        <f t="shared" si="9"/>
        <v>-98.887295597484282</v>
      </c>
      <c r="G308" s="21">
        <v>0.31446160000000001</v>
      </c>
      <c r="H308" s="21">
        <v>-0.24765770000000001</v>
      </c>
    </row>
    <row r="309" spans="1:8" x14ac:dyDescent="0.15">
      <c r="A309" s="21">
        <v>5.9960940000000004E-3</v>
      </c>
      <c r="B309" s="21">
        <f t="shared" si="8"/>
        <v>-0.23842430000000001</v>
      </c>
      <c r="D309">
        <f t="shared" si="9"/>
        <v>-95.259371069182393</v>
      </c>
      <c r="G309" s="21">
        <v>0.30292479999999999</v>
      </c>
      <c r="H309" s="21">
        <v>-0.23842430000000001</v>
      </c>
    </row>
    <row r="310" spans="1:8" x14ac:dyDescent="0.15">
      <c r="A310" s="21">
        <v>6.0156250000000001E-3</v>
      </c>
      <c r="B310" s="21">
        <f t="shared" si="8"/>
        <v>-0.2260026</v>
      </c>
      <c r="D310">
        <f t="shared" si="9"/>
        <v>-90.341698113207556</v>
      </c>
      <c r="G310" s="21">
        <v>0.2872866</v>
      </c>
      <c r="H310" s="21">
        <v>-0.2260026</v>
      </c>
    </row>
    <row r="311" spans="1:8" x14ac:dyDescent="0.15">
      <c r="A311" s="21">
        <v>6.0351559999999999E-3</v>
      </c>
      <c r="B311" s="21">
        <f t="shared" si="8"/>
        <v>-0.21032049999999999</v>
      </c>
      <c r="D311">
        <f t="shared" si="9"/>
        <v>-84.133144654088028</v>
      </c>
      <c r="G311" s="21">
        <v>0.26754339999999999</v>
      </c>
      <c r="H311" s="21">
        <v>-0.21032049999999999</v>
      </c>
    </row>
    <row r="312" spans="1:8" x14ac:dyDescent="0.15">
      <c r="A312" s="21">
        <v>6.0546879999999999E-3</v>
      </c>
      <c r="B312" s="21">
        <f t="shared" si="8"/>
        <v>-0.1913975</v>
      </c>
      <c r="D312">
        <f t="shared" si="9"/>
        <v>-76.515817610062896</v>
      </c>
      <c r="G312" s="21">
        <v>0.24332029999999999</v>
      </c>
      <c r="H312" s="21">
        <v>-0.1913975</v>
      </c>
    </row>
    <row r="313" spans="1:8" x14ac:dyDescent="0.15">
      <c r="A313" s="21">
        <v>6.0742189999999996E-3</v>
      </c>
      <c r="B313" s="21">
        <f t="shared" si="8"/>
        <v>-0.1691184</v>
      </c>
      <c r="D313">
        <f t="shared" si="9"/>
        <v>-67.683333333333337</v>
      </c>
      <c r="G313" s="21">
        <v>0.21523300000000001</v>
      </c>
      <c r="H313" s="21">
        <v>-0.1691184</v>
      </c>
    </row>
    <row r="314" spans="1:8" x14ac:dyDescent="0.15">
      <c r="A314" s="21">
        <v>6.0937500000000002E-3</v>
      </c>
      <c r="B314" s="21">
        <f t="shared" si="8"/>
        <v>-0.1442185</v>
      </c>
      <c r="D314">
        <f t="shared" si="9"/>
        <v>-57.841918238993706</v>
      </c>
      <c r="G314" s="21">
        <v>0.1839373</v>
      </c>
      <c r="H314" s="21">
        <v>-0.1442185</v>
      </c>
    </row>
    <row r="315" spans="1:8" x14ac:dyDescent="0.15">
      <c r="A315" s="21">
        <v>6.1132809999999999E-3</v>
      </c>
      <c r="B315" s="21">
        <f t="shared" si="8"/>
        <v>-0.1173554</v>
      </c>
      <c r="D315">
        <f t="shared" si="9"/>
        <v>-47.093773584905662</v>
      </c>
      <c r="G315" s="21">
        <v>0.14975820000000001</v>
      </c>
      <c r="H315" s="21">
        <v>-0.1173554</v>
      </c>
    </row>
    <row r="316" spans="1:8" x14ac:dyDescent="0.15">
      <c r="A316" s="21">
        <v>6.132813E-3</v>
      </c>
      <c r="B316" s="21">
        <f t="shared" si="8"/>
        <v>-8.8807899999999995E-2</v>
      </c>
      <c r="D316">
        <f t="shared" si="9"/>
        <v>-35.706540880503141</v>
      </c>
      <c r="G316" s="21">
        <v>0.1135468</v>
      </c>
      <c r="H316" s="21">
        <v>-8.8807899999999995E-2</v>
      </c>
    </row>
    <row r="317" spans="1:8" x14ac:dyDescent="0.15">
      <c r="A317" s="21">
        <v>6.1523439999999997E-3</v>
      </c>
      <c r="B317" s="21">
        <f t="shared" si="8"/>
        <v>-5.8656699999999999E-2</v>
      </c>
      <c r="D317">
        <f t="shared" si="9"/>
        <v>-23.705792452830185</v>
      </c>
      <c r="G317" s="21">
        <v>7.5384419999999994E-2</v>
      </c>
      <c r="H317" s="21">
        <v>-5.8656699999999999E-2</v>
      </c>
    </row>
    <row r="318" spans="1:8" x14ac:dyDescent="0.15">
      <c r="A318" s="21">
        <v>6.1718750000000003E-3</v>
      </c>
      <c r="B318" s="21">
        <f t="shared" si="8"/>
        <v>-2.7406440000000001E-2</v>
      </c>
      <c r="D318">
        <f t="shared" si="9"/>
        <v>-11.230786163522012</v>
      </c>
      <c r="G318" s="21">
        <v>3.57139E-2</v>
      </c>
      <c r="H318" s="21">
        <v>-2.7406440000000001E-2</v>
      </c>
    </row>
    <row r="319" spans="1:8" x14ac:dyDescent="0.15">
      <c r="A319" s="21">
        <v>6.191406E-3</v>
      </c>
      <c r="B319" s="21">
        <f t="shared" si="8"/>
        <v>4.1978730000000004E-3</v>
      </c>
      <c r="D319">
        <f t="shared" si="9"/>
        <v>1.4425899371069182</v>
      </c>
      <c r="G319" s="21">
        <v>-4.5874360000000003E-3</v>
      </c>
      <c r="H319" s="21">
        <v>4.1978730000000004E-3</v>
      </c>
    </row>
    <row r="320" spans="1:8" x14ac:dyDescent="0.15">
      <c r="A320" s="21">
        <v>6.210938E-3</v>
      </c>
      <c r="B320" s="21">
        <f t="shared" si="8"/>
        <v>3.5561799999999998E-2</v>
      </c>
      <c r="D320">
        <f t="shared" si="9"/>
        <v>14.026009433962262</v>
      </c>
      <c r="G320" s="21">
        <v>-4.4602709999999997E-2</v>
      </c>
      <c r="H320" s="21">
        <v>3.5561799999999998E-2</v>
      </c>
    </row>
    <row r="321" spans="1:8" x14ac:dyDescent="0.15">
      <c r="A321" s="21">
        <v>6.2304689999999998E-3</v>
      </c>
      <c r="B321" s="21">
        <f t="shared" si="8"/>
        <v>6.6080249999999993E-2</v>
      </c>
      <c r="D321">
        <f t="shared" si="9"/>
        <v>26.278707547169809</v>
      </c>
      <c r="G321" s="21">
        <v>-8.3566290000000001E-2</v>
      </c>
      <c r="H321" s="21">
        <v>6.6080249999999993E-2</v>
      </c>
    </row>
    <row r="322" spans="1:8" x14ac:dyDescent="0.15">
      <c r="A322" s="21">
        <v>6.2500000000000003E-3</v>
      </c>
      <c r="B322" s="21">
        <f t="shared" si="8"/>
        <v>9.5608789999999999E-2</v>
      </c>
      <c r="D322">
        <f t="shared" si="9"/>
        <v>38.119245283018863</v>
      </c>
      <c r="G322" s="21">
        <v>-0.1212192</v>
      </c>
      <c r="H322" s="21">
        <v>9.5608789999999999E-2</v>
      </c>
    </row>
    <row r="323" spans="1:8" x14ac:dyDescent="0.15">
      <c r="A323" s="21">
        <v>6.2695310000000001E-3</v>
      </c>
      <c r="B323" s="21">
        <f t="shared" ref="B323:B386" si="10">H323</f>
        <v>0.1236951</v>
      </c>
      <c r="D323">
        <f t="shared" ref="D323:D386" si="11">G323*-1000/3.18</f>
        <v>49.465314465408795</v>
      </c>
      <c r="G323" s="21">
        <v>-0.15729969999999999</v>
      </c>
      <c r="H323" s="21">
        <v>0.1236951</v>
      </c>
    </row>
    <row r="324" spans="1:8" x14ac:dyDescent="0.15">
      <c r="A324" s="21">
        <v>6.2890630000000001E-3</v>
      </c>
      <c r="B324" s="21">
        <f t="shared" si="10"/>
        <v>0.14992630000000001</v>
      </c>
      <c r="D324">
        <f t="shared" si="11"/>
        <v>60.13037735849057</v>
      </c>
      <c r="G324" s="21">
        <v>-0.19121460000000001</v>
      </c>
      <c r="H324" s="21">
        <v>0.14992630000000001</v>
      </c>
    </row>
    <row r="325" spans="1:8" x14ac:dyDescent="0.15">
      <c r="A325" s="21">
        <v>6.3085939999999998E-3</v>
      </c>
      <c r="B325" s="21">
        <f t="shared" si="10"/>
        <v>0.17374049999999999</v>
      </c>
      <c r="D325">
        <f t="shared" si="11"/>
        <v>69.687012578616347</v>
      </c>
      <c r="G325" s="21">
        <v>-0.22160469999999999</v>
      </c>
      <c r="H325" s="21">
        <v>0.17374049999999999</v>
      </c>
    </row>
    <row r="326" spans="1:8" x14ac:dyDescent="0.15">
      <c r="A326" s="21">
        <v>6.3281250000000004E-3</v>
      </c>
      <c r="B326" s="21">
        <f t="shared" si="10"/>
        <v>0.19491990000000001</v>
      </c>
      <c r="D326">
        <f t="shared" si="11"/>
        <v>78.271037735849063</v>
      </c>
      <c r="G326" s="21">
        <v>-0.24890190000000001</v>
      </c>
      <c r="H326" s="21">
        <v>0.19491990000000001</v>
      </c>
    </row>
    <row r="327" spans="1:8" x14ac:dyDescent="0.15">
      <c r="A327" s="21">
        <v>6.3476560000000001E-3</v>
      </c>
      <c r="B327" s="21">
        <f t="shared" si="10"/>
        <v>0.21347569999999999</v>
      </c>
      <c r="D327">
        <f t="shared" si="11"/>
        <v>85.821446540880487</v>
      </c>
      <c r="G327" s="21">
        <v>-0.27291219999999999</v>
      </c>
      <c r="H327" s="21">
        <v>0.21347569999999999</v>
      </c>
    </row>
    <row r="328" spans="1:8" x14ac:dyDescent="0.15">
      <c r="A328" s="21">
        <v>6.3671880000000002E-3</v>
      </c>
      <c r="B328" s="21">
        <f t="shared" si="10"/>
        <v>0.22813929999999999</v>
      </c>
      <c r="D328">
        <f t="shared" si="11"/>
        <v>91.761163522012581</v>
      </c>
      <c r="G328" s="21">
        <v>-0.29180050000000002</v>
      </c>
      <c r="H328" s="21">
        <v>0.22813929999999999</v>
      </c>
    </row>
    <row r="329" spans="1:8" x14ac:dyDescent="0.15">
      <c r="A329" s="21">
        <v>6.3867189999999999E-3</v>
      </c>
      <c r="B329" s="21">
        <f t="shared" si="10"/>
        <v>0.23949390000000001</v>
      </c>
      <c r="D329">
        <f t="shared" si="11"/>
        <v>96.434842767295592</v>
      </c>
      <c r="G329" s="21">
        <v>-0.30666280000000001</v>
      </c>
      <c r="H329" s="21">
        <v>0.23949390000000001</v>
      </c>
    </row>
    <row r="330" spans="1:8" x14ac:dyDescent="0.15">
      <c r="A330" s="21">
        <v>6.4062499999999996E-3</v>
      </c>
      <c r="B330" s="21">
        <f t="shared" si="10"/>
        <v>0.24836340000000001</v>
      </c>
      <c r="D330">
        <f t="shared" si="11"/>
        <v>99.982264150943394</v>
      </c>
      <c r="G330" s="21">
        <v>-0.31794359999999999</v>
      </c>
      <c r="H330" s="21">
        <v>0.24836340000000001</v>
      </c>
    </row>
    <row r="331" spans="1:8" x14ac:dyDescent="0.15">
      <c r="A331" s="21">
        <v>6.4257810000000002E-3</v>
      </c>
      <c r="B331" s="21">
        <f t="shared" si="10"/>
        <v>0.25328250000000002</v>
      </c>
      <c r="D331">
        <f t="shared" si="11"/>
        <v>101.97776729559749</v>
      </c>
      <c r="G331" s="21">
        <v>-0.3242893</v>
      </c>
      <c r="H331" s="21">
        <v>0.25328250000000002</v>
      </c>
    </row>
    <row r="332" spans="1:8" x14ac:dyDescent="0.15">
      <c r="A332" s="21">
        <v>6.4453130000000003E-3</v>
      </c>
      <c r="B332" s="21">
        <f t="shared" si="10"/>
        <v>0.253882</v>
      </c>
      <c r="D332">
        <f t="shared" si="11"/>
        <v>102.2435534591195</v>
      </c>
      <c r="G332" s="21">
        <v>-0.32513449999999999</v>
      </c>
      <c r="H332" s="21">
        <v>0.253882</v>
      </c>
    </row>
    <row r="333" spans="1:8" x14ac:dyDescent="0.15">
      <c r="A333" s="21">
        <v>6.464844E-3</v>
      </c>
      <c r="B333" s="21">
        <f t="shared" si="10"/>
        <v>0.25050919999999999</v>
      </c>
      <c r="D333">
        <f t="shared" si="11"/>
        <v>100.88223270440251</v>
      </c>
      <c r="G333" s="21">
        <v>-0.32080550000000002</v>
      </c>
      <c r="H333" s="21">
        <v>0.25050919999999999</v>
      </c>
    </row>
    <row r="334" spans="1:8" x14ac:dyDescent="0.15">
      <c r="A334" s="21">
        <v>6.4843749999999997E-3</v>
      </c>
      <c r="B334" s="21">
        <f t="shared" si="10"/>
        <v>0.24361240000000001</v>
      </c>
      <c r="D334">
        <f t="shared" si="11"/>
        <v>98.240314465408801</v>
      </c>
      <c r="G334" s="21">
        <v>-0.31240420000000002</v>
      </c>
      <c r="H334" s="21">
        <v>0.24361240000000001</v>
      </c>
    </row>
    <row r="335" spans="1:8" x14ac:dyDescent="0.15">
      <c r="A335" s="21">
        <v>6.5039060000000003E-3</v>
      </c>
      <c r="B335" s="21">
        <f t="shared" si="10"/>
        <v>0.23342570000000001</v>
      </c>
      <c r="D335">
        <f t="shared" si="11"/>
        <v>94.131792452830197</v>
      </c>
      <c r="G335" s="21">
        <v>-0.29933910000000002</v>
      </c>
      <c r="H335" s="21">
        <v>0.23342570000000001</v>
      </c>
    </row>
    <row r="336" spans="1:8" x14ac:dyDescent="0.15">
      <c r="A336" s="21">
        <v>6.523437E-3</v>
      </c>
      <c r="B336" s="21">
        <f t="shared" si="10"/>
        <v>0.2195956</v>
      </c>
      <c r="D336">
        <f t="shared" si="11"/>
        <v>88.53987421383647</v>
      </c>
      <c r="G336" s="21">
        <v>-0.2815568</v>
      </c>
      <c r="H336" s="21">
        <v>0.2195956</v>
      </c>
    </row>
    <row r="337" spans="1:8" x14ac:dyDescent="0.15">
      <c r="A337" s="21">
        <v>6.542969E-3</v>
      </c>
      <c r="B337" s="21">
        <f t="shared" si="10"/>
        <v>0.20278679999999999</v>
      </c>
      <c r="D337">
        <f t="shared" si="11"/>
        <v>81.965471698113205</v>
      </c>
      <c r="G337" s="21">
        <v>-0.2606502</v>
      </c>
      <c r="H337" s="21">
        <v>0.20278679999999999</v>
      </c>
    </row>
    <row r="338" spans="1:8" x14ac:dyDescent="0.15">
      <c r="A338" s="21">
        <v>6.5624999999999998E-3</v>
      </c>
      <c r="B338" s="21">
        <f t="shared" si="10"/>
        <v>0.18270819999999999</v>
      </c>
      <c r="D338">
        <f t="shared" si="11"/>
        <v>73.974119496855337</v>
      </c>
      <c r="G338" s="21">
        <v>-0.23523769999999999</v>
      </c>
      <c r="H338" s="21">
        <v>0.18270819999999999</v>
      </c>
    </row>
    <row r="339" spans="1:8" x14ac:dyDescent="0.15">
      <c r="A339" s="21">
        <v>6.5820310000000003E-3</v>
      </c>
      <c r="B339" s="21">
        <f t="shared" si="10"/>
        <v>0.1588067</v>
      </c>
      <c r="D339">
        <f t="shared" si="11"/>
        <v>64.417672955974851</v>
      </c>
      <c r="G339" s="21">
        <v>-0.20484820000000001</v>
      </c>
      <c r="H339" s="21">
        <v>0.1588067</v>
      </c>
    </row>
    <row r="340" spans="1:8" x14ac:dyDescent="0.15">
      <c r="A340" s="21">
        <v>6.6015620000000001E-3</v>
      </c>
      <c r="B340" s="21">
        <f t="shared" si="10"/>
        <v>0.1329158</v>
      </c>
      <c r="D340">
        <f t="shared" si="11"/>
        <v>54.224308176100628</v>
      </c>
      <c r="G340" s="21">
        <v>-0.17243330000000001</v>
      </c>
      <c r="H340" s="21">
        <v>0.1329158</v>
      </c>
    </row>
    <row r="341" spans="1:8" x14ac:dyDescent="0.15">
      <c r="A341" s="21">
        <v>6.6210940000000001E-3</v>
      </c>
      <c r="B341" s="21">
        <f t="shared" si="10"/>
        <v>0.1056795</v>
      </c>
      <c r="D341">
        <f t="shared" si="11"/>
        <v>43.379528301886793</v>
      </c>
      <c r="G341" s="21">
        <v>-0.13794690000000001</v>
      </c>
      <c r="H341" s="21">
        <v>0.1056795</v>
      </c>
    </row>
    <row r="342" spans="1:8" x14ac:dyDescent="0.15">
      <c r="A342" s="21">
        <v>6.6406249999999998E-3</v>
      </c>
      <c r="B342" s="21">
        <f t="shared" si="10"/>
        <v>7.6258679999999995E-2</v>
      </c>
      <c r="D342">
        <f t="shared" si="11"/>
        <v>31.586383647798741</v>
      </c>
      <c r="G342" s="21">
        <v>-0.1004447</v>
      </c>
      <c r="H342" s="21">
        <v>7.6258679999999995E-2</v>
      </c>
    </row>
    <row r="343" spans="1:8" x14ac:dyDescent="0.15">
      <c r="A343" s="21">
        <v>6.6601560000000004E-3</v>
      </c>
      <c r="B343" s="21">
        <f t="shared" si="10"/>
        <v>4.5643620000000003E-2</v>
      </c>
      <c r="D343">
        <f t="shared" si="11"/>
        <v>19.365628930817607</v>
      </c>
      <c r="G343" s="21">
        <v>-6.1582699999999997E-2</v>
      </c>
      <c r="H343" s="21">
        <v>4.5643620000000003E-2</v>
      </c>
    </row>
    <row r="344" spans="1:8" x14ac:dyDescent="0.15">
      <c r="A344" s="21">
        <v>6.6796870000000001E-3</v>
      </c>
      <c r="B344" s="21">
        <f t="shared" si="10"/>
        <v>1.44414E-2</v>
      </c>
      <c r="D344">
        <f t="shared" si="11"/>
        <v>6.9019150943396221</v>
      </c>
      <c r="G344" s="21">
        <v>-2.194809E-2</v>
      </c>
      <c r="H344" s="21">
        <v>1.44414E-2</v>
      </c>
    </row>
    <row r="345" spans="1:8" x14ac:dyDescent="0.15">
      <c r="A345" s="21">
        <v>6.6992190000000002E-3</v>
      </c>
      <c r="B345" s="21">
        <f t="shared" si="10"/>
        <v>-1.7387179999999999E-2</v>
      </c>
      <c r="D345">
        <f t="shared" si="11"/>
        <v>-5.7468899371069186</v>
      </c>
      <c r="G345" s="21">
        <v>1.8275110000000001E-2</v>
      </c>
      <c r="H345" s="21">
        <v>-1.7387179999999999E-2</v>
      </c>
    </row>
    <row r="346" spans="1:8" x14ac:dyDescent="0.15">
      <c r="A346" s="21">
        <v>6.7187499999999999E-3</v>
      </c>
      <c r="B346" s="21">
        <f t="shared" si="10"/>
        <v>-4.8476610000000003E-2</v>
      </c>
      <c r="D346">
        <f t="shared" si="11"/>
        <v>-18.25458490566038</v>
      </c>
      <c r="G346" s="21">
        <v>5.8049580000000003E-2</v>
      </c>
      <c r="H346" s="21">
        <v>-4.8476610000000003E-2</v>
      </c>
    </row>
    <row r="347" spans="1:8" x14ac:dyDescent="0.15">
      <c r="A347" s="21">
        <v>6.7382809999999996E-3</v>
      </c>
      <c r="B347" s="21">
        <f t="shared" si="10"/>
        <v>-7.8478820000000005E-2</v>
      </c>
      <c r="D347">
        <f t="shared" si="11"/>
        <v>-30.358499999999999</v>
      </c>
      <c r="G347" s="21">
        <v>9.6540029999999999E-2</v>
      </c>
      <c r="H347" s="21">
        <v>-7.8478820000000005E-2</v>
      </c>
    </row>
    <row r="348" spans="1:8" x14ac:dyDescent="0.15">
      <c r="A348" s="21">
        <v>6.7578120000000002E-3</v>
      </c>
      <c r="B348" s="21">
        <f t="shared" si="10"/>
        <v>-0.1074223</v>
      </c>
      <c r="D348">
        <f t="shared" si="11"/>
        <v>-41.846855345911948</v>
      </c>
      <c r="G348" s="21">
        <v>0.133073</v>
      </c>
      <c r="H348" s="21">
        <v>-0.1074223</v>
      </c>
    </row>
    <row r="349" spans="1:8" x14ac:dyDescent="0.15">
      <c r="A349" s="21">
        <v>6.7773440000000003E-3</v>
      </c>
      <c r="B349" s="21">
        <f t="shared" si="10"/>
        <v>-0.13477839999999999</v>
      </c>
      <c r="D349">
        <f t="shared" si="11"/>
        <v>-52.892106918238994</v>
      </c>
      <c r="G349" s="21">
        <v>0.16819690000000001</v>
      </c>
      <c r="H349" s="21">
        <v>-0.13477839999999999</v>
      </c>
    </row>
    <row r="350" spans="1:8" x14ac:dyDescent="0.15">
      <c r="A350" s="21">
        <v>6.796875E-3</v>
      </c>
      <c r="B350" s="21">
        <f t="shared" si="10"/>
        <v>-0.16034390000000001</v>
      </c>
      <c r="D350">
        <f t="shared" si="11"/>
        <v>-63.242735849056608</v>
      </c>
      <c r="G350" s="21">
        <v>0.20111190000000001</v>
      </c>
      <c r="H350" s="21">
        <v>-0.16034390000000001</v>
      </c>
    </row>
    <row r="351" spans="1:8" x14ac:dyDescent="0.15">
      <c r="A351" s="21">
        <v>6.8164059999999997E-3</v>
      </c>
      <c r="B351" s="21">
        <f t="shared" si="10"/>
        <v>-0.1831507</v>
      </c>
      <c r="D351">
        <f t="shared" si="11"/>
        <v>-72.376163522012575</v>
      </c>
      <c r="G351" s="21">
        <v>0.23015620000000001</v>
      </c>
      <c r="H351" s="21">
        <v>-0.1831507</v>
      </c>
    </row>
    <row r="352" spans="1:8" x14ac:dyDescent="0.15">
      <c r="A352" s="21">
        <v>6.8359379999999997E-3</v>
      </c>
      <c r="B352" s="21">
        <f t="shared" si="10"/>
        <v>-0.20350299999999999</v>
      </c>
      <c r="D352">
        <f t="shared" si="11"/>
        <v>-80.596572327044015</v>
      </c>
      <c r="G352" s="21">
        <v>0.2562971</v>
      </c>
      <c r="H352" s="21">
        <v>-0.20350299999999999</v>
      </c>
    </row>
    <row r="353" spans="1:8" x14ac:dyDescent="0.15">
      <c r="A353" s="21">
        <v>6.8554690000000003E-3</v>
      </c>
      <c r="B353" s="21">
        <f t="shared" si="10"/>
        <v>-0.22108720000000001</v>
      </c>
      <c r="D353">
        <f t="shared" si="11"/>
        <v>-87.62484276729559</v>
      </c>
      <c r="G353" s="21">
        <v>0.27864699999999998</v>
      </c>
      <c r="H353" s="21">
        <v>-0.22108720000000001</v>
      </c>
    </row>
    <row r="354" spans="1:8" x14ac:dyDescent="0.15">
      <c r="A354" s="21">
        <v>6.875E-3</v>
      </c>
      <c r="B354" s="21">
        <f t="shared" si="10"/>
        <v>-0.2341577</v>
      </c>
      <c r="D354">
        <f t="shared" si="11"/>
        <v>-92.934842767295592</v>
      </c>
      <c r="G354" s="21">
        <v>0.29553279999999998</v>
      </c>
      <c r="H354" s="21">
        <v>-0.2341577</v>
      </c>
    </row>
    <row r="355" spans="1:8" x14ac:dyDescent="0.15">
      <c r="A355" s="21">
        <v>6.8945309999999997E-3</v>
      </c>
      <c r="B355" s="21">
        <f t="shared" si="10"/>
        <v>-0.2439277</v>
      </c>
      <c r="D355">
        <f t="shared" si="11"/>
        <v>-97.030408805031456</v>
      </c>
      <c r="G355" s="21">
        <v>0.30855670000000002</v>
      </c>
      <c r="H355" s="21">
        <v>-0.2439277</v>
      </c>
    </row>
    <row r="356" spans="1:8" x14ac:dyDescent="0.15">
      <c r="A356" s="21">
        <v>6.9140629999999998E-3</v>
      </c>
      <c r="B356" s="21">
        <f t="shared" si="10"/>
        <v>-0.2511468</v>
      </c>
      <c r="D356">
        <f t="shared" si="11"/>
        <v>-100.01745283018867</v>
      </c>
      <c r="G356" s="21">
        <v>0.31805549999999999</v>
      </c>
      <c r="H356" s="21">
        <v>-0.2511468</v>
      </c>
    </row>
    <row r="357" spans="1:8" x14ac:dyDescent="0.15">
      <c r="A357" s="21">
        <v>6.9335940000000004E-3</v>
      </c>
      <c r="B357" s="21">
        <f t="shared" si="10"/>
        <v>-0.2545772</v>
      </c>
      <c r="D357">
        <f t="shared" si="11"/>
        <v>-101.39411949685534</v>
      </c>
      <c r="G357" s="21">
        <v>0.32243329999999998</v>
      </c>
      <c r="H357" s="21">
        <v>-0.2545772</v>
      </c>
    </row>
    <row r="358" spans="1:8" x14ac:dyDescent="0.15">
      <c r="A358" s="21">
        <v>6.9531250000000001E-3</v>
      </c>
      <c r="B358" s="21">
        <f t="shared" si="10"/>
        <v>-0.25384180000000001</v>
      </c>
      <c r="D358">
        <f t="shared" si="11"/>
        <v>-101.10185534591194</v>
      </c>
      <c r="G358" s="21">
        <v>0.32150390000000001</v>
      </c>
      <c r="H358" s="21">
        <v>-0.25384180000000001</v>
      </c>
    </row>
    <row r="359" spans="1:8" x14ac:dyDescent="0.15">
      <c r="A359" s="21">
        <v>6.9726559999999998E-3</v>
      </c>
      <c r="B359" s="21">
        <f t="shared" si="10"/>
        <v>-0.24878500000000001</v>
      </c>
      <c r="D359">
        <f t="shared" si="11"/>
        <v>-99.289591194968551</v>
      </c>
      <c r="G359" s="21">
        <v>0.31574089999999999</v>
      </c>
      <c r="H359" s="21">
        <v>-0.24878500000000001</v>
      </c>
    </row>
    <row r="360" spans="1:8" x14ac:dyDescent="0.15">
      <c r="A360" s="21">
        <v>6.9921879999999999E-3</v>
      </c>
      <c r="B360" s="21">
        <f t="shared" si="10"/>
        <v>-0.24017450000000001</v>
      </c>
      <c r="D360">
        <f t="shared" si="11"/>
        <v>-96.004119496855338</v>
      </c>
      <c r="G360" s="21">
        <v>0.30529309999999998</v>
      </c>
      <c r="H360" s="21">
        <v>-0.24017450000000001</v>
      </c>
    </row>
    <row r="361" spans="1:8" x14ac:dyDescent="0.15">
      <c r="A361" s="21">
        <v>7.0117189999999996E-3</v>
      </c>
      <c r="B361" s="21">
        <f t="shared" si="10"/>
        <v>-0.2285307</v>
      </c>
      <c r="D361">
        <f t="shared" si="11"/>
        <v>-91.299654088050303</v>
      </c>
      <c r="G361" s="21">
        <v>0.2903329</v>
      </c>
      <c r="H361" s="21">
        <v>-0.2285307</v>
      </c>
    </row>
    <row r="362" spans="1:8" x14ac:dyDescent="0.15">
      <c r="A362" s="21">
        <v>7.0312500000000002E-3</v>
      </c>
      <c r="B362" s="21">
        <f t="shared" si="10"/>
        <v>-0.21349019999999999</v>
      </c>
      <c r="D362">
        <f t="shared" si="11"/>
        <v>-85.272987421383661</v>
      </c>
      <c r="G362" s="21">
        <v>0.27116810000000002</v>
      </c>
      <c r="H362" s="21">
        <v>-0.21349019999999999</v>
      </c>
    </row>
    <row r="363" spans="1:8" x14ac:dyDescent="0.15">
      <c r="A363" s="21">
        <v>7.0507809999999999E-3</v>
      </c>
      <c r="B363" s="21">
        <f t="shared" si="10"/>
        <v>-0.1955732</v>
      </c>
      <c r="D363">
        <f t="shared" si="11"/>
        <v>-78.190031446540885</v>
      </c>
      <c r="G363" s="21">
        <v>0.24864430000000001</v>
      </c>
      <c r="H363" s="21">
        <v>-0.1955732</v>
      </c>
    </row>
    <row r="364" spans="1:8" x14ac:dyDescent="0.15">
      <c r="A364" s="21">
        <v>7.0703129999999999E-3</v>
      </c>
      <c r="B364" s="21">
        <f t="shared" si="10"/>
        <v>-0.17410100000000001</v>
      </c>
      <c r="D364">
        <f t="shared" si="11"/>
        <v>-69.714496855345914</v>
      </c>
      <c r="G364" s="21">
        <v>0.2216921</v>
      </c>
      <c r="H364" s="21">
        <v>-0.17410100000000001</v>
      </c>
    </row>
    <row r="365" spans="1:8" x14ac:dyDescent="0.15">
      <c r="A365" s="21">
        <v>7.0898439999999997E-3</v>
      </c>
      <c r="B365" s="21">
        <f t="shared" si="10"/>
        <v>-0.14882049999999999</v>
      </c>
      <c r="D365">
        <f t="shared" si="11"/>
        <v>-59.58581761006289</v>
      </c>
      <c r="G365" s="21">
        <v>0.18948290000000001</v>
      </c>
      <c r="H365" s="21">
        <v>-0.14882049999999999</v>
      </c>
    </row>
    <row r="366" spans="1:8" x14ac:dyDescent="0.15">
      <c r="A366" s="21">
        <v>7.1093750000000002E-3</v>
      </c>
      <c r="B366" s="21">
        <f t="shared" si="10"/>
        <v>-0.12229470000000001</v>
      </c>
      <c r="D366">
        <f t="shared" si="11"/>
        <v>-49.039213836477977</v>
      </c>
      <c r="G366" s="21">
        <v>0.15594469999999999</v>
      </c>
      <c r="H366" s="21">
        <v>-0.12229470000000001</v>
      </c>
    </row>
    <row r="367" spans="1:8" x14ac:dyDescent="0.15">
      <c r="A367" s="21">
        <v>7.128906E-3</v>
      </c>
      <c r="B367" s="21">
        <f t="shared" si="10"/>
        <v>-9.460607E-2</v>
      </c>
      <c r="D367">
        <f t="shared" si="11"/>
        <v>-38.044811320754718</v>
      </c>
      <c r="G367" s="21">
        <v>0.12098250000000001</v>
      </c>
      <c r="H367" s="21">
        <v>-9.460607E-2</v>
      </c>
    </row>
    <row r="368" spans="1:8" x14ac:dyDescent="0.15">
      <c r="A368" s="21">
        <v>7.148438E-3</v>
      </c>
      <c r="B368" s="21">
        <f t="shared" si="10"/>
        <v>-6.4418820000000002E-2</v>
      </c>
      <c r="D368">
        <f t="shared" si="11"/>
        <v>-25.841977987421384</v>
      </c>
      <c r="G368" s="21">
        <v>8.2177490000000006E-2</v>
      </c>
      <c r="H368" s="21">
        <v>-6.4418820000000002E-2</v>
      </c>
    </row>
    <row r="369" spans="1:8" x14ac:dyDescent="0.15">
      <c r="A369" s="21">
        <v>7.1679689999999997E-3</v>
      </c>
      <c r="B369" s="21">
        <f t="shared" si="10"/>
        <v>-3.34915E-2</v>
      </c>
      <c r="D369">
        <f t="shared" si="11"/>
        <v>-13.515427672955973</v>
      </c>
      <c r="G369" s="21">
        <v>4.2979059999999999E-2</v>
      </c>
      <c r="H369" s="21">
        <v>-3.34915E-2</v>
      </c>
    </row>
    <row r="370" spans="1:8" x14ac:dyDescent="0.15">
      <c r="A370" s="21">
        <v>7.1875000000000003E-3</v>
      </c>
      <c r="B370" s="21">
        <f t="shared" si="10"/>
        <v>-2.197914E-3</v>
      </c>
      <c r="D370">
        <f t="shared" si="11"/>
        <v>-1.068514465408805</v>
      </c>
      <c r="G370" s="21">
        <v>3.3978760000000002E-3</v>
      </c>
      <c r="H370" s="21">
        <v>-2.197914E-3</v>
      </c>
    </row>
    <row r="371" spans="1:8" x14ac:dyDescent="0.15">
      <c r="A371" s="21">
        <v>7.207031E-3</v>
      </c>
      <c r="B371" s="21">
        <f t="shared" si="10"/>
        <v>2.9794629999999999E-2</v>
      </c>
      <c r="D371">
        <f t="shared" si="11"/>
        <v>11.8082893081761</v>
      </c>
      <c r="G371" s="21">
        <v>-3.7550359999999998E-2</v>
      </c>
      <c r="H371" s="21">
        <v>2.9794629999999999E-2</v>
      </c>
    </row>
    <row r="372" spans="1:8" x14ac:dyDescent="0.15">
      <c r="A372" s="21">
        <v>7.2265630000000001E-3</v>
      </c>
      <c r="B372" s="21">
        <f t="shared" si="10"/>
        <v>6.0549649999999997E-2</v>
      </c>
      <c r="D372">
        <f t="shared" si="11"/>
        <v>24.114301886792454</v>
      </c>
      <c r="G372" s="21">
        <v>-7.6683479999999998E-2</v>
      </c>
      <c r="H372" s="21">
        <v>6.0549649999999997E-2</v>
      </c>
    </row>
    <row r="373" spans="1:8" x14ac:dyDescent="0.15">
      <c r="A373" s="21">
        <v>7.2460939999999998E-3</v>
      </c>
      <c r="B373" s="21">
        <f t="shared" si="10"/>
        <v>9.0079049999999994E-2</v>
      </c>
      <c r="D373">
        <f t="shared" si="11"/>
        <v>35.977955974842764</v>
      </c>
      <c r="G373" s="21">
        <v>-0.11440989999999999</v>
      </c>
      <c r="H373" s="21">
        <v>9.0079049999999994E-2</v>
      </c>
    </row>
    <row r="374" spans="1:8" x14ac:dyDescent="0.15">
      <c r="A374" s="21">
        <v>7.2656250000000004E-3</v>
      </c>
      <c r="B374" s="21">
        <f t="shared" si="10"/>
        <v>0.11857819999999999</v>
      </c>
      <c r="D374">
        <f t="shared" si="11"/>
        <v>47.483113207547163</v>
      </c>
      <c r="G374" s="21">
        <v>-0.1509963</v>
      </c>
      <c r="H374" s="21">
        <v>0.11857819999999999</v>
      </c>
    </row>
    <row r="375" spans="1:8" x14ac:dyDescent="0.15">
      <c r="A375" s="21">
        <v>7.2851560000000001E-3</v>
      </c>
      <c r="B375" s="21">
        <f t="shared" si="10"/>
        <v>0.14510909999999999</v>
      </c>
      <c r="D375">
        <f t="shared" si="11"/>
        <v>58.164402515723275</v>
      </c>
      <c r="G375" s="21">
        <v>-0.18496280000000001</v>
      </c>
      <c r="H375" s="21">
        <v>0.14510909999999999</v>
      </c>
    </row>
    <row r="376" spans="1:8" x14ac:dyDescent="0.15">
      <c r="A376" s="21">
        <v>7.3046880000000002E-3</v>
      </c>
      <c r="B376" s="21">
        <f t="shared" si="10"/>
        <v>0.1700689</v>
      </c>
      <c r="D376">
        <f t="shared" si="11"/>
        <v>68.281635220125793</v>
      </c>
      <c r="G376" s="21">
        <v>-0.21713560000000001</v>
      </c>
      <c r="H376" s="21">
        <v>0.1700689</v>
      </c>
    </row>
    <row r="377" spans="1:8" x14ac:dyDescent="0.15">
      <c r="A377" s="21">
        <v>7.3242189999999999E-3</v>
      </c>
      <c r="B377" s="21">
        <f t="shared" si="10"/>
        <v>0.19220950000000001</v>
      </c>
      <c r="D377">
        <f t="shared" si="11"/>
        <v>77.202358490566041</v>
      </c>
      <c r="G377" s="21">
        <v>-0.24550350000000001</v>
      </c>
      <c r="H377" s="21">
        <v>0.19220950000000001</v>
      </c>
    </row>
    <row r="378" spans="1:8" x14ac:dyDescent="0.15">
      <c r="A378" s="21">
        <v>7.3437499999999996E-3</v>
      </c>
      <c r="B378" s="21">
        <f t="shared" si="10"/>
        <v>0.21058689999999999</v>
      </c>
      <c r="D378">
        <f t="shared" si="11"/>
        <v>84.543616352201255</v>
      </c>
      <c r="G378" s="21">
        <v>-0.2688487</v>
      </c>
      <c r="H378" s="21">
        <v>0.21058689999999999</v>
      </c>
    </row>
    <row r="379" spans="1:8" x14ac:dyDescent="0.15">
      <c r="A379" s="21">
        <v>7.3632810000000002E-3</v>
      </c>
      <c r="B379" s="21">
        <f t="shared" si="10"/>
        <v>0.2260762</v>
      </c>
      <c r="D379">
        <f t="shared" si="11"/>
        <v>90.929088050314462</v>
      </c>
      <c r="G379" s="21">
        <v>-0.28915449999999998</v>
      </c>
      <c r="H379" s="21">
        <v>0.2260762</v>
      </c>
    </row>
    <row r="380" spans="1:8" x14ac:dyDescent="0.15">
      <c r="A380" s="21">
        <v>7.3828130000000002E-3</v>
      </c>
      <c r="B380" s="21">
        <f t="shared" si="10"/>
        <v>0.2383981</v>
      </c>
      <c r="D380">
        <f t="shared" si="11"/>
        <v>96.014716981132068</v>
      </c>
      <c r="G380" s="21">
        <v>-0.30532680000000001</v>
      </c>
      <c r="H380" s="21">
        <v>0.2383981</v>
      </c>
    </row>
    <row r="381" spans="1:8" x14ac:dyDescent="0.15">
      <c r="A381" s="21">
        <v>7.4023439999999999E-3</v>
      </c>
      <c r="B381" s="21">
        <f t="shared" si="10"/>
        <v>0.24773400000000001</v>
      </c>
      <c r="D381">
        <f t="shared" si="11"/>
        <v>99.742264150943384</v>
      </c>
      <c r="G381" s="21">
        <v>-0.31718039999999997</v>
      </c>
      <c r="H381" s="21">
        <v>0.24773400000000001</v>
      </c>
    </row>
    <row r="382" spans="1:8" x14ac:dyDescent="0.15">
      <c r="A382" s="21">
        <v>7.4218749999999997E-3</v>
      </c>
      <c r="B382" s="21">
        <f t="shared" si="10"/>
        <v>0.25342520000000002</v>
      </c>
      <c r="D382">
        <f t="shared" si="11"/>
        <v>102.04367924528302</v>
      </c>
      <c r="G382" s="21">
        <v>-0.32449889999999998</v>
      </c>
      <c r="H382" s="21">
        <v>0.25342520000000002</v>
      </c>
    </row>
    <row r="383" spans="1:8" x14ac:dyDescent="0.15">
      <c r="A383" s="21">
        <v>7.4414060000000002E-3</v>
      </c>
      <c r="B383" s="21">
        <f t="shared" si="10"/>
        <v>0.25473829999999997</v>
      </c>
      <c r="D383">
        <f t="shared" si="11"/>
        <v>102.59371069182389</v>
      </c>
      <c r="G383" s="21">
        <v>-0.32624799999999998</v>
      </c>
      <c r="H383" s="21">
        <v>0.25473829999999997</v>
      </c>
    </row>
    <row r="384" spans="1:8" x14ac:dyDescent="0.15">
      <c r="A384" s="21">
        <v>7.4609380000000003E-3</v>
      </c>
      <c r="B384" s="21">
        <f t="shared" si="10"/>
        <v>0.25249709999999997</v>
      </c>
      <c r="D384">
        <f t="shared" si="11"/>
        <v>101.76908805031447</v>
      </c>
      <c r="G384" s="21">
        <v>-0.32362570000000002</v>
      </c>
      <c r="H384" s="21">
        <v>0.25249709999999997</v>
      </c>
    </row>
    <row r="385" spans="1:8" x14ac:dyDescent="0.15">
      <c r="A385" s="21">
        <v>7.480469E-3</v>
      </c>
      <c r="B385" s="21">
        <f t="shared" si="10"/>
        <v>0.24610319999999999</v>
      </c>
      <c r="D385">
        <f t="shared" si="11"/>
        <v>99.231855345911939</v>
      </c>
      <c r="G385" s="21">
        <v>-0.31555729999999999</v>
      </c>
      <c r="H385" s="21">
        <v>0.24610319999999999</v>
      </c>
    </row>
    <row r="386" spans="1:8" x14ac:dyDescent="0.15">
      <c r="A386" s="21">
        <v>7.4999999999999997E-3</v>
      </c>
      <c r="B386" s="21">
        <f t="shared" si="10"/>
        <v>0.2361026</v>
      </c>
      <c r="D386">
        <f t="shared" si="11"/>
        <v>95.24358490566037</v>
      </c>
      <c r="G386" s="21">
        <v>-0.30287459999999999</v>
      </c>
      <c r="H386" s="21">
        <v>0.2361026</v>
      </c>
    </row>
    <row r="387" spans="1:8" x14ac:dyDescent="0.15">
      <c r="A387" s="21">
        <v>7.5195310000000003E-3</v>
      </c>
      <c r="B387" s="21">
        <f t="shared" ref="B387:B450" si="12">H387</f>
        <v>0.22360869999999999</v>
      </c>
      <c r="D387">
        <f t="shared" ref="D387:D450" si="13">G387*-1000/3.18</f>
        <v>90.335691823899367</v>
      </c>
      <c r="G387" s="21">
        <v>-0.28726750000000001</v>
      </c>
      <c r="H387" s="21">
        <v>0.22360869999999999</v>
      </c>
    </row>
    <row r="388" spans="1:8" x14ac:dyDescent="0.15">
      <c r="A388" s="21">
        <v>7.539062E-3</v>
      </c>
      <c r="B388" s="21">
        <f t="shared" si="12"/>
        <v>0.20747189999999999</v>
      </c>
      <c r="D388">
        <f t="shared" si="13"/>
        <v>83.813301886792445</v>
      </c>
      <c r="G388" s="21">
        <v>-0.26652629999999999</v>
      </c>
      <c r="H388" s="21">
        <v>0.20747189999999999</v>
      </c>
    </row>
    <row r="389" spans="1:8" x14ac:dyDescent="0.15">
      <c r="A389" s="21">
        <v>7.5585940000000001E-3</v>
      </c>
      <c r="B389" s="21">
        <f t="shared" si="12"/>
        <v>0.18759139999999999</v>
      </c>
      <c r="D389">
        <f t="shared" si="13"/>
        <v>75.847924528301888</v>
      </c>
      <c r="G389" s="21">
        <v>-0.24119640000000001</v>
      </c>
      <c r="H389" s="21">
        <v>0.18759139999999999</v>
      </c>
    </row>
    <row r="390" spans="1:8" x14ac:dyDescent="0.15">
      <c r="A390" s="21">
        <v>7.5781249999999998E-3</v>
      </c>
      <c r="B390" s="21">
        <f t="shared" si="12"/>
        <v>0.1646714</v>
      </c>
      <c r="D390">
        <f t="shared" si="13"/>
        <v>66.815220125786155</v>
      </c>
      <c r="G390" s="21">
        <v>-0.21247240000000001</v>
      </c>
      <c r="H390" s="21">
        <v>0.1646714</v>
      </c>
    </row>
    <row r="391" spans="1:8" x14ac:dyDescent="0.15">
      <c r="A391" s="21">
        <v>7.5976560000000004E-3</v>
      </c>
      <c r="B391" s="21">
        <f t="shared" si="12"/>
        <v>0.1387891</v>
      </c>
      <c r="D391">
        <f t="shared" si="13"/>
        <v>56.539811320754715</v>
      </c>
      <c r="G391" s="21">
        <v>-0.1797966</v>
      </c>
      <c r="H391" s="21">
        <v>0.1387891</v>
      </c>
    </row>
    <row r="392" spans="1:8" x14ac:dyDescent="0.15">
      <c r="A392" s="21">
        <v>7.6171870000000001E-3</v>
      </c>
      <c r="B392" s="21">
        <f t="shared" si="12"/>
        <v>0.11133560000000001</v>
      </c>
      <c r="D392">
        <f t="shared" si="13"/>
        <v>45.634874213836476</v>
      </c>
      <c r="G392" s="21">
        <v>-0.1451189</v>
      </c>
      <c r="H392" s="21">
        <v>0.11133560000000001</v>
      </c>
    </row>
    <row r="393" spans="1:8" x14ac:dyDescent="0.15">
      <c r="A393" s="21">
        <v>7.6367190000000001E-3</v>
      </c>
      <c r="B393" s="21">
        <f t="shared" si="12"/>
        <v>8.3133719999999994E-2</v>
      </c>
      <c r="D393">
        <f t="shared" si="13"/>
        <v>34.369182389937102</v>
      </c>
      <c r="G393" s="21">
        <v>-0.109294</v>
      </c>
      <c r="H393" s="21">
        <v>8.3133719999999994E-2</v>
      </c>
    </row>
    <row r="394" spans="1:8" x14ac:dyDescent="0.15">
      <c r="A394" s="21">
        <v>7.6562499999999999E-3</v>
      </c>
      <c r="B394" s="21">
        <f t="shared" si="12"/>
        <v>5.297487E-2</v>
      </c>
      <c r="D394">
        <f t="shared" si="13"/>
        <v>22.297207547169808</v>
      </c>
      <c r="G394" s="21">
        <v>-7.0905120000000002E-2</v>
      </c>
      <c r="H394" s="21">
        <v>5.297487E-2</v>
      </c>
    </row>
    <row r="395" spans="1:8" x14ac:dyDescent="0.15">
      <c r="A395" s="21">
        <v>7.6757809999999996E-3</v>
      </c>
      <c r="B395" s="21">
        <f t="shared" si="12"/>
        <v>2.1328799999999998E-2</v>
      </c>
      <c r="D395">
        <f t="shared" si="13"/>
        <v>9.7178113207547163</v>
      </c>
      <c r="G395" s="21">
        <v>-3.0902639999999999E-2</v>
      </c>
      <c r="H395" s="21">
        <v>2.1328799999999998E-2</v>
      </c>
    </row>
    <row r="396" spans="1:8" x14ac:dyDescent="0.15">
      <c r="A396" s="21">
        <v>7.6953120000000002E-3</v>
      </c>
      <c r="B396" s="21">
        <f t="shared" si="12"/>
        <v>-1.057749E-2</v>
      </c>
      <c r="D396">
        <f t="shared" si="13"/>
        <v>-3.0342499999999997</v>
      </c>
      <c r="G396" s="21">
        <v>9.6489149999999992E-3</v>
      </c>
      <c r="H396" s="21">
        <v>-1.057749E-2</v>
      </c>
    </row>
    <row r="397" spans="1:8" x14ac:dyDescent="0.15">
      <c r="A397" s="21">
        <v>7.7148440000000002E-3</v>
      </c>
      <c r="B397" s="21">
        <f t="shared" si="12"/>
        <v>-4.2095880000000002E-2</v>
      </c>
      <c r="D397">
        <f t="shared" si="13"/>
        <v>-15.695852201257861</v>
      </c>
      <c r="G397" s="21">
        <v>4.9912810000000002E-2</v>
      </c>
      <c r="H397" s="21">
        <v>-4.2095880000000002E-2</v>
      </c>
    </row>
    <row r="398" spans="1:8" x14ac:dyDescent="0.15">
      <c r="A398" s="21">
        <v>7.7343749999999999E-3</v>
      </c>
      <c r="B398" s="21">
        <f t="shared" si="12"/>
        <v>-7.2186230000000004E-2</v>
      </c>
      <c r="D398">
        <f t="shared" si="13"/>
        <v>-27.742437106918238</v>
      </c>
      <c r="G398" s="21">
        <v>8.8220950000000006E-2</v>
      </c>
      <c r="H398" s="21">
        <v>-7.2186230000000004E-2</v>
      </c>
    </row>
    <row r="399" spans="1:8" x14ac:dyDescent="0.15">
      <c r="A399" s="21">
        <v>7.7539059999999996E-3</v>
      </c>
      <c r="B399" s="21">
        <f t="shared" si="12"/>
        <v>-0.1011065</v>
      </c>
      <c r="D399">
        <f t="shared" si="13"/>
        <v>-39.348207547169807</v>
      </c>
      <c r="G399" s="21">
        <v>0.1251273</v>
      </c>
      <c r="H399" s="21">
        <v>-0.1011065</v>
      </c>
    </row>
    <row r="400" spans="1:8" x14ac:dyDescent="0.15">
      <c r="A400" s="21">
        <v>7.7734370000000002E-3</v>
      </c>
      <c r="B400" s="21">
        <f t="shared" si="12"/>
        <v>-0.12865509999999999</v>
      </c>
      <c r="D400">
        <f t="shared" si="13"/>
        <v>-50.411823899371065</v>
      </c>
      <c r="G400" s="21">
        <v>0.1603096</v>
      </c>
      <c r="H400" s="21">
        <v>-0.12865509999999999</v>
      </c>
    </row>
    <row r="401" spans="1:8" x14ac:dyDescent="0.15">
      <c r="A401" s="21">
        <v>7.7929690000000003E-3</v>
      </c>
      <c r="B401" s="21">
        <f t="shared" si="12"/>
        <v>-0.1544595</v>
      </c>
      <c r="D401">
        <f t="shared" si="13"/>
        <v>-60.804088050314462</v>
      </c>
      <c r="G401" s="21">
        <v>0.193357</v>
      </c>
      <c r="H401" s="21">
        <v>-0.1544595</v>
      </c>
    </row>
    <row r="402" spans="1:8" x14ac:dyDescent="0.15">
      <c r="A402" s="21">
        <v>7.8125E-3</v>
      </c>
      <c r="B402" s="21">
        <f t="shared" si="12"/>
        <v>-0.17866779999999999</v>
      </c>
      <c r="D402">
        <f t="shared" si="13"/>
        <v>-70.592232704402505</v>
      </c>
      <c r="G402" s="21">
        <v>0.2244833</v>
      </c>
      <c r="H402" s="21">
        <v>-0.17866779999999999</v>
      </c>
    </row>
    <row r="403" spans="1:8" x14ac:dyDescent="0.15">
      <c r="A403" s="21">
        <v>7.8320309999999997E-3</v>
      </c>
      <c r="B403" s="21">
        <f t="shared" si="12"/>
        <v>-0.199798</v>
      </c>
      <c r="D403">
        <f t="shared" si="13"/>
        <v>-79.036540880503154</v>
      </c>
      <c r="G403" s="21">
        <v>0.25133620000000001</v>
      </c>
      <c r="H403" s="21">
        <v>-0.199798</v>
      </c>
    </row>
    <row r="404" spans="1:8" x14ac:dyDescent="0.15">
      <c r="A404" s="21">
        <v>7.8515630000000006E-3</v>
      </c>
      <c r="B404" s="21">
        <f t="shared" si="12"/>
        <v>-0.2171225</v>
      </c>
      <c r="D404">
        <f t="shared" si="13"/>
        <v>-85.990031446540868</v>
      </c>
      <c r="G404" s="21">
        <v>0.27344829999999998</v>
      </c>
      <c r="H404" s="21">
        <v>-0.2171225</v>
      </c>
    </row>
    <row r="405" spans="1:8" x14ac:dyDescent="0.15">
      <c r="A405" s="21">
        <v>7.8710940000000004E-3</v>
      </c>
      <c r="B405" s="21">
        <f t="shared" si="12"/>
        <v>-0.23099259999999999</v>
      </c>
      <c r="D405">
        <f t="shared" si="13"/>
        <v>-91.730251572327035</v>
      </c>
      <c r="G405" s="21">
        <v>0.29170220000000002</v>
      </c>
      <c r="H405" s="21">
        <v>-0.23099259999999999</v>
      </c>
    </row>
    <row r="406" spans="1:8" x14ac:dyDescent="0.15">
      <c r="A406" s="21">
        <v>7.8906250000000001E-3</v>
      </c>
      <c r="B406" s="21">
        <f t="shared" si="12"/>
        <v>-0.2418034</v>
      </c>
      <c r="D406">
        <f t="shared" si="13"/>
        <v>-96.165754716981127</v>
      </c>
      <c r="G406" s="21">
        <v>0.3058071</v>
      </c>
      <c r="H406" s="21">
        <v>-0.2418034</v>
      </c>
    </row>
    <row r="407" spans="1:8" x14ac:dyDescent="0.15">
      <c r="A407" s="21">
        <v>7.9101559999999998E-3</v>
      </c>
      <c r="B407" s="21">
        <f t="shared" si="12"/>
        <v>-0.24981639999999999</v>
      </c>
      <c r="D407">
        <f t="shared" si="13"/>
        <v>-99.386729559748417</v>
      </c>
      <c r="G407" s="21">
        <v>0.31604979999999999</v>
      </c>
      <c r="H407" s="21">
        <v>-0.24981639999999999</v>
      </c>
    </row>
    <row r="408" spans="1:8" x14ac:dyDescent="0.15">
      <c r="A408" s="21">
        <v>7.9296880000000007E-3</v>
      </c>
      <c r="B408" s="21">
        <f t="shared" si="12"/>
        <v>-0.25392690000000001</v>
      </c>
      <c r="D408">
        <f t="shared" si="13"/>
        <v>-101.09056603773583</v>
      </c>
      <c r="G408" s="21">
        <v>0.32146799999999998</v>
      </c>
      <c r="H408" s="21">
        <v>-0.25392690000000001</v>
      </c>
    </row>
    <row r="409" spans="1:8" x14ac:dyDescent="0.15">
      <c r="A409" s="21">
        <v>7.9492190000000004E-3</v>
      </c>
      <c r="B409" s="21">
        <f t="shared" si="12"/>
        <v>-0.25391560000000002</v>
      </c>
      <c r="D409">
        <f t="shared" si="13"/>
        <v>-101.16748427672955</v>
      </c>
      <c r="G409" s="21">
        <v>0.32171260000000002</v>
      </c>
      <c r="H409" s="21">
        <v>-0.25391560000000002</v>
      </c>
    </row>
    <row r="410" spans="1:8" x14ac:dyDescent="0.15">
      <c r="A410" s="21">
        <v>7.9687500000000001E-3</v>
      </c>
      <c r="B410" s="21">
        <f t="shared" si="12"/>
        <v>-0.25029469999999998</v>
      </c>
      <c r="D410">
        <f t="shared" si="13"/>
        <v>-99.867987421383646</v>
      </c>
      <c r="G410" s="21">
        <v>0.31758019999999998</v>
      </c>
      <c r="H410" s="21">
        <v>-0.25029469999999998</v>
      </c>
    </row>
    <row r="411" spans="1:8" x14ac:dyDescent="0.15">
      <c r="A411" s="21">
        <v>7.9882809999999999E-3</v>
      </c>
      <c r="B411" s="21">
        <f t="shared" si="12"/>
        <v>-0.24207219999999999</v>
      </c>
      <c r="D411">
        <f t="shared" si="13"/>
        <v>-96.6243396226415</v>
      </c>
      <c r="G411" s="21">
        <v>0.30726540000000002</v>
      </c>
      <c r="H411" s="21">
        <v>-0.24207219999999999</v>
      </c>
    </row>
    <row r="412" spans="1:8" x14ac:dyDescent="0.15">
      <c r="A412" s="21">
        <v>8.0078119999999996E-3</v>
      </c>
      <c r="B412" s="21">
        <f t="shared" si="12"/>
        <v>-0.23021630000000001</v>
      </c>
      <c r="D412">
        <f t="shared" si="13"/>
        <v>-91.970628930817611</v>
      </c>
      <c r="G412" s="21">
        <v>0.29246660000000002</v>
      </c>
      <c r="H412" s="21">
        <v>-0.23021630000000001</v>
      </c>
    </row>
    <row r="413" spans="1:8" x14ac:dyDescent="0.15">
      <c r="A413" s="21">
        <v>8.0273440000000005E-3</v>
      </c>
      <c r="B413" s="21">
        <f t="shared" si="12"/>
        <v>-0.21668699999999999</v>
      </c>
      <c r="D413">
        <f t="shared" si="13"/>
        <v>-86.771855345911945</v>
      </c>
      <c r="G413" s="21">
        <v>0.27593450000000003</v>
      </c>
      <c r="H413" s="21">
        <v>-0.21668699999999999</v>
      </c>
    </row>
    <row r="414" spans="1:8" x14ac:dyDescent="0.15">
      <c r="A414" s="21">
        <v>8.0468750000000002E-3</v>
      </c>
      <c r="B414" s="21">
        <f t="shared" si="12"/>
        <v>-0.19944290000000001</v>
      </c>
      <c r="D414">
        <f t="shared" si="13"/>
        <v>-79.804339622641507</v>
      </c>
      <c r="G414" s="21">
        <v>0.2537778</v>
      </c>
      <c r="H414" s="21">
        <v>-0.19944290000000001</v>
      </c>
    </row>
    <row r="415" spans="1:8" x14ac:dyDescent="0.15">
      <c r="A415" s="21">
        <v>8.0664059999999999E-3</v>
      </c>
      <c r="B415" s="21">
        <f t="shared" si="12"/>
        <v>-0.1778778</v>
      </c>
      <c r="D415">
        <f t="shared" si="13"/>
        <v>-71.14993710691823</v>
      </c>
      <c r="G415" s="21">
        <v>0.22625680000000001</v>
      </c>
      <c r="H415" s="21">
        <v>-0.1778778</v>
      </c>
    </row>
    <row r="416" spans="1:8" x14ac:dyDescent="0.15">
      <c r="A416" s="21">
        <v>8.0859369999999996E-3</v>
      </c>
      <c r="B416" s="21">
        <f t="shared" si="12"/>
        <v>-0.15414430000000001</v>
      </c>
      <c r="D416">
        <f t="shared" si="13"/>
        <v>-61.85569182389937</v>
      </c>
      <c r="G416" s="21">
        <v>0.19670109999999999</v>
      </c>
      <c r="H416" s="21">
        <v>-0.15414430000000001</v>
      </c>
    </row>
    <row r="417" spans="1:8" x14ac:dyDescent="0.15">
      <c r="A417" s="21">
        <v>8.1054690000000006E-3</v>
      </c>
      <c r="B417" s="21">
        <f t="shared" si="12"/>
        <v>-0.12780079999999999</v>
      </c>
      <c r="D417">
        <f t="shared" si="13"/>
        <v>-51.347924528301881</v>
      </c>
      <c r="G417" s="21">
        <v>0.1632864</v>
      </c>
      <c r="H417" s="21">
        <v>-0.12780079999999999</v>
      </c>
    </row>
    <row r="418" spans="1:8" x14ac:dyDescent="0.15">
      <c r="A418" s="21">
        <v>8.1250000000000003E-3</v>
      </c>
      <c r="B418" s="21">
        <f t="shared" si="12"/>
        <v>-9.9471130000000005E-2</v>
      </c>
      <c r="D418">
        <f t="shared" si="13"/>
        <v>-39.949999999999996</v>
      </c>
      <c r="G418" s="21">
        <v>0.12704099999999999</v>
      </c>
      <c r="H418" s="21">
        <v>-9.9471130000000005E-2</v>
      </c>
    </row>
    <row r="419" spans="1:8" x14ac:dyDescent="0.15">
      <c r="A419" s="21">
        <v>8.144531E-3</v>
      </c>
      <c r="B419" s="21">
        <f t="shared" si="12"/>
        <v>-7.0413459999999997E-2</v>
      </c>
      <c r="D419">
        <f t="shared" si="13"/>
        <v>-28.323103773584904</v>
      </c>
      <c r="G419" s="21">
        <v>9.0067469999999997E-2</v>
      </c>
      <c r="H419" s="21">
        <v>-7.0413459999999997E-2</v>
      </c>
    </row>
    <row r="420" spans="1:8" x14ac:dyDescent="0.15">
      <c r="A420" s="21">
        <v>8.1640619999999997E-3</v>
      </c>
      <c r="B420" s="21">
        <f t="shared" si="12"/>
        <v>-3.990813E-2</v>
      </c>
      <c r="D420">
        <f t="shared" si="13"/>
        <v>-16.132295597484276</v>
      </c>
      <c r="G420" s="21">
        <v>5.1300699999999998E-2</v>
      </c>
      <c r="H420" s="21">
        <v>-3.990813E-2</v>
      </c>
    </row>
    <row r="421" spans="1:8" x14ac:dyDescent="0.15">
      <c r="A421" s="21">
        <v>8.1835940000000006E-3</v>
      </c>
      <c r="B421" s="21">
        <f t="shared" si="12"/>
        <v>-8.3230539999999999E-3</v>
      </c>
      <c r="D421">
        <f t="shared" si="13"/>
        <v>-3.4956855345911948</v>
      </c>
      <c r="G421" s="21">
        <v>1.1116279999999999E-2</v>
      </c>
      <c r="H421" s="21">
        <v>-8.3230539999999999E-3</v>
      </c>
    </row>
    <row r="422" spans="1:8" x14ac:dyDescent="0.15">
      <c r="A422" s="21">
        <v>8.2031250000000003E-3</v>
      </c>
      <c r="B422" s="21">
        <f t="shared" si="12"/>
        <v>2.3573569999999999E-2</v>
      </c>
      <c r="D422">
        <f t="shared" si="13"/>
        <v>9.3159968553459116</v>
      </c>
      <c r="G422" s="21">
        <v>-2.9624870000000001E-2</v>
      </c>
      <c r="H422" s="21">
        <v>2.3573569999999999E-2</v>
      </c>
    </row>
    <row r="423" spans="1:8" x14ac:dyDescent="0.15">
      <c r="A423" s="21">
        <v>8.2226560000000001E-3</v>
      </c>
      <c r="B423" s="21">
        <f t="shared" si="12"/>
        <v>5.4779330000000001E-2</v>
      </c>
      <c r="D423">
        <f t="shared" si="13"/>
        <v>21.841377358490565</v>
      </c>
      <c r="G423" s="21">
        <v>-6.9455580000000003E-2</v>
      </c>
      <c r="H423" s="21">
        <v>5.4779330000000001E-2</v>
      </c>
    </row>
    <row r="424" spans="1:8" x14ac:dyDescent="0.15">
      <c r="A424" s="21">
        <v>8.2421869999999998E-3</v>
      </c>
      <c r="B424" s="21">
        <f t="shared" si="12"/>
        <v>8.4463979999999994E-2</v>
      </c>
      <c r="D424">
        <f t="shared" si="13"/>
        <v>33.695817610062896</v>
      </c>
      <c r="G424" s="21">
        <v>-0.1071527</v>
      </c>
      <c r="H424" s="21">
        <v>8.4463979999999994E-2</v>
      </c>
    </row>
    <row r="425" spans="1:8" x14ac:dyDescent="0.15">
      <c r="A425" s="21">
        <v>8.2617190000000007E-3</v>
      </c>
      <c r="B425" s="21">
        <f t="shared" si="12"/>
        <v>0.1131471</v>
      </c>
      <c r="D425">
        <f t="shared" si="13"/>
        <v>45.241761006289302</v>
      </c>
      <c r="G425" s="21">
        <v>-0.14386879999999999</v>
      </c>
      <c r="H425" s="21">
        <v>0.1131471</v>
      </c>
    </row>
    <row r="426" spans="1:8" x14ac:dyDescent="0.15">
      <c r="A426" s="21">
        <v>8.2812500000000004E-3</v>
      </c>
      <c r="B426" s="21">
        <f t="shared" si="12"/>
        <v>0.14017569999999999</v>
      </c>
      <c r="D426">
        <f t="shared" si="13"/>
        <v>56.17531446540881</v>
      </c>
      <c r="G426" s="21">
        <v>-0.1786375</v>
      </c>
      <c r="H426" s="21">
        <v>0.14017569999999999</v>
      </c>
    </row>
    <row r="427" spans="1:8" x14ac:dyDescent="0.15">
      <c r="A427" s="21">
        <v>8.3007810000000001E-3</v>
      </c>
      <c r="B427" s="21">
        <f t="shared" si="12"/>
        <v>0.16484979999999999</v>
      </c>
      <c r="D427">
        <f t="shared" si="13"/>
        <v>66.071509433962262</v>
      </c>
      <c r="G427" s="21">
        <v>-0.2101074</v>
      </c>
      <c r="H427" s="21">
        <v>0.16484979999999999</v>
      </c>
    </row>
    <row r="428" spans="1:8" x14ac:dyDescent="0.15">
      <c r="A428" s="21">
        <v>8.3203119999999998E-3</v>
      </c>
      <c r="B428" s="21">
        <f t="shared" si="12"/>
        <v>0.18784970000000001</v>
      </c>
      <c r="D428">
        <f t="shared" si="13"/>
        <v>75.393396226415092</v>
      </c>
      <c r="G428" s="21">
        <v>-0.23975099999999999</v>
      </c>
      <c r="H428" s="21">
        <v>0.18784970000000001</v>
      </c>
    </row>
    <row r="429" spans="1:8" x14ac:dyDescent="0.15">
      <c r="A429" s="21">
        <v>8.3398440000000008E-3</v>
      </c>
      <c r="B429" s="21">
        <f t="shared" si="12"/>
        <v>0.2078865</v>
      </c>
      <c r="D429">
        <f t="shared" si="13"/>
        <v>83.488773584905658</v>
      </c>
      <c r="G429" s="21">
        <v>-0.26549430000000002</v>
      </c>
      <c r="H429" s="21">
        <v>0.2078865</v>
      </c>
    </row>
    <row r="430" spans="1:8" x14ac:dyDescent="0.15">
      <c r="A430" s="21">
        <v>8.3593750000000005E-3</v>
      </c>
      <c r="B430" s="21">
        <f t="shared" si="12"/>
        <v>0.22364519999999999</v>
      </c>
      <c r="D430">
        <f t="shared" si="13"/>
        <v>89.778647798742114</v>
      </c>
      <c r="G430" s="21">
        <v>-0.28549609999999997</v>
      </c>
      <c r="H430" s="21">
        <v>0.22364519999999999</v>
      </c>
    </row>
    <row r="431" spans="1:8" x14ac:dyDescent="0.15">
      <c r="A431" s="21">
        <v>8.3789060000000002E-3</v>
      </c>
      <c r="B431" s="21">
        <f t="shared" si="12"/>
        <v>0.23630870000000001</v>
      </c>
      <c r="D431">
        <f t="shared" si="13"/>
        <v>95.027767295597485</v>
      </c>
      <c r="G431" s="21">
        <v>-0.30218830000000002</v>
      </c>
      <c r="H431" s="21">
        <v>0.23630870000000001</v>
      </c>
    </row>
    <row r="432" spans="1:8" x14ac:dyDescent="0.15">
      <c r="A432" s="21">
        <v>8.3984369999999999E-3</v>
      </c>
      <c r="B432" s="21">
        <f t="shared" si="12"/>
        <v>0.24603149999999999</v>
      </c>
      <c r="D432">
        <f t="shared" si="13"/>
        <v>99.037012578616356</v>
      </c>
      <c r="G432" s="21">
        <v>-0.31493769999999999</v>
      </c>
      <c r="H432" s="21">
        <v>0.24603149999999999</v>
      </c>
    </row>
    <row r="433" spans="1:8" x14ac:dyDescent="0.15">
      <c r="A433" s="21">
        <v>8.4179690000000008E-3</v>
      </c>
      <c r="B433" s="21">
        <f t="shared" si="12"/>
        <v>0.25229499999999999</v>
      </c>
      <c r="D433">
        <f t="shared" si="13"/>
        <v>101.54729559748426</v>
      </c>
      <c r="G433" s="21">
        <v>-0.3229204</v>
      </c>
      <c r="H433" s="21">
        <v>0.25229499999999999</v>
      </c>
    </row>
    <row r="434" spans="1:8" x14ac:dyDescent="0.15">
      <c r="A434" s="21">
        <v>8.4375000000000006E-3</v>
      </c>
      <c r="B434" s="21">
        <f t="shared" si="12"/>
        <v>0.25485020000000003</v>
      </c>
      <c r="D434">
        <f t="shared" si="13"/>
        <v>102.59506289308176</v>
      </c>
      <c r="G434" s="21">
        <v>-0.3262523</v>
      </c>
      <c r="H434" s="21">
        <v>0.25485020000000003</v>
      </c>
    </row>
    <row r="435" spans="1:8" x14ac:dyDescent="0.15">
      <c r="A435" s="21">
        <v>8.4570310000000003E-3</v>
      </c>
      <c r="B435" s="21">
        <f t="shared" si="12"/>
        <v>0.2531853</v>
      </c>
      <c r="D435">
        <f t="shared" si="13"/>
        <v>101.91682389937105</v>
      </c>
      <c r="G435" s="21">
        <v>-0.32409549999999998</v>
      </c>
      <c r="H435" s="21">
        <v>0.2531853</v>
      </c>
    </row>
    <row r="436" spans="1:8" x14ac:dyDescent="0.15">
      <c r="A436" s="21">
        <v>8.476562E-3</v>
      </c>
      <c r="B436" s="21">
        <f t="shared" si="12"/>
        <v>0.248031</v>
      </c>
      <c r="D436">
        <f t="shared" si="13"/>
        <v>99.947232704402509</v>
      </c>
      <c r="G436" s="21">
        <v>-0.31783220000000001</v>
      </c>
      <c r="H436" s="21">
        <v>0.248031</v>
      </c>
    </row>
    <row r="437" spans="1:8" x14ac:dyDescent="0.15">
      <c r="A437" s="21">
        <v>8.4960939999999992E-3</v>
      </c>
      <c r="B437" s="21">
        <f t="shared" si="12"/>
        <v>0.23900379999999999</v>
      </c>
      <c r="D437">
        <f t="shared" si="13"/>
        <v>96.365754716981129</v>
      </c>
      <c r="G437" s="21">
        <v>-0.30644310000000002</v>
      </c>
      <c r="H437" s="21">
        <v>0.23900379999999999</v>
      </c>
    </row>
    <row r="438" spans="1:8" x14ac:dyDescent="0.15">
      <c r="A438" s="21">
        <v>8.5156250000000006E-3</v>
      </c>
      <c r="B438" s="21">
        <f t="shared" si="12"/>
        <v>0.22586310000000001</v>
      </c>
      <c r="D438">
        <f t="shared" si="13"/>
        <v>91.111729559748426</v>
      </c>
      <c r="G438" s="21">
        <v>-0.28973529999999997</v>
      </c>
      <c r="H438" s="21">
        <v>0.22586310000000001</v>
      </c>
    </row>
    <row r="439" spans="1:8" x14ac:dyDescent="0.15">
      <c r="A439" s="21">
        <v>8.5351560000000003E-3</v>
      </c>
      <c r="B439" s="21">
        <f t="shared" si="12"/>
        <v>0.21061740000000001</v>
      </c>
      <c r="D439">
        <f t="shared" si="13"/>
        <v>85.11682389937107</v>
      </c>
      <c r="G439" s="21">
        <v>-0.27067150000000001</v>
      </c>
      <c r="H439" s="21">
        <v>0.21061740000000001</v>
      </c>
    </row>
    <row r="440" spans="1:8" x14ac:dyDescent="0.15">
      <c r="A440" s="21">
        <v>8.5546870000000001E-3</v>
      </c>
      <c r="B440" s="21">
        <f t="shared" si="12"/>
        <v>0.19206780000000001</v>
      </c>
      <c r="D440">
        <f t="shared" si="13"/>
        <v>77.625849056603769</v>
      </c>
      <c r="G440" s="21">
        <v>-0.24685019999999999</v>
      </c>
      <c r="H440" s="21">
        <v>0.19206780000000001</v>
      </c>
    </row>
    <row r="441" spans="1:8" x14ac:dyDescent="0.15">
      <c r="A441" s="21">
        <v>8.5742189999999992E-3</v>
      </c>
      <c r="B441" s="21">
        <f t="shared" si="12"/>
        <v>0.16912940000000001</v>
      </c>
      <c r="D441">
        <f t="shared" si="13"/>
        <v>68.446320754716979</v>
      </c>
      <c r="G441" s="21">
        <v>-0.2176593</v>
      </c>
      <c r="H441" s="21">
        <v>0.16912940000000001</v>
      </c>
    </row>
    <row r="442" spans="1:8" x14ac:dyDescent="0.15">
      <c r="A442" s="21">
        <v>8.5937500000000007E-3</v>
      </c>
      <c r="B442" s="21">
        <f t="shared" si="12"/>
        <v>0.14440339999999999</v>
      </c>
      <c r="D442">
        <f t="shared" si="13"/>
        <v>58.758647798742132</v>
      </c>
      <c r="G442" s="21">
        <v>-0.1868525</v>
      </c>
      <c r="H442" s="21">
        <v>0.14440339999999999</v>
      </c>
    </row>
    <row r="443" spans="1:8" x14ac:dyDescent="0.15">
      <c r="A443" s="21">
        <v>8.6132810000000004E-3</v>
      </c>
      <c r="B443" s="21">
        <f t="shared" si="12"/>
        <v>0.1176707</v>
      </c>
      <c r="D443">
        <f t="shared" si="13"/>
        <v>48.091383647798736</v>
      </c>
      <c r="G443" s="21">
        <v>-0.1529306</v>
      </c>
      <c r="H443" s="21">
        <v>0.1176707</v>
      </c>
    </row>
    <row r="444" spans="1:8" x14ac:dyDescent="0.15">
      <c r="A444" s="21">
        <v>8.6328120000000001E-3</v>
      </c>
      <c r="B444" s="21">
        <f t="shared" si="12"/>
        <v>8.8580030000000004E-2</v>
      </c>
      <c r="D444">
        <f t="shared" si="13"/>
        <v>36.438050314465407</v>
      </c>
      <c r="G444" s="21">
        <v>-0.115873</v>
      </c>
      <c r="H444" s="21">
        <v>8.8580030000000004E-2</v>
      </c>
    </row>
    <row r="445" spans="1:8" x14ac:dyDescent="0.15">
      <c r="A445" s="21">
        <v>8.6523439999999993E-3</v>
      </c>
      <c r="B445" s="21">
        <f t="shared" si="12"/>
        <v>5.8691090000000001E-2</v>
      </c>
      <c r="D445">
        <f t="shared" si="13"/>
        <v>24.556031446540878</v>
      </c>
      <c r="G445" s="21">
        <v>-7.8088179999999993E-2</v>
      </c>
      <c r="H445" s="21">
        <v>5.8691090000000001E-2</v>
      </c>
    </row>
    <row r="446" spans="1:8" x14ac:dyDescent="0.15">
      <c r="A446" s="21">
        <v>8.6718750000000008E-3</v>
      </c>
      <c r="B446" s="21">
        <f t="shared" si="12"/>
        <v>2.7528850000000001E-2</v>
      </c>
      <c r="D446">
        <f t="shared" si="13"/>
        <v>12.122632075471698</v>
      </c>
      <c r="G446" s="21">
        <v>-3.8549970000000003E-2</v>
      </c>
      <c r="H446" s="21">
        <v>2.7528850000000001E-2</v>
      </c>
    </row>
    <row r="447" spans="1:8" x14ac:dyDescent="0.15">
      <c r="A447" s="21">
        <v>8.6914060000000005E-3</v>
      </c>
      <c r="B447" s="21">
        <f t="shared" si="12"/>
        <v>-4.3221170000000003E-3</v>
      </c>
      <c r="D447">
        <f t="shared" si="13"/>
        <v>-0.57681194968553451</v>
      </c>
      <c r="G447" s="21">
        <v>1.8342619999999999E-3</v>
      </c>
      <c r="H447" s="21">
        <v>-4.3221170000000003E-3</v>
      </c>
    </row>
    <row r="448" spans="1:8" x14ac:dyDescent="0.15">
      <c r="A448" s="21">
        <v>8.7109370000000002E-3</v>
      </c>
      <c r="B448" s="21">
        <f t="shared" si="12"/>
        <v>-3.5651509999999997E-2</v>
      </c>
      <c r="D448">
        <f t="shared" si="13"/>
        <v>-13.166411949685536</v>
      </c>
      <c r="G448" s="21">
        <v>4.1869190000000001E-2</v>
      </c>
      <c r="H448" s="21">
        <v>-3.5651509999999997E-2</v>
      </c>
    </row>
    <row r="449" spans="1:8" x14ac:dyDescent="0.15">
      <c r="A449" s="21">
        <v>8.7304689999999994E-3</v>
      </c>
      <c r="B449" s="21">
        <f t="shared" si="12"/>
        <v>-6.6380439999999999E-2</v>
      </c>
      <c r="D449">
        <f t="shared" si="13"/>
        <v>-25.525789308176101</v>
      </c>
      <c r="G449" s="21">
        <v>8.1172010000000003E-2</v>
      </c>
      <c r="H449" s="21">
        <v>-6.6380439999999999E-2</v>
      </c>
    </row>
    <row r="450" spans="1:8" x14ac:dyDescent="0.15">
      <c r="A450" s="21">
        <v>8.7500000000000008E-3</v>
      </c>
      <c r="B450" s="21">
        <f t="shared" si="12"/>
        <v>-9.5745559999999993E-2</v>
      </c>
      <c r="D450">
        <f t="shared" si="13"/>
        <v>-37.197484276729561</v>
      </c>
      <c r="G450" s="21">
        <v>0.118288</v>
      </c>
      <c r="H450" s="21">
        <v>-9.5745559999999993E-2</v>
      </c>
    </row>
    <row r="451" spans="1:8" x14ac:dyDescent="0.15">
      <c r="A451" s="21">
        <v>8.7695310000000005E-3</v>
      </c>
      <c r="B451" s="21">
        <f t="shared" ref="B451:B513" si="14">H451</f>
        <v>-0.1236997</v>
      </c>
      <c r="D451">
        <f t="shared" ref="D451:D513" si="15">G451*-1000/3.18</f>
        <v>-48.441761006289312</v>
      </c>
      <c r="G451" s="21">
        <v>0.15404480000000001</v>
      </c>
      <c r="H451" s="21">
        <v>-0.1236997</v>
      </c>
    </row>
    <row r="452" spans="1:8" x14ac:dyDescent="0.15">
      <c r="A452" s="21">
        <v>8.7890620000000003E-3</v>
      </c>
      <c r="B452" s="21">
        <f t="shared" si="14"/>
        <v>-0.15019009999999999</v>
      </c>
      <c r="D452">
        <f t="shared" si="15"/>
        <v>-59.159622641509429</v>
      </c>
      <c r="G452" s="21">
        <v>0.18812760000000001</v>
      </c>
      <c r="H452" s="21">
        <v>-0.15019009999999999</v>
      </c>
    </row>
    <row r="453" spans="1:8" x14ac:dyDescent="0.15">
      <c r="A453" s="21">
        <v>8.8085939999999995E-3</v>
      </c>
      <c r="B453" s="21">
        <f t="shared" si="14"/>
        <v>-0.17419280000000001</v>
      </c>
      <c r="D453">
        <f t="shared" si="15"/>
        <v>-68.750062893081747</v>
      </c>
      <c r="G453" s="21">
        <v>0.21862519999999999</v>
      </c>
      <c r="H453" s="21">
        <v>-0.17419280000000001</v>
      </c>
    </row>
    <row r="454" spans="1:8" x14ac:dyDescent="0.15">
      <c r="A454" s="21">
        <v>8.8281249999999992E-3</v>
      </c>
      <c r="B454" s="21">
        <f t="shared" si="14"/>
        <v>-0.1956251</v>
      </c>
      <c r="D454">
        <f t="shared" si="15"/>
        <v>-77.378867924528294</v>
      </c>
      <c r="G454" s="21">
        <v>0.2460648</v>
      </c>
      <c r="H454" s="21">
        <v>-0.1956251</v>
      </c>
    </row>
    <row r="455" spans="1:8" x14ac:dyDescent="0.15">
      <c r="A455" s="21">
        <v>8.8476560000000006E-3</v>
      </c>
      <c r="B455" s="21">
        <f t="shared" si="14"/>
        <v>-0.21427589999999999</v>
      </c>
      <c r="D455">
        <f t="shared" si="15"/>
        <v>-84.945314465408799</v>
      </c>
      <c r="G455" s="21">
        <v>0.27012609999999998</v>
      </c>
      <c r="H455" s="21">
        <v>-0.21427589999999999</v>
      </c>
    </row>
    <row r="456" spans="1:8" x14ac:dyDescent="0.15">
      <c r="A456" s="21">
        <v>8.8671879999999998E-3</v>
      </c>
      <c r="B456" s="21">
        <f t="shared" si="14"/>
        <v>-0.229044</v>
      </c>
      <c r="D456">
        <f t="shared" si="15"/>
        <v>-90.940817610062894</v>
      </c>
      <c r="G456" s="21">
        <v>0.2891918</v>
      </c>
      <c r="H456" s="21">
        <v>-0.229044</v>
      </c>
    </row>
    <row r="457" spans="1:8" x14ac:dyDescent="0.15">
      <c r="A457" s="21">
        <v>8.8867189999999995E-3</v>
      </c>
      <c r="B457" s="21">
        <f t="shared" si="14"/>
        <v>-0.24030219999999999</v>
      </c>
      <c r="D457">
        <f t="shared" si="15"/>
        <v>-95.568710691823895</v>
      </c>
      <c r="G457" s="21">
        <v>0.30390850000000003</v>
      </c>
      <c r="H457" s="21">
        <v>-0.24030219999999999</v>
      </c>
    </row>
    <row r="458" spans="1:8" x14ac:dyDescent="0.15">
      <c r="A458" s="21">
        <v>8.9062499999999992E-3</v>
      </c>
      <c r="B458" s="21">
        <f t="shared" si="14"/>
        <v>-0.24868399999999999</v>
      </c>
      <c r="D458">
        <f t="shared" si="15"/>
        <v>-99.019402515723257</v>
      </c>
      <c r="G458" s="21">
        <v>0.31488169999999999</v>
      </c>
      <c r="H458" s="21">
        <v>-0.24868399999999999</v>
      </c>
    </row>
    <row r="459" spans="1:8" x14ac:dyDescent="0.15">
      <c r="A459" s="21">
        <v>8.9257810000000007E-3</v>
      </c>
      <c r="B459" s="21">
        <f t="shared" si="14"/>
        <v>-0.253332</v>
      </c>
      <c r="D459">
        <f t="shared" si="15"/>
        <v>-100.96506289308175</v>
      </c>
      <c r="G459" s="21">
        <v>0.32106889999999999</v>
      </c>
      <c r="H459" s="21">
        <v>-0.253332</v>
      </c>
    </row>
    <row r="460" spans="1:8" x14ac:dyDescent="0.15">
      <c r="A460" s="21">
        <v>8.9453129999999999E-3</v>
      </c>
      <c r="B460" s="21">
        <f t="shared" si="14"/>
        <v>-0.25425150000000002</v>
      </c>
      <c r="D460">
        <f t="shared" si="15"/>
        <v>-101.42685534591195</v>
      </c>
      <c r="G460" s="21">
        <v>0.32253739999999997</v>
      </c>
      <c r="H460" s="21">
        <v>-0.25425150000000002</v>
      </c>
    </row>
    <row r="461" spans="1:8" x14ac:dyDescent="0.15">
      <c r="A461" s="21">
        <v>8.9648439999999996E-3</v>
      </c>
      <c r="B461" s="21">
        <f t="shared" si="14"/>
        <v>-0.25136599999999998</v>
      </c>
      <c r="D461">
        <f t="shared" si="15"/>
        <v>-100.32393081761006</v>
      </c>
      <c r="G461" s="21">
        <v>0.31903009999999998</v>
      </c>
      <c r="H461" s="21">
        <v>-0.25136599999999998</v>
      </c>
    </row>
    <row r="462" spans="1:8" x14ac:dyDescent="0.15">
      <c r="A462" s="21">
        <v>8.9843749999999993E-3</v>
      </c>
      <c r="B462" s="21">
        <f t="shared" si="14"/>
        <v>-0.24411340000000001</v>
      </c>
      <c r="D462">
        <f t="shared" si="15"/>
        <v>-97.493710691823892</v>
      </c>
      <c r="G462" s="21">
        <v>0.31002999999999997</v>
      </c>
      <c r="H462" s="21">
        <v>-0.24411340000000001</v>
      </c>
    </row>
    <row r="463" spans="1:8" x14ac:dyDescent="0.15">
      <c r="A463" s="21">
        <v>9.0039060000000008E-3</v>
      </c>
      <c r="B463" s="21">
        <f t="shared" si="14"/>
        <v>-0.2334022</v>
      </c>
      <c r="D463">
        <f t="shared" si="15"/>
        <v>-93.285880503144639</v>
      </c>
      <c r="G463" s="21">
        <v>0.2966491</v>
      </c>
      <c r="H463" s="21">
        <v>-0.2334022</v>
      </c>
    </row>
    <row r="464" spans="1:8" x14ac:dyDescent="0.15">
      <c r="A464" s="21">
        <v>9.0234379999999999E-3</v>
      </c>
      <c r="B464" s="21">
        <f t="shared" si="14"/>
        <v>-0.21968989999999999</v>
      </c>
      <c r="D464">
        <f t="shared" si="15"/>
        <v>-87.868836477987401</v>
      </c>
      <c r="G464" s="21">
        <v>0.27942289999999997</v>
      </c>
      <c r="H464" s="21">
        <v>-0.21968989999999999</v>
      </c>
    </row>
    <row r="465" spans="1:8" x14ac:dyDescent="0.15">
      <c r="A465" s="21">
        <v>9.0429689999999997E-3</v>
      </c>
      <c r="B465" s="21">
        <f t="shared" si="14"/>
        <v>-0.20294609999999999</v>
      </c>
      <c r="D465">
        <f t="shared" si="15"/>
        <v>-81.24242138364778</v>
      </c>
      <c r="G465" s="21">
        <v>0.25835089999999999</v>
      </c>
      <c r="H465" s="21">
        <v>-0.20294609999999999</v>
      </c>
    </row>
    <row r="466" spans="1:8" x14ac:dyDescent="0.15">
      <c r="A466" s="21">
        <v>9.0624999999999994E-3</v>
      </c>
      <c r="B466" s="21">
        <f t="shared" si="14"/>
        <v>-0.18299029999999999</v>
      </c>
      <c r="D466">
        <f t="shared" si="15"/>
        <v>-73.264182389937105</v>
      </c>
      <c r="G466" s="21">
        <v>0.2329801</v>
      </c>
      <c r="H466" s="21">
        <v>-0.18299029999999999</v>
      </c>
    </row>
    <row r="467" spans="1:8" x14ac:dyDescent="0.15">
      <c r="A467" s="21">
        <v>9.0820310000000008E-3</v>
      </c>
      <c r="B467" s="21">
        <f t="shared" si="14"/>
        <v>-0.15941269999999999</v>
      </c>
      <c r="D467">
        <f t="shared" si="15"/>
        <v>-63.854811320754713</v>
      </c>
      <c r="G467" s="21">
        <v>0.2030583</v>
      </c>
      <c r="H467" s="21">
        <v>-0.15941269999999999</v>
      </c>
    </row>
    <row r="468" spans="1:8" x14ac:dyDescent="0.15">
      <c r="A468" s="21">
        <v>9.101563E-3</v>
      </c>
      <c r="B468" s="21">
        <f t="shared" si="14"/>
        <v>-0.13318630000000001</v>
      </c>
      <c r="D468">
        <f t="shared" si="15"/>
        <v>-53.475628930817614</v>
      </c>
      <c r="G468" s="21">
        <v>0.1700525</v>
      </c>
      <c r="H468" s="21">
        <v>-0.13318630000000001</v>
      </c>
    </row>
    <row r="469" spans="1:8" x14ac:dyDescent="0.15">
      <c r="A469" s="21">
        <v>9.1210939999999997E-3</v>
      </c>
      <c r="B469" s="21">
        <f t="shared" si="14"/>
        <v>-0.1054384</v>
      </c>
      <c r="D469">
        <f t="shared" si="15"/>
        <v>-42.438238993710691</v>
      </c>
      <c r="G469" s="21">
        <v>0.13495360000000001</v>
      </c>
      <c r="H469" s="21">
        <v>-0.1054384</v>
      </c>
    </row>
    <row r="470" spans="1:8" x14ac:dyDescent="0.15">
      <c r="A470" s="21">
        <v>9.1406249999999994E-3</v>
      </c>
      <c r="B470" s="21">
        <f t="shared" si="14"/>
        <v>-7.6513629999999999E-2</v>
      </c>
      <c r="D470">
        <f t="shared" si="15"/>
        <v>-30.814053459119496</v>
      </c>
      <c r="G470" s="21">
        <v>9.7988690000000003E-2</v>
      </c>
      <c r="H470" s="21">
        <v>-7.6513629999999999E-2</v>
      </c>
    </row>
    <row r="471" spans="1:8" x14ac:dyDescent="0.15">
      <c r="A471" s="21">
        <v>9.1601559999999992E-3</v>
      </c>
      <c r="B471" s="21">
        <f t="shared" si="14"/>
        <v>-4.6302309999999999E-2</v>
      </c>
      <c r="D471">
        <f t="shared" si="15"/>
        <v>-18.663069182389936</v>
      </c>
      <c r="G471" s="21">
        <v>5.9348560000000002E-2</v>
      </c>
      <c r="H471" s="21">
        <v>-4.6302309999999999E-2</v>
      </c>
    </row>
    <row r="472" spans="1:8" x14ac:dyDescent="0.15">
      <c r="A472" s="21">
        <v>9.1796880000000001E-3</v>
      </c>
      <c r="B472" s="21">
        <f t="shared" si="14"/>
        <v>-1.5050340000000001E-2</v>
      </c>
      <c r="D472">
        <f t="shared" si="15"/>
        <v>-6.1695062893081758</v>
      </c>
      <c r="G472" s="21">
        <v>1.9619029999999999E-2</v>
      </c>
      <c r="H472" s="21">
        <v>-1.5050340000000001E-2</v>
      </c>
    </row>
    <row r="473" spans="1:8" x14ac:dyDescent="0.15">
      <c r="A473" s="21">
        <v>9.1992189999999998E-3</v>
      </c>
      <c r="B473" s="21">
        <f t="shared" si="14"/>
        <v>1.6523119999999999E-2</v>
      </c>
      <c r="D473">
        <f t="shared" si="15"/>
        <v>6.4196194968553462</v>
      </c>
      <c r="G473" s="21">
        <v>-2.0414390000000001E-2</v>
      </c>
      <c r="H473" s="21">
        <v>1.6523119999999999E-2</v>
      </c>
    </row>
    <row r="474" spans="1:8" x14ac:dyDescent="0.15">
      <c r="A474" s="21">
        <v>9.2187499999999995E-3</v>
      </c>
      <c r="B474" s="21">
        <f t="shared" si="14"/>
        <v>4.8254279999999997E-2</v>
      </c>
      <c r="D474">
        <f t="shared" si="15"/>
        <v>19.198996855345911</v>
      </c>
      <c r="G474" s="21">
        <v>-6.1052809999999999E-2</v>
      </c>
      <c r="H474" s="21">
        <v>4.8254279999999997E-2</v>
      </c>
    </row>
    <row r="475" spans="1:8" x14ac:dyDescent="0.15">
      <c r="A475" s="21">
        <v>9.2382809999999992E-3</v>
      </c>
      <c r="B475" s="21">
        <f t="shared" si="14"/>
        <v>7.8944440000000005E-2</v>
      </c>
      <c r="D475">
        <f t="shared" si="15"/>
        <v>31.581792452830186</v>
      </c>
      <c r="G475" s="21">
        <v>-0.10043009999999999</v>
      </c>
      <c r="H475" s="21">
        <v>7.8944440000000005E-2</v>
      </c>
    </row>
    <row r="476" spans="1:8" x14ac:dyDescent="0.15">
      <c r="A476" s="21">
        <v>9.2578130000000002E-3</v>
      </c>
      <c r="B476" s="21">
        <f t="shared" si="14"/>
        <v>0.1073147</v>
      </c>
      <c r="D476">
        <f t="shared" si="15"/>
        <v>42.880817610062898</v>
      </c>
      <c r="G476" s="21">
        <v>-0.13636100000000001</v>
      </c>
      <c r="H476" s="21">
        <v>0.1073147</v>
      </c>
    </row>
    <row r="477" spans="1:8" x14ac:dyDescent="0.15">
      <c r="A477" s="21">
        <v>9.2773439999999999E-3</v>
      </c>
      <c r="B477" s="21">
        <f t="shared" si="14"/>
        <v>0.13422880000000001</v>
      </c>
      <c r="D477">
        <f t="shared" si="15"/>
        <v>53.749937106918232</v>
      </c>
      <c r="G477" s="21">
        <v>-0.17092479999999999</v>
      </c>
      <c r="H477" s="21">
        <v>0.13422880000000001</v>
      </c>
    </row>
    <row r="478" spans="1:8" x14ac:dyDescent="0.15">
      <c r="A478" s="21">
        <v>9.2968749999999996E-3</v>
      </c>
      <c r="B478" s="21">
        <f t="shared" si="14"/>
        <v>0.15998519999999999</v>
      </c>
      <c r="D478">
        <f t="shared" si="15"/>
        <v>64.216886792452826</v>
      </c>
      <c r="G478" s="21">
        <v>-0.20420969999999999</v>
      </c>
      <c r="H478" s="21">
        <v>0.15998519999999999</v>
      </c>
    </row>
    <row r="479" spans="1:8" x14ac:dyDescent="0.15">
      <c r="A479" s="21">
        <v>9.3164059999999993E-3</v>
      </c>
      <c r="B479" s="21">
        <f t="shared" si="14"/>
        <v>0.18327109999999999</v>
      </c>
      <c r="D479">
        <f t="shared" si="15"/>
        <v>73.516289308176098</v>
      </c>
      <c r="G479" s="21">
        <v>-0.23378180000000001</v>
      </c>
      <c r="H479" s="21">
        <v>0.18327109999999999</v>
      </c>
    </row>
    <row r="480" spans="1:8" x14ac:dyDescent="0.15">
      <c r="A480" s="21">
        <v>9.3359380000000002E-3</v>
      </c>
      <c r="B480" s="21">
        <f t="shared" si="14"/>
        <v>0.20356299999999999</v>
      </c>
      <c r="D480">
        <f t="shared" si="15"/>
        <v>81.72116352201256</v>
      </c>
      <c r="G480" s="21">
        <v>-0.25987329999999997</v>
      </c>
      <c r="H480" s="21">
        <v>0.20356299999999999</v>
      </c>
    </row>
    <row r="481" spans="1:8" x14ac:dyDescent="0.15">
      <c r="A481" s="21">
        <v>9.3554689999999999E-3</v>
      </c>
      <c r="B481" s="21">
        <f t="shared" si="14"/>
        <v>0.22065080000000001</v>
      </c>
      <c r="D481">
        <f t="shared" si="15"/>
        <v>88.658333333333317</v>
      </c>
      <c r="G481" s="21">
        <v>-0.2819335</v>
      </c>
      <c r="H481" s="21">
        <v>0.22065080000000001</v>
      </c>
    </row>
    <row r="482" spans="1:8" x14ac:dyDescent="0.15">
      <c r="A482" s="21">
        <v>9.3749999999999997E-3</v>
      </c>
      <c r="B482" s="21">
        <f t="shared" si="14"/>
        <v>0.23398649999999999</v>
      </c>
      <c r="D482">
        <f t="shared" si="15"/>
        <v>94.081100628930827</v>
      </c>
      <c r="G482" s="21">
        <v>-0.2991779</v>
      </c>
      <c r="H482" s="21">
        <v>0.23398649999999999</v>
      </c>
    </row>
    <row r="483" spans="1:8" x14ac:dyDescent="0.15">
      <c r="A483" s="21">
        <v>9.3945309999999994E-3</v>
      </c>
      <c r="B483" s="21">
        <f t="shared" si="14"/>
        <v>0.24405969999999999</v>
      </c>
      <c r="D483">
        <f t="shared" si="15"/>
        <v>98.215188679245273</v>
      </c>
      <c r="G483" s="21">
        <v>-0.3123243</v>
      </c>
      <c r="H483" s="21">
        <v>0.24405969999999999</v>
      </c>
    </row>
    <row r="484" spans="1:8" x14ac:dyDescent="0.15">
      <c r="A484" s="21">
        <v>9.4140630000000003E-3</v>
      </c>
      <c r="B484" s="21">
        <f t="shared" si="14"/>
        <v>0.25090580000000001</v>
      </c>
      <c r="D484">
        <f t="shared" si="15"/>
        <v>100.94808176100629</v>
      </c>
      <c r="G484" s="21">
        <v>-0.32101489999999999</v>
      </c>
      <c r="H484" s="21">
        <v>0.25090580000000001</v>
      </c>
    </row>
    <row r="485" spans="1:8" x14ac:dyDescent="0.15">
      <c r="A485" s="21">
        <v>9.433594E-3</v>
      </c>
      <c r="B485" s="21">
        <f t="shared" si="14"/>
        <v>0.25420989999999999</v>
      </c>
      <c r="D485">
        <f t="shared" si="15"/>
        <v>102.38842767295596</v>
      </c>
      <c r="G485" s="21">
        <v>-0.32559519999999997</v>
      </c>
      <c r="H485" s="21">
        <v>0.25420989999999999</v>
      </c>
    </row>
    <row r="486" spans="1:8" x14ac:dyDescent="0.15">
      <c r="A486" s="21">
        <v>9.4531249999999997E-3</v>
      </c>
      <c r="B486" s="21">
        <f t="shared" si="14"/>
        <v>0.25402809999999998</v>
      </c>
      <c r="D486">
        <f t="shared" si="15"/>
        <v>102.33732704402516</v>
      </c>
      <c r="G486" s="21">
        <v>-0.32543270000000002</v>
      </c>
      <c r="H486" s="21">
        <v>0.25402809999999998</v>
      </c>
    </row>
    <row r="487" spans="1:8" x14ac:dyDescent="0.15">
      <c r="A487" s="21">
        <v>9.4726559999999994E-3</v>
      </c>
      <c r="B487" s="21">
        <f t="shared" si="14"/>
        <v>0.24927479999999999</v>
      </c>
      <c r="D487">
        <f t="shared" si="15"/>
        <v>100.32911949685534</v>
      </c>
      <c r="G487" s="21">
        <v>-0.31904660000000001</v>
      </c>
      <c r="H487" s="21">
        <v>0.24927479999999999</v>
      </c>
    </row>
    <row r="488" spans="1:8" x14ac:dyDescent="0.15">
      <c r="A488" s="21">
        <v>9.4921880000000004E-3</v>
      </c>
      <c r="B488" s="21">
        <f t="shared" si="14"/>
        <v>0.2405564</v>
      </c>
      <c r="D488">
        <f t="shared" si="15"/>
        <v>96.999150943396216</v>
      </c>
      <c r="G488" s="21">
        <v>-0.30845729999999999</v>
      </c>
      <c r="H488" s="21">
        <v>0.2405564</v>
      </c>
    </row>
    <row r="489" spans="1:8" x14ac:dyDescent="0.15">
      <c r="A489" s="21">
        <v>9.5117190000000001E-3</v>
      </c>
      <c r="B489" s="21">
        <f t="shared" si="14"/>
        <v>0.22886590000000001</v>
      </c>
      <c r="D489">
        <f t="shared" si="15"/>
        <v>92.407798742138354</v>
      </c>
      <c r="G489" s="21">
        <v>-0.29385679999999997</v>
      </c>
      <c r="H489" s="21">
        <v>0.22886590000000001</v>
      </c>
    </row>
    <row r="490" spans="1:8" x14ac:dyDescent="0.15">
      <c r="A490" s="21">
        <v>9.5312499999999998E-3</v>
      </c>
      <c r="B490" s="21">
        <f t="shared" si="14"/>
        <v>0.21339259999999999</v>
      </c>
      <c r="D490">
        <f t="shared" si="15"/>
        <v>86.17512578616352</v>
      </c>
      <c r="G490" s="21">
        <v>-0.27403690000000003</v>
      </c>
      <c r="H490" s="21">
        <v>0.21339259999999999</v>
      </c>
    </row>
    <row r="491" spans="1:8" x14ac:dyDescent="0.15">
      <c r="A491" s="21">
        <v>9.5507809999999995E-3</v>
      </c>
      <c r="B491" s="21">
        <f t="shared" si="14"/>
        <v>0.1951135</v>
      </c>
      <c r="D491">
        <f t="shared" si="15"/>
        <v>78.934433962264151</v>
      </c>
      <c r="G491" s="21">
        <v>-0.2510115</v>
      </c>
      <c r="H491" s="21">
        <v>0.1951135</v>
      </c>
    </row>
    <row r="492" spans="1:8" x14ac:dyDescent="0.15">
      <c r="A492" s="21">
        <v>9.5703130000000004E-3</v>
      </c>
      <c r="B492" s="21">
        <f t="shared" si="14"/>
        <v>0.17418159999999999</v>
      </c>
      <c r="D492">
        <f t="shared" si="15"/>
        <v>70.588018867924518</v>
      </c>
      <c r="G492" s="21">
        <v>-0.2244699</v>
      </c>
      <c r="H492" s="21">
        <v>0.17418159999999999</v>
      </c>
    </row>
    <row r="493" spans="1:8" x14ac:dyDescent="0.15">
      <c r="A493" s="21">
        <v>9.5898440000000001E-3</v>
      </c>
      <c r="B493" s="21">
        <f t="shared" si="14"/>
        <v>0.14964720000000001</v>
      </c>
      <c r="D493">
        <f t="shared" si="15"/>
        <v>60.85182389937107</v>
      </c>
      <c r="G493" s="21">
        <v>-0.19350880000000001</v>
      </c>
      <c r="H493" s="21">
        <v>0.14964720000000001</v>
      </c>
    </row>
    <row r="494" spans="1:8" x14ac:dyDescent="0.15">
      <c r="A494" s="21">
        <v>9.6093749999999999E-3</v>
      </c>
      <c r="B494" s="21">
        <f t="shared" si="14"/>
        <v>0.1228828</v>
      </c>
      <c r="D494">
        <f t="shared" si="15"/>
        <v>50.215754716981131</v>
      </c>
      <c r="G494" s="21">
        <v>-0.1596861</v>
      </c>
      <c r="H494" s="21">
        <v>0.1228828</v>
      </c>
    </row>
    <row r="495" spans="1:8" x14ac:dyDescent="0.15">
      <c r="A495" s="21">
        <v>9.6289059999999996E-3</v>
      </c>
      <c r="B495" s="21">
        <f t="shared" si="14"/>
        <v>9.4522209999999995E-2</v>
      </c>
      <c r="D495">
        <f t="shared" si="15"/>
        <v>38.802704402515722</v>
      </c>
      <c r="G495" s="21">
        <v>-0.12339260000000001</v>
      </c>
      <c r="H495" s="21">
        <v>9.4522209999999995E-2</v>
      </c>
    </row>
    <row r="496" spans="1:8" x14ac:dyDescent="0.15">
      <c r="A496" s="21">
        <v>9.6484380000000005E-3</v>
      </c>
      <c r="B496" s="21">
        <f t="shared" si="14"/>
        <v>6.4418630000000004E-2</v>
      </c>
      <c r="D496">
        <f t="shared" si="15"/>
        <v>26.821415094339617</v>
      </c>
      <c r="G496" s="21">
        <v>-8.5292099999999996E-2</v>
      </c>
      <c r="H496" s="21">
        <v>6.4418630000000004E-2</v>
      </c>
    </row>
    <row r="497" spans="1:8" x14ac:dyDescent="0.15">
      <c r="A497" s="21">
        <v>9.6679690000000002E-3</v>
      </c>
      <c r="B497" s="21">
        <f t="shared" si="14"/>
        <v>3.3390950000000003E-2</v>
      </c>
      <c r="D497">
        <f t="shared" si="15"/>
        <v>14.453040880503144</v>
      </c>
      <c r="G497" s="21">
        <v>-4.5960670000000002E-2</v>
      </c>
      <c r="H497" s="21">
        <v>3.3390950000000003E-2</v>
      </c>
    </row>
    <row r="498" spans="1:8" x14ac:dyDescent="0.15">
      <c r="A498" s="21">
        <v>9.6874999999999999E-3</v>
      </c>
      <c r="B498" s="21">
        <f t="shared" si="14"/>
        <v>2.0645559999999999E-3</v>
      </c>
      <c r="D498">
        <f t="shared" si="15"/>
        <v>1.8937301886792453</v>
      </c>
      <c r="G498" s="21">
        <v>-6.0220619999999999E-3</v>
      </c>
      <c r="H498" s="21">
        <v>2.0645559999999999E-3</v>
      </c>
    </row>
    <row r="499" spans="1:8" x14ac:dyDescent="0.15">
      <c r="A499" s="21">
        <v>9.7070309999999996E-3</v>
      </c>
      <c r="B499" s="21">
        <f t="shared" si="14"/>
        <v>-2.8839279999999998E-2</v>
      </c>
      <c r="D499">
        <f t="shared" si="15"/>
        <v>-10.388106918238995</v>
      </c>
      <c r="G499" s="21">
        <v>3.3034180000000003E-2</v>
      </c>
      <c r="H499" s="21">
        <v>-2.8839279999999998E-2</v>
      </c>
    </row>
    <row r="500" spans="1:8" x14ac:dyDescent="0.15">
      <c r="A500" s="21">
        <v>9.7265630000000006E-3</v>
      </c>
      <c r="B500" s="21">
        <f t="shared" si="14"/>
        <v>-5.966954E-2</v>
      </c>
      <c r="D500">
        <f t="shared" si="15"/>
        <v>-22.823009433962262</v>
      </c>
      <c r="G500" s="21">
        <v>7.2577169999999996E-2</v>
      </c>
      <c r="H500" s="21">
        <v>-5.966954E-2</v>
      </c>
    </row>
    <row r="501" spans="1:8" x14ac:dyDescent="0.15">
      <c r="A501" s="21">
        <v>9.7460940000000003E-3</v>
      </c>
      <c r="B501" s="21">
        <f t="shared" si="14"/>
        <v>-9.0443949999999995E-2</v>
      </c>
      <c r="D501">
        <f t="shared" si="15"/>
        <v>-35.113584905660375</v>
      </c>
      <c r="G501" s="21">
        <v>0.1116612</v>
      </c>
      <c r="H501" s="21">
        <v>-9.0443949999999995E-2</v>
      </c>
    </row>
    <row r="502" spans="1:8" x14ac:dyDescent="0.15">
      <c r="A502" s="21">
        <v>9.765625E-3</v>
      </c>
      <c r="B502" s="21">
        <f t="shared" si="14"/>
        <v>-0.118676</v>
      </c>
      <c r="D502">
        <f t="shared" si="15"/>
        <v>-46.278176100628933</v>
      </c>
      <c r="G502" s="21">
        <v>0.14716460000000001</v>
      </c>
      <c r="H502" s="21">
        <v>-0.118676</v>
      </c>
    </row>
    <row r="503" spans="1:8" x14ac:dyDescent="0.15">
      <c r="A503" s="21">
        <v>9.7851559999999997E-3</v>
      </c>
      <c r="B503" s="21">
        <f t="shared" si="14"/>
        <v>-0.14474039999999999</v>
      </c>
      <c r="D503">
        <f t="shared" si="15"/>
        <v>-56.955723270440252</v>
      </c>
      <c r="G503" s="21">
        <v>0.18111920000000001</v>
      </c>
      <c r="H503" s="21">
        <v>-0.14474039999999999</v>
      </c>
    </row>
    <row r="504" spans="1:8" x14ac:dyDescent="0.15">
      <c r="A504" s="21">
        <v>9.8046880000000006E-3</v>
      </c>
      <c r="B504" s="21">
        <f t="shared" si="14"/>
        <v>-0.16972519999999999</v>
      </c>
      <c r="D504">
        <f t="shared" si="15"/>
        <v>-66.948836477987413</v>
      </c>
      <c r="G504" s="21">
        <v>0.21289730000000001</v>
      </c>
      <c r="H504" s="21">
        <v>-0.16972519999999999</v>
      </c>
    </row>
    <row r="505" spans="1:8" x14ac:dyDescent="0.15">
      <c r="A505" s="21">
        <v>9.8242190000000004E-3</v>
      </c>
      <c r="B505" s="21">
        <f t="shared" si="14"/>
        <v>-0.19151960000000001</v>
      </c>
      <c r="D505">
        <f t="shared" si="15"/>
        <v>-75.597704402515717</v>
      </c>
      <c r="G505" s="21">
        <v>0.24040069999999999</v>
      </c>
      <c r="H505" s="21">
        <v>-0.19151960000000001</v>
      </c>
    </row>
    <row r="506" spans="1:8" x14ac:dyDescent="0.15">
      <c r="A506" s="21">
        <v>9.8437500000000001E-3</v>
      </c>
      <c r="B506" s="21">
        <f t="shared" si="14"/>
        <v>-0.21062929999999999</v>
      </c>
      <c r="D506">
        <f t="shared" si="15"/>
        <v>-83.415314465408812</v>
      </c>
      <c r="G506" s="21">
        <v>0.26526070000000002</v>
      </c>
      <c r="H506" s="21">
        <v>-0.21062929999999999</v>
      </c>
    </row>
    <row r="507" spans="1:8" x14ac:dyDescent="0.15">
      <c r="A507" s="21">
        <v>9.8632809999999998E-3</v>
      </c>
      <c r="B507" s="21">
        <f t="shared" si="14"/>
        <v>-0.22664110000000001</v>
      </c>
      <c r="D507">
        <f t="shared" si="15"/>
        <v>-89.802232704402513</v>
      </c>
      <c r="G507" s="21">
        <v>0.28557110000000002</v>
      </c>
      <c r="H507" s="21">
        <v>-0.22664110000000001</v>
      </c>
    </row>
    <row r="508" spans="1:8" x14ac:dyDescent="0.15">
      <c r="A508" s="21">
        <v>9.8828130000000007E-3</v>
      </c>
      <c r="B508" s="21">
        <f t="shared" si="14"/>
        <v>-0.23813190000000001</v>
      </c>
      <c r="D508">
        <f t="shared" si="15"/>
        <v>-94.604245283018855</v>
      </c>
      <c r="G508" s="21">
        <v>0.30084149999999998</v>
      </c>
      <c r="H508" s="21">
        <v>-0.23813190000000001</v>
      </c>
    </row>
    <row r="509" spans="1:8" x14ac:dyDescent="0.15">
      <c r="A509" s="21">
        <v>9.9023440000000004E-3</v>
      </c>
      <c r="B509" s="21">
        <f t="shared" si="14"/>
        <v>-0.24728600000000001</v>
      </c>
      <c r="D509">
        <f t="shared" si="15"/>
        <v>-98.424088050314467</v>
      </c>
      <c r="G509" s="21">
        <v>0.31298860000000001</v>
      </c>
      <c r="H509" s="21">
        <v>-0.24728600000000001</v>
      </c>
    </row>
    <row r="510" spans="1:8" x14ac:dyDescent="0.15">
      <c r="A510" s="21">
        <v>9.9218750000000001E-3</v>
      </c>
      <c r="B510" s="21">
        <f t="shared" si="14"/>
        <v>-0.25305909999999998</v>
      </c>
      <c r="D510">
        <f t="shared" si="15"/>
        <v>-100.66745283018868</v>
      </c>
      <c r="G510" s="21">
        <v>0.32012249999999998</v>
      </c>
      <c r="H510" s="21">
        <v>-0.25305909999999998</v>
      </c>
    </row>
    <row r="511" spans="1:8" x14ac:dyDescent="0.15">
      <c r="A511" s="21">
        <v>9.9414059999999999E-3</v>
      </c>
      <c r="B511" s="21">
        <f t="shared" si="14"/>
        <v>-0.25424419999999998</v>
      </c>
      <c r="D511">
        <f t="shared" si="15"/>
        <v>-101.33814465408805</v>
      </c>
      <c r="G511" s="21">
        <v>0.32225530000000002</v>
      </c>
      <c r="H511" s="21">
        <v>-0.25424419999999998</v>
      </c>
    </row>
    <row r="512" spans="1:8" x14ac:dyDescent="0.15">
      <c r="A512" s="21">
        <v>9.9609380000000008E-3</v>
      </c>
      <c r="B512" s="21">
        <f t="shared" si="14"/>
        <v>-0.25209330000000002</v>
      </c>
      <c r="D512">
        <f t="shared" si="15"/>
        <v>-100.56427672955974</v>
      </c>
      <c r="G512" s="21">
        <v>0.31979439999999998</v>
      </c>
      <c r="H512" s="21">
        <v>-0.25209330000000002</v>
      </c>
    </row>
    <row r="513" spans="1:8" x14ac:dyDescent="0.15">
      <c r="A513" s="21">
        <v>9.9804690000000005E-3</v>
      </c>
      <c r="B513" s="21">
        <f t="shared" si="14"/>
        <v>-0.24549309999999999</v>
      </c>
      <c r="D513">
        <f t="shared" si="15"/>
        <v>-97.970345911949664</v>
      </c>
      <c r="G513" s="21">
        <v>0.31154569999999998</v>
      </c>
      <c r="H513" s="21">
        <v>-0.24549309999999999</v>
      </c>
    </row>
    <row r="514" spans="1:8" x14ac:dyDescent="0.15">
      <c r="A514" s="21">
        <v>0.01</v>
      </c>
      <c r="B514" s="21">
        <f t="shared" ref="B514:B577" si="16">H514</f>
        <v>-0.23556240000000001</v>
      </c>
      <c r="D514">
        <f t="shared" ref="D514:D577" si="17">G514*-1000/3.18</f>
        <v>-94.191540880503126</v>
      </c>
      <c r="G514" s="21">
        <v>0.29952909999999999</v>
      </c>
      <c r="H514" s="21">
        <v>-0.23556240000000001</v>
      </c>
    </row>
    <row r="515" spans="1:8" x14ac:dyDescent="0.15">
      <c r="A515" s="21">
        <v>1.001953E-2</v>
      </c>
      <c r="B515" s="21">
        <f t="shared" si="16"/>
        <v>-0.2232604</v>
      </c>
      <c r="D515">
        <f t="shared" si="17"/>
        <v>-89.301981132075468</v>
      </c>
      <c r="G515" s="21">
        <v>0.28398030000000002</v>
      </c>
      <c r="H515" s="21">
        <v>-0.2232604</v>
      </c>
    </row>
    <row r="516" spans="1:8" x14ac:dyDescent="0.15">
      <c r="A516" s="21">
        <v>1.0039060000000001E-2</v>
      </c>
      <c r="B516" s="21">
        <f t="shared" si="16"/>
        <v>-0.20673069999999999</v>
      </c>
      <c r="D516">
        <f t="shared" si="17"/>
        <v>-82.70339622641508</v>
      </c>
      <c r="G516" s="21">
        <v>0.26299679999999998</v>
      </c>
      <c r="H516" s="21">
        <v>-0.20673069999999999</v>
      </c>
    </row>
    <row r="517" spans="1:8" x14ac:dyDescent="0.15">
      <c r="A517" s="21">
        <v>1.0058589999999999E-2</v>
      </c>
      <c r="B517" s="21">
        <f t="shared" si="16"/>
        <v>-0.18677779999999999</v>
      </c>
      <c r="D517">
        <f t="shared" si="17"/>
        <v>-74.797735849056608</v>
      </c>
      <c r="G517" s="21">
        <v>0.23785680000000001</v>
      </c>
      <c r="H517" s="21">
        <v>-0.18677779999999999</v>
      </c>
    </row>
    <row r="518" spans="1:8" x14ac:dyDescent="0.15">
      <c r="A518" s="21">
        <v>1.0078129999999999E-2</v>
      </c>
      <c r="B518" s="21">
        <f t="shared" si="16"/>
        <v>-0.1640481</v>
      </c>
      <c r="D518">
        <f t="shared" si="17"/>
        <v>-65.714339622641504</v>
      </c>
      <c r="G518" s="21">
        <v>0.20897160000000001</v>
      </c>
      <c r="H518" s="21">
        <v>-0.1640481</v>
      </c>
    </row>
    <row r="519" spans="1:8" x14ac:dyDescent="0.15">
      <c r="A519" s="21">
        <v>1.009766E-2</v>
      </c>
      <c r="B519" s="21">
        <f t="shared" si="16"/>
        <v>-0.1384177</v>
      </c>
      <c r="D519">
        <f t="shared" si="17"/>
        <v>-55.490471698113204</v>
      </c>
      <c r="G519" s="21">
        <v>0.1764597</v>
      </c>
      <c r="H519" s="21">
        <v>-0.1384177</v>
      </c>
    </row>
    <row r="520" spans="1:8" x14ac:dyDescent="0.15">
      <c r="A520" s="21">
        <v>1.011719E-2</v>
      </c>
      <c r="B520" s="21">
        <f t="shared" si="16"/>
        <v>-0.1115717</v>
      </c>
      <c r="D520">
        <f t="shared" si="17"/>
        <v>-44.736886792452836</v>
      </c>
      <c r="G520" s="21">
        <v>0.14226330000000001</v>
      </c>
      <c r="H520" s="21">
        <v>-0.1115717</v>
      </c>
    </row>
    <row r="521" spans="1:8" x14ac:dyDescent="0.15">
      <c r="A521" s="21">
        <v>1.013672E-2</v>
      </c>
      <c r="B521" s="21">
        <f t="shared" si="16"/>
        <v>-8.3044880000000001E-2</v>
      </c>
      <c r="D521">
        <f t="shared" si="17"/>
        <v>-33.260251572327043</v>
      </c>
      <c r="G521" s="21">
        <v>0.1057676</v>
      </c>
      <c r="H521" s="21">
        <v>-8.3044880000000001E-2</v>
      </c>
    </row>
    <row r="522" spans="1:8" x14ac:dyDescent="0.15">
      <c r="A522" s="21">
        <v>1.015625E-2</v>
      </c>
      <c r="B522" s="21">
        <f t="shared" si="16"/>
        <v>-5.2482639999999997E-2</v>
      </c>
      <c r="D522">
        <f t="shared" si="17"/>
        <v>-21.101704402515722</v>
      </c>
      <c r="G522" s="21">
        <v>6.7103419999999997E-2</v>
      </c>
      <c r="H522" s="21">
        <v>-5.2482639999999997E-2</v>
      </c>
    </row>
    <row r="523" spans="1:8" x14ac:dyDescent="0.15">
      <c r="A523" s="21">
        <v>1.0175780000000001E-2</v>
      </c>
      <c r="B523" s="21">
        <f t="shared" si="16"/>
        <v>-2.1313410000000001E-2</v>
      </c>
      <c r="D523">
        <f t="shared" si="17"/>
        <v>-8.6373396226415089</v>
      </c>
      <c r="G523" s="21">
        <v>2.746674E-2</v>
      </c>
      <c r="H523" s="21">
        <v>-2.1313410000000001E-2</v>
      </c>
    </row>
    <row r="524" spans="1:8" x14ac:dyDescent="0.15">
      <c r="A524" s="21">
        <v>1.0195310000000001E-2</v>
      </c>
      <c r="B524" s="21">
        <f t="shared" si="16"/>
        <v>1.0830289999999999E-2</v>
      </c>
      <c r="D524">
        <f t="shared" si="17"/>
        <v>4.2801603773584906</v>
      </c>
      <c r="G524" s="21">
        <v>-1.361091E-2</v>
      </c>
      <c r="H524" s="21">
        <v>1.0830289999999999E-2</v>
      </c>
    </row>
    <row r="525" spans="1:8" x14ac:dyDescent="0.15">
      <c r="A525" s="21">
        <v>1.0214839999999999E-2</v>
      </c>
      <c r="B525" s="21">
        <f t="shared" si="16"/>
        <v>4.2490710000000001E-2</v>
      </c>
      <c r="D525">
        <f t="shared" si="17"/>
        <v>16.899993710691824</v>
      </c>
      <c r="G525" s="21">
        <v>-5.3741980000000002E-2</v>
      </c>
      <c r="H525" s="21">
        <v>4.2490710000000001E-2</v>
      </c>
    </row>
    <row r="526" spans="1:8" x14ac:dyDescent="0.15">
      <c r="A526" s="21">
        <v>1.023438E-2</v>
      </c>
      <c r="B526" s="21">
        <f t="shared" si="16"/>
        <v>7.2395290000000001E-2</v>
      </c>
      <c r="D526">
        <f t="shared" si="17"/>
        <v>28.929031446540879</v>
      </c>
      <c r="G526" s="21">
        <v>-9.1994320000000004E-2</v>
      </c>
      <c r="H526" s="21">
        <v>7.2395290000000001E-2</v>
      </c>
    </row>
    <row r="527" spans="1:8" x14ac:dyDescent="0.15">
      <c r="A527" s="21">
        <v>1.025391E-2</v>
      </c>
      <c r="B527" s="21">
        <f t="shared" si="16"/>
        <v>0.1016174</v>
      </c>
      <c r="D527">
        <f t="shared" si="17"/>
        <v>40.624528301886791</v>
      </c>
      <c r="G527" s="21">
        <v>-0.129186</v>
      </c>
      <c r="H527" s="21">
        <v>0.1016174</v>
      </c>
    </row>
    <row r="528" spans="1:8" x14ac:dyDescent="0.15">
      <c r="A528" s="21">
        <v>1.027344E-2</v>
      </c>
      <c r="B528" s="21">
        <f t="shared" si="16"/>
        <v>0.12905449999999999</v>
      </c>
      <c r="D528">
        <f t="shared" si="17"/>
        <v>51.597735849056605</v>
      </c>
      <c r="G528" s="21">
        <v>-0.1640808</v>
      </c>
      <c r="H528" s="21">
        <v>0.12905449999999999</v>
      </c>
    </row>
    <row r="529" spans="1:8" x14ac:dyDescent="0.15">
      <c r="A529" s="21">
        <v>1.029297E-2</v>
      </c>
      <c r="B529" s="21">
        <f t="shared" si="16"/>
        <v>0.15505179999999999</v>
      </c>
      <c r="D529">
        <f t="shared" si="17"/>
        <v>62.208679245283015</v>
      </c>
      <c r="G529" s="21">
        <v>-0.19782359999999999</v>
      </c>
      <c r="H529" s="21">
        <v>0.15505179999999999</v>
      </c>
    </row>
    <row r="530" spans="1:8" x14ac:dyDescent="0.15">
      <c r="A530" s="21">
        <v>1.03125E-2</v>
      </c>
      <c r="B530" s="21">
        <f t="shared" si="16"/>
        <v>0.17940510000000001</v>
      </c>
      <c r="D530">
        <f t="shared" si="17"/>
        <v>71.999591194968545</v>
      </c>
      <c r="G530" s="21">
        <v>-0.22895869999999999</v>
      </c>
      <c r="H530" s="21">
        <v>0.17940510000000001</v>
      </c>
    </row>
    <row r="531" spans="1:8" x14ac:dyDescent="0.15">
      <c r="A531" s="21">
        <v>1.0332030000000001E-2</v>
      </c>
      <c r="B531" s="21">
        <f t="shared" si="16"/>
        <v>0.19975709999999999</v>
      </c>
      <c r="D531">
        <f t="shared" si="17"/>
        <v>80.206949685534582</v>
      </c>
      <c r="G531" s="21">
        <v>-0.25505810000000001</v>
      </c>
      <c r="H531" s="21">
        <v>0.19975709999999999</v>
      </c>
    </row>
    <row r="532" spans="1:8" x14ac:dyDescent="0.15">
      <c r="A532" s="21">
        <v>1.0351559999999999E-2</v>
      </c>
      <c r="B532" s="21">
        <f t="shared" si="16"/>
        <v>0.21719740000000001</v>
      </c>
      <c r="D532">
        <f t="shared" si="17"/>
        <v>87.338805031446554</v>
      </c>
      <c r="G532" s="21">
        <v>-0.27773740000000002</v>
      </c>
      <c r="H532" s="21">
        <v>0.21719740000000001</v>
      </c>
    </row>
    <row r="533" spans="1:8" x14ac:dyDescent="0.15">
      <c r="A533" s="21">
        <v>1.0371089999999999E-2</v>
      </c>
      <c r="B533" s="21">
        <f t="shared" si="16"/>
        <v>0.23142509999999999</v>
      </c>
      <c r="D533">
        <f t="shared" si="17"/>
        <v>93.070062893081754</v>
      </c>
      <c r="G533" s="21">
        <v>-0.29596280000000003</v>
      </c>
      <c r="H533" s="21">
        <v>0.23142509999999999</v>
      </c>
    </row>
    <row r="534" spans="1:8" x14ac:dyDescent="0.15">
      <c r="A534" s="21">
        <v>1.039063E-2</v>
      </c>
      <c r="B534" s="21">
        <f t="shared" si="16"/>
        <v>0.24172450000000001</v>
      </c>
      <c r="D534">
        <f t="shared" si="17"/>
        <v>97.318710691823895</v>
      </c>
      <c r="G534" s="21">
        <v>-0.30947350000000001</v>
      </c>
      <c r="H534" s="21">
        <v>0.24172450000000001</v>
      </c>
    </row>
    <row r="535" spans="1:8" x14ac:dyDescent="0.15">
      <c r="A535" s="21">
        <v>1.041016E-2</v>
      </c>
      <c r="B535" s="21">
        <f t="shared" si="16"/>
        <v>0.24985959999999999</v>
      </c>
      <c r="D535">
        <f t="shared" si="17"/>
        <v>100.66245283018868</v>
      </c>
      <c r="G535" s="21">
        <v>-0.32010660000000002</v>
      </c>
      <c r="H535" s="21">
        <v>0.24985959999999999</v>
      </c>
    </row>
    <row r="536" spans="1:8" x14ac:dyDescent="0.15">
      <c r="A536" s="21">
        <v>1.042969E-2</v>
      </c>
      <c r="B536" s="21">
        <f t="shared" si="16"/>
        <v>0.25410739999999998</v>
      </c>
      <c r="D536">
        <f t="shared" si="17"/>
        <v>102.37845911949687</v>
      </c>
      <c r="G536" s="21">
        <v>-0.32556350000000001</v>
      </c>
      <c r="H536" s="21">
        <v>0.25410739999999998</v>
      </c>
    </row>
    <row r="537" spans="1:8" x14ac:dyDescent="0.15">
      <c r="A537" s="21">
        <v>1.044922E-2</v>
      </c>
      <c r="B537" s="21">
        <f t="shared" si="16"/>
        <v>0.2539728</v>
      </c>
      <c r="D537">
        <f t="shared" si="17"/>
        <v>102.33742138364779</v>
      </c>
      <c r="G537" s="21">
        <v>-0.32543299999999997</v>
      </c>
      <c r="H537" s="21">
        <v>0.2539728</v>
      </c>
    </row>
    <row r="538" spans="1:8" x14ac:dyDescent="0.15">
      <c r="A538" s="21">
        <v>1.0468750000000001E-2</v>
      </c>
      <c r="B538" s="21">
        <f t="shared" si="16"/>
        <v>0.25059150000000002</v>
      </c>
      <c r="D538">
        <f t="shared" si="17"/>
        <v>100.98783018867924</v>
      </c>
      <c r="G538" s="21">
        <v>-0.32114130000000002</v>
      </c>
      <c r="H538" s="21">
        <v>0.25059150000000002</v>
      </c>
    </row>
    <row r="539" spans="1:8" x14ac:dyDescent="0.15">
      <c r="A539" s="21">
        <v>1.0488280000000001E-2</v>
      </c>
      <c r="B539" s="21">
        <f t="shared" si="16"/>
        <v>0.24223720000000001</v>
      </c>
      <c r="D539">
        <f t="shared" si="17"/>
        <v>97.720125786163521</v>
      </c>
      <c r="G539" s="21">
        <v>-0.31075000000000003</v>
      </c>
      <c r="H539" s="21">
        <v>0.24223720000000001</v>
      </c>
    </row>
    <row r="540" spans="1:8" x14ac:dyDescent="0.15">
      <c r="A540" s="21">
        <v>1.0507809999999999E-2</v>
      </c>
      <c r="B540" s="21">
        <f t="shared" si="16"/>
        <v>0.23068559999999999</v>
      </c>
      <c r="D540">
        <f t="shared" si="17"/>
        <v>93.203459119496856</v>
      </c>
      <c r="G540" s="21">
        <v>-0.29638700000000001</v>
      </c>
      <c r="H540" s="21">
        <v>0.23068559999999999</v>
      </c>
    </row>
    <row r="541" spans="1:8" x14ac:dyDescent="0.15">
      <c r="A541" s="21">
        <v>1.052734E-2</v>
      </c>
      <c r="B541" s="21">
        <f t="shared" si="16"/>
        <v>0.2172393</v>
      </c>
      <c r="D541">
        <f t="shared" si="17"/>
        <v>87.826698113207541</v>
      </c>
      <c r="G541" s="21">
        <v>-0.27928890000000001</v>
      </c>
      <c r="H541" s="21">
        <v>0.2172393</v>
      </c>
    </row>
    <row r="542" spans="1:8" x14ac:dyDescent="0.15">
      <c r="A542" s="21">
        <v>1.054688E-2</v>
      </c>
      <c r="B542" s="21">
        <f t="shared" si="16"/>
        <v>0.1995497</v>
      </c>
      <c r="D542">
        <f t="shared" si="17"/>
        <v>80.659496855345893</v>
      </c>
      <c r="G542" s="21">
        <v>-0.25649719999999998</v>
      </c>
      <c r="H542" s="21">
        <v>0.1995497</v>
      </c>
    </row>
    <row r="543" spans="1:8" x14ac:dyDescent="0.15">
      <c r="A543" s="21">
        <v>1.056641E-2</v>
      </c>
      <c r="B543" s="21">
        <f t="shared" si="16"/>
        <v>0.17874010000000001</v>
      </c>
      <c r="D543">
        <f t="shared" si="17"/>
        <v>72.351918238993704</v>
      </c>
      <c r="G543" s="21">
        <v>-0.23007910000000001</v>
      </c>
      <c r="H543" s="21">
        <v>0.17874010000000001</v>
      </c>
    </row>
    <row r="544" spans="1:8" x14ac:dyDescent="0.15">
      <c r="A544" s="21">
        <v>1.058594E-2</v>
      </c>
      <c r="B544" s="21">
        <f t="shared" si="16"/>
        <v>0.15514130000000001</v>
      </c>
      <c r="D544">
        <f t="shared" si="17"/>
        <v>62.982641509433968</v>
      </c>
      <c r="G544" s="21">
        <v>-0.20028480000000001</v>
      </c>
      <c r="H544" s="21">
        <v>0.15514130000000001</v>
      </c>
    </row>
    <row r="545" spans="1:8" x14ac:dyDescent="0.15">
      <c r="A545" s="21">
        <v>1.0605470000000001E-2</v>
      </c>
      <c r="B545" s="21">
        <f t="shared" si="16"/>
        <v>0.1281727</v>
      </c>
      <c r="D545">
        <f t="shared" si="17"/>
        <v>52.24459119496855</v>
      </c>
      <c r="G545" s="21">
        <v>-0.1661378</v>
      </c>
      <c r="H545" s="21">
        <v>0.1281727</v>
      </c>
    </row>
    <row r="546" spans="1:8" x14ac:dyDescent="0.15">
      <c r="A546" s="21">
        <v>1.0625000000000001E-2</v>
      </c>
      <c r="B546" s="21">
        <f t="shared" si="16"/>
        <v>0.1001697</v>
      </c>
      <c r="D546">
        <f t="shared" si="17"/>
        <v>41.091540880503153</v>
      </c>
      <c r="G546" s="21">
        <v>-0.13067110000000001</v>
      </c>
      <c r="H546" s="21">
        <v>0.1001697</v>
      </c>
    </row>
    <row r="547" spans="1:8" x14ac:dyDescent="0.15">
      <c r="A547" s="21">
        <v>1.0644529999999999E-2</v>
      </c>
      <c r="B547" s="21">
        <f t="shared" si="16"/>
        <v>7.0885190000000001E-2</v>
      </c>
      <c r="D547">
        <f t="shared" si="17"/>
        <v>29.452776729559748</v>
      </c>
      <c r="G547" s="21">
        <v>-9.3659829999999999E-2</v>
      </c>
      <c r="H547" s="21">
        <v>7.0885190000000001E-2</v>
      </c>
    </row>
    <row r="548" spans="1:8" x14ac:dyDescent="0.15">
      <c r="A548" s="21">
        <v>1.066406E-2</v>
      </c>
      <c r="B548" s="21">
        <f t="shared" si="16"/>
        <v>4.0117680000000003E-2</v>
      </c>
      <c r="D548">
        <f t="shared" si="17"/>
        <v>17.188770440251574</v>
      </c>
      <c r="G548" s="21">
        <v>-5.466029E-2</v>
      </c>
      <c r="H548" s="21">
        <v>4.0117680000000003E-2</v>
      </c>
    </row>
    <row r="549" spans="1:8" x14ac:dyDescent="0.15">
      <c r="A549" s="21">
        <v>1.068359E-2</v>
      </c>
      <c r="B549" s="21">
        <f t="shared" si="16"/>
        <v>8.9375289999999996E-3</v>
      </c>
      <c r="D549">
        <f t="shared" si="17"/>
        <v>4.6590754716981131</v>
      </c>
      <c r="G549" s="21">
        <v>-1.481586E-2</v>
      </c>
      <c r="H549" s="21">
        <v>8.9375289999999996E-3</v>
      </c>
    </row>
    <row r="550" spans="1:8" x14ac:dyDescent="0.15">
      <c r="A550" s="21">
        <v>1.070313E-2</v>
      </c>
      <c r="B550" s="21">
        <f t="shared" si="16"/>
        <v>-2.314039E-2</v>
      </c>
      <c r="D550">
        <f t="shared" si="17"/>
        <v>-8.1325408805031447</v>
      </c>
      <c r="G550" s="21">
        <v>2.5861479999999999E-2</v>
      </c>
      <c r="H550" s="21">
        <v>-2.314039E-2</v>
      </c>
    </row>
    <row r="551" spans="1:8" x14ac:dyDescent="0.15">
      <c r="A551" s="21">
        <v>1.072266E-2</v>
      </c>
      <c r="B551" s="21">
        <f t="shared" si="16"/>
        <v>-5.4283039999999998E-2</v>
      </c>
      <c r="D551">
        <f t="shared" si="17"/>
        <v>-20.549116352201256</v>
      </c>
      <c r="G551" s="21">
        <v>6.5346189999999998E-2</v>
      </c>
      <c r="H551" s="21">
        <v>-5.4283039999999998E-2</v>
      </c>
    </row>
    <row r="552" spans="1:8" x14ac:dyDescent="0.15">
      <c r="A552" s="21">
        <v>1.074219E-2</v>
      </c>
      <c r="B552" s="21">
        <f t="shared" si="16"/>
        <v>-8.3909700000000004E-2</v>
      </c>
      <c r="D552">
        <f t="shared" si="17"/>
        <v>-32.432830188679247</v>
      </c>
      <c r="G552" s="21">
        <v>0.1031364</v>
      </c>
      <c r="H552" s="21">
        <v>-8.3909700000000004E-2</v>
      </c>
    </row>
    <row r="553" spans="1:8" x14ac:dyDescent="0.15">
      <c r="A553" s="21">
        <v>1.0761720000000001E-2</v>
      </c>
      <c r="B553" s="21">
        <f t="shared" si="16"/>
        <v>-0.1129177</v>
      </c>
      <c r="D553">
        <f t="shared" si="17"/>
        <v>-44.075314465408795</v>
      </c>
      <c r="G553" s="21">
        <v>0.14015949999999999</v>
      </c>
      <c r="H553" s="21">
        <v>-0.1129177</v>
      </c>
    </row>
    <row r="554" spans="1:8" x14ac:dyDescent="0.15">
      <c r="A554" s="21">
        <v>1.0781249999999999E-2</v>
      </c>
      <c r="B554" s="21">
        <f t="shared" si="16"/>
        <v>-0.13961580000000001</v>
      </c>
      <c r="D554">
        <f t="shared" si="17"/>
        <v>-54.802798742138371</v>
      </c>
      <c r="G554" s="21">
        <v>0.17427290000000001</v>
      </c>
      <c r="H554" s="21">
        <v>-0.13961580000000001</v>
      </c>
    </row>
    <row r="555" spans="1:8" x14ac:dyDescent="0.15">
      <c r="A555" s="21">
        <v>1.0800779999999999E-2</v>
      </c>
      <c r="B555" s="21">
        <f t="shared" si="16"/>
        <v>-0.164295</v>
      </c>
      <c r="D555">
        <f t="shared" si="17"/>
        <v>-64.639779874213829</v>
      </c>
      <c r="G555" s="21">
        <v>0.2055545</v>
      </c>
      <c r="H555" s="21">
        <v>-0.164295</v>
      </c>
    </row>
    <row r="556" spans="1:8" x14ac:dyDescent="0.15">
      <c r="A556" s="21">
        <v>1.082031E-2</v>
      </c>
      <c r="B556" s="21">
        <f t="shared" si="16"/>
        <v>-0.1872463</v>
      </c>
      <c r="D556">
        <f t="shared" si="17"/>
        <v>-73.956446540880506</v>
      </c>
      <c r="G556" s="21">
        <v>0.23518149999999999</v>
      </c>
      <c r="H556" s="21">
        <v>-0.1872463</v>
      </c>
    </row>
    <row r="557" spans="1:8" x14ac:dyDescent="0.15">
      <c r="A557" s="21">
        <v>1.083984E-2</v>
      </c>
      <c r="B557" s="21">
        <f t="shared" si="16"/>
        <v>-0.20677590000000001</v>
      </c>
      <c r="D557">
        <f t="shared" si="17"/>
        <v>-81.935062893081749</v>
      </c>
      <c r="G557" s="21">
        <v>0.26055349999999999</v>
      </c>
      <c r="H557" s="21">
        <v>-0.20677590000000001</v>
      </c>
    </row>
    <row r="558" spans="1:8" x14ac:dyDescent="0.15">
      <c r="A558" s="21">
        <v>1.085938E-2</v>
      </c>
      <c r="B558" s="21">
        <f t="shared" si="16"/>
        <v>-0.22300239999999999</v>
      </c>
      <c r="D558">
        <f t="shared" si="17"/>
        <v>-88.415345911949686</v>
      </c>
      <c r="G558" s="21">
        <v>0.28116079999999999</v>
      </c>
      <c r="H558" s="21">
        <v>-0.22300239999999999</v>
      </c>
    </row>
    <row r="559" spans="1:8" x14ac:dyDescent="0.15">
      <c r="A559" s="21">
        <v>1.087891E-2</v>
      </c>
      <c r="B559" s="21">
        <f t="shared" si="16"/>
        <v>-0.23598839999999999</v>
      </c>
      <c r="D559">
        <f t="shared" si="17"/>
        <v>-93.749779874213829</v>
      </c>
      <c r="G559" s="21">
        <v>0.29812430000000001</v>
      </c>
      <c r="H559" s="21">
        <v>-0.23598839999999999</v>
      </c>
    </row>
    <row r="560" spans="1:8" x14ac:dyDescent="0.15">
      <c r="A560" s="21">
        <v>1.0898440000000001E-2</v>
      </c>
      <c r="B560" s="21">
        <f t="shared" si="16"/>
        <v>-0.24547440000000001</v>
      </c>
      <c r="D560">
        <f t="shared" si="17"/>
        <v>-97.642327044025166</v>
      </c>
      <c r="G560" s="21">
        <v>0.31050260000000002</v>
      </c>
      <c r="H560" s="21">
        <v>-0.24547440000000001</v>
      </c>
    </row>
    <row r="561" spans="1:8" x14ac:dyDescent="0.15">
      <c r="A561" s="21">
        <v>1.0917970000000001E-2</v>
      </c>
      <c r="B561" s="21">
        <f t="shared" si="16"/>
        <v>-0.2516969</v>
      </c>
      <c r="D561">
        <f t="shared" si="17"/>
        <v>-100.18449685534591</v>
      </c>
      <c r="G561" s="21">
        <v>0.3185867</v>
      </c>
      <c r="H561" s="21">
        <v>-0.2516969</v>
      </c>
    </row>
    <row r="562" spans="1:8" x14ac:dyDescent="0.15">
      <c r="A562" s="21">
        <v>1.0937499999999999E-2</v>
      </c>
      <c r="B562" s="21">
        <f t="shared" si="16"/>
        <v>-0.25386150000000002</v>
      </c>
      <c r="D562">
        <f t="shared" si="17"/>
        <v>-101.24408805031447</v>
      </c>
      <c r="G562" s="21">
        <v>0.32195620000000003</v>
      </c>
      <c r="H562" s="21">
        <v>-0.25386150000000002</v>
      </c>
    </row>
    <row r="563" spans="1:8" x14ac:dyDescent="0.15">
      <c r="A563" s="21">
        <v>1.095703E-2</v>
      </c>
      <c r="B563" s="21">
        <f t="shared" si="16"/>
        <v>-0.25217850000000003</v>
      </c>
      <c r="D563">
        <f t="shared" si="17"/>
        <v>-100.63921383647798</v>
      </c>
      <c r="G563" s="21">
        <v>0.3200327</v>
      </c>
      <c r="H563" s="21">
        <v>-0.25217850000000003</v>
      </c>
    </row>
    <row r="564" spans="1:8" x14ac:dyDescent="0.15">
      <c r="A564" s="21">
        <v>1.097656E-2</v>
      </c>
      <c r="B564" s="21">
        <f t="shared" si="16"/>
        <v>-0.2470984</v>
      </c>
      <c r="D564">
        <f t="shared" si="17"/>
        <v>-98.648930817610079</v>
      </c>
      <c r="G564" s="21">
        <v>0.31370360000000003</v>
      </c>
      <c r="H564" s="21">
        <v>-0.2470984</v>
      </c>
    </row>
    <row r="565" spans="1:8" x14ac:dyDescent="0.15">
      <c r="A565" s="21">
        <v>1.099609E-2</v>
      </c>
      <c r="B565" s="21">
        <f t="shared" si="16"/>
        <v>-0.23784730000000001</v>
      </c>
      <c r="D565">
        <f t="shared" si="17"/>
        <v>-95.010974842767283</v>
      </c>
      <c r="G565" s="21">
        <v>0.30213489999999998</v>
      </c>
      <c r="H565" s="21">
        <v>-0.23784730000000001</v>
      </c>
    </row>
    <row r="566" spans="1:8" x14ac:dyDescent="0.15">
      <c r="A566" s="21">
        <v>1.101562E-2</v>
      </c>
      <c r="B566" s="21">
        <f t="shared" si="16"/>
        <v>-0.2253098</v>
      </c>
      <c r="D566">
        <f t="shared" si="17"/>
        <v>-90.043301886792449</v>
      </c>
      <c r="G566" s="21">
        <v>0.28633769999999997</v>
      </c>
      <c r="H566" s="21">
        <v>-0.2253098</v>
      </c>
    </row>
    <row r="567" spans="1:8" x14ac:dyDescent="0.15">
      <c r="A567" s="21">
        <v>1.103516E-2</v>
      </c>
      <c r="B567" s="21">
        <f t="shared" si="16"/>
        <v>-0.20992420000000001</v>
      </c>
      <c r="D567">
        <f t="shared" si="17"/>
        <v>-83.974999999999994</v>
      </c>
      <c r="G567" s="21">
        <v>0.26704050000000001</v>
      </c>
      <c r="H567" s="21">
        <v>-0.20992420000000001</v>
      </c>
    </row>
    <row r="568" spans="1:8" x14ac:dyDescent="0.15">
      <c r="A568" s="21">
        <v>1.1054690000000001E-2</v>
      </c>
      <c r="B568" s="21">
        <f t="shared" si="16"/>
        <v>-0.19076779999999999</v>
      </c>
      <c r="D568">
        <f t="shared" si="17"/>
        <v>-76.29704402515722</v>
      </c>
      <c r="G568" s="21">
        <v>0.2426246</v>
      </c>
      <c r="H568" s="21">
        <v>-0.19076779999999999</v>
      </c>
    </row>
    <row r="569" spans="1:8" x14ac:dyDescent="0.15">
      <c r="A569" s="21">
        <v>1.1074219999999999E-2</v>
      </c>
      <c r="B569" s="21">
        <f t="shared" si="16"/>
        <v>-0.16863980000000001</v>
      </c>
      <c r="D569">
        <f t="shared" si="17"/>
        <v>-67.48349056603773</v>
      </c>
      <c r="G569" s="21">
        <v>0.2145975</v>
      </c>
      <c r="H569" s="21">
        <v>-0.16863980000000001</v>
      </c>
    </row>
    <row r="570" spans="1:8" x14ac:dyDescent="0.15">
      <c r="A570" s="21">
        <v>1.1093749999999999E-2</v>
      </c>
      <c r="B570" s="21">
        <f t="shared" si="16"/>
        <v>-0.14388319999999999</v>
      </c>
      <c r="D570">
        <f t="shared" si="17"/>
        <v>-57.664213836477991</v>
      </c>
      <c r="G570" s="21">
        <v>0.18337220000000001</v>
      </c>
      <c r="H570" s="21">
        <v>-0.14388319999999999</v>
      </c>
    </row>
    <row r="571" spans="1:8" x14ac:dyDescent="0.15">
      <c r="A571" s="21">
        <v>1.111328E-2</v>
      </c>
      <c r="B571" s="21">
        <f t="shared" si="16"/>
        <v>-0.1165228</v>
      </c>
      <c r="D571">
        <f t="shared" si="17"/>
        <v>-46.766383647798733</v>
      </c>
      <c r="G571" s="21">
        <v>0.14871709999999999</v>
      </c>
      <c r="H571" s="21">
        <v>-0.1165228</v>
      </c>
    </row>
    <row r="572" spans="1:8" x14ac:dyDescent="0.15">
      <c r="A572" s="21">
        <v>1.113281E-2</v>
      </c>
      <c r="B572" s="21">
        <f t="shared" si="16"/>
        <v>-8.7966619999999995E-2</v>
      </c>
      <c r="D572">
        <f t="shared" si="17"/>
        <v>-35.394213836477988</v>
      </c>
      <c r="G572" s="21">
        <v>0.1125536</v>
      </c>
      <c r="H572" s="21">
        <v>-8.7966619999999995E-2</v>
      </c>
    </row>
    <row r="573" spans="1:8" x14ac:dyDescent="0.15">
      <c r="A573" s="21">
        <v>1.115234E-2</v>
      </c>
      <c r="B573" s="21">
        <f t="shared" si="16"/>
        <v>-5.8270549999999997E-2</v>
      </c>
      <c r="D573">
        <f t="shared" si="17"/>
        <v>-23.481210691823897</v>
      </c>
      <c r="G573" s="21">
        <v>7.4670249999999994E-2</v>
      </c>
      <c r="H573" s="21">
        <v>-5.8270549999999997E-2</v>
      </c>
    </row>
    <row r="574" spans="1:8" x14ac:dyDescent="0.15">
      <c r="A574" s="21">
        <v>1.117187E-2</v>
      </c>
      <c r="B574" s="21">
        <f t="shared" si="16"/>
        <v>-2.7050250000000001E-2</v>
      </c>
      <c r="D574">
        <f t="shared" si="17"/>
        <v>-10.974477987421382</v>
      </c>
      <c r="G574" s="21">
        <v>3.489884E-2</v>
      </c>
      <c r="H574" s="21">
        <v>-2.7050250000000001E-2</v>
      </c>
    </row>
    <row r="575" spans="1:8" x14ac:dyDescent="0.15">
      <c r="A575" s="21">
        <v>1.1191410000000001E-2</v>
      </c>
      <c r="B575" s="21">
        <f t="shared" si="16"/>
        <v>4.6673419999999997E-3</v>
      </c>
      <c r="D575">
        <f t="shared" si="17"/>
        <v>1.673214465408805</v>
      </c>
      <c r="G575" s="21">
        <v>-5.3208220000000002E-3</v>
      </c>
      <c r="H575" s="21">
        <v>4.6673419999999997E-3</v>
      </c>
    </row>
    <row r="576" spans="1:8" x14ac:dyDescent="0.15">
      <c r="A576" s="21">
        <v>1.1210940000000001E-2</v>
      </c>
      <c r="B576" s="21">
        <f t="shared" si="16"/>
        <v>3.6416370000000003E-2</v>
      </c>
      <c r="D576">
        <f t="shared" si="17"/>
        <v>14.380525157232704</v>
      </c>
      <c r="G576" s="21">
        <v>-4.5730069999999998E-2</v>
      </c>
      <c r="H576" s="21">
        <v>3.6416370000000003E-2</v>
      </c>
    </row>
    <row r="577" spans="1:8" x14ac:dyDescent="0.15">
      <c r="A577" s="21">
        <v>1.1230469999999999E-2</v>
      </c>
      <c r="B577" s="21">
        <f t="shared" si="16"/>
        <v>6.7279019999999995E-2</v>
      </c>
      <c r="D577">
        <f t="shared" si="17"/>
        <v>26.802748427672956</v>
      </c>
      <c r="G577" s="21">
        <v>-8.5232740000000001E-2</v>
      </c>
      <c r="H577" s="21">
        <v>6.7279019999999995E-2</v>
      </c>
    </row>
    <row r="578" spans="1:8" x14ac:dyDescent="0.15">
      <c r="A578" s="21">
        <v>1.125E-2</v>
      </c>
      <c r="B578" s="21">
        <f t="shared" ref="B578:B641" si="18">H578</f>
        <v>9.6147040000000003E-2</v>
      </c>
      <c r="D578">
        <f t="shared" ref="D578:D641" si="19">G578*-1000/3.18</f>
        <v>38.396194968553452</v>
      </c>
      <c r="G578" s="21">
        <v>-0.1220999</v>
      </c>
      <c r="H578" s="21">
        <v>9.6147040000000003E-2</v>
      </c>
    </row>
    <row r="579" spans="1:8" x14ac:dyDescent="0.15">
      <c r="A579" s="21">
        <v>1.126953E-2</v>
      </c>
      <c r="B579" s="21">
        <f t="shared" si="18"/>
        <v>0.12404469999999999</v>
      </c>
      <c r="D579">
        <f t="shared" si="19"/>
        <v>49.636761006289312</v>
      </c>
      <c r="G579" s="21">
        <v>-0.15784490000000001</v>
      </c>
      <c r="H579" s="21">
        <v>0.12404469999999999</v>
      </c>
    </row>
    <row r="580" spans="1:8" x14ac:dyDescent="0.15">
      <c r="A580" s="21">
        <v>1.128906E-2</v>
      </c>
      <c r="B580" s="21">
        <f t="shared" si="18"/>
        <v>0.15054149999999999</v>
      </c>
      <c r="D580">
        <f t="shared" si="19"/>
        <v>60.348176100628926</v>
      </c>
      <c r="G580" s="21">
        <v>-0.1919072</v>
      </c>
      <c r="H580" s="21">
        <v>0.15054149999999999</v>
      </c>
    </row>
    <row r="581" spans="1:8" x14ac:dyDescent="0.15">
      <c r="A581" s="21">
        <v>1.130859E-2</v>
      </c>
      <c r="B581" s="21">
        <f t="shared" si="18"/>
        <v>0.17466870000000001</v>
      </c>
      <c r="D581">
        <f t="shared" si="19"/>
        <v>70.050471698113213</v>
      </c>
      <c r="G581" s="21">
        <v>-0.2227605</v>
      </c>
      <c r="H581" s="21">
        <v>0.17466870000000001</v>
      </c>
    </row>
    <row r="582" spans="1:8" x14ac:dyDescent="0.15">
      <c r="A582" s="21">
        <v>1.1328120000000001E-2</v>
      </c>
      <c r="B582" s="21">
        <f t="shared" si="18"/>
        <v>0.19649810000000001</v>
      </c>
      <c r="D582">
        <f t="shared" si="19"/>
        <v>78.871635220125782</v>
      </c>
      <c r="G582" s="21">
        <v>-0.25081179999999997</v>
      </c>
      <c r="H582" s="21">
        <v>0.19649810000000001</v>
      </c>
    </row>
    <row r="583" spans="1:8" x14ac:dyDescent="0.15">
      <c r="A583" s="21">
        <v>1.1347660000000001E-2</v>
      </c>
      <c r="B583" s="21">
        <f t="shared" si="18"/>
        <v>0.21427499999999999</v>
      </c>
      <c r="D583">
        <f t="shared" si="19"/>
        <v>86.041509433962261</v>
      </c>
      <c r="G583" s="21">
        <v>-0.27361200000000002</v>
      </c>
      <c r="H583" s="21">
        <v>0.21427499999999999</v>
      </c>
    </row>
    <row r="584" spans="1:8" x14ac:dyDescent="0.15">
      <c r="A584" s="21">
        <v>1.1367189999999999E-2</v>
      </c>
      <c r="B584" s="21">
        <f t="shared" si="18"/>
        <v>0.2286194</v>
      </c>
      <c r="D584">
        <f t="shared" si="19"/>
        <v>91.916320754716978</v>
      </c>
      <c r="G584" s="21">
        <v>-0.2922939</v>
      </c>
      <c r="H584" s="21">
        <v>0.2286194</v>
      </c>
    </row>
    <row r="585" spans="1:8" x14ac:dyDescent="0.15">
      <c r="A585" s="21">
        <v>1.1386719999999999E-2</v>
      </c>
      <c r="B585" s="21">
        <f t="shared" si="18"/>
        <v>0.2407002</v>
      </c>
      <c r="D585">
        <f t="shared" si="19"/>
        <v>96.948867924528287</v>
      </c>
      <c r="G585" s="21">
        <v>-0.3082974</v>
      </c>
      <c r="H585" s="21">
        <v>0.2407002</v>
      </c>
    </row>
    <row r="586" spans="1:8" x14ac:dyDescent="0.15">
      <c r="A586" s="21">
        <v>1.140625E-2</v>
      </c>
      <c r="B586" s="21">
        <f t="shared" si="18"/>
        <v>0.24895619999999999</v>
      </c>
      <c r="D586">
        <f t="shared" si="19"/>
        <v>100.25477987421384</v>
      </c>
      <c r="G586" s="21">
        <v>-0.31881019999999999</v>
      </c>
      <c r="H586" s="21">
        <v>0.24895619999999999</v>
      </c>
    </row>
    <row r="587" spans="1:8" x14ac:dyDescent="0.15">
      <c r="A587" s="21">
        <v>1.142578E-2</v>
      </c>
      <c r="B587" s="21">
        <f t="shared" si="18"/>
        <v>0.2537701</v>
      </c>
      <c r="D587">
        <f t="shared" si="19"/>
        <v>102.16433962264151</v>
      </c>
      <c r="G587" s="21">
        <v>-0.32488260000000002</v>
      </c>
      <c r="H587" s="21">
        <v>0.2537701</v>
      </c>
    </row>
    <row r="588" spans="1:8" x14ac:dyDescent="0.15">
      <c r="A588" s="21">
        <v>1.144531E-2</v>
      </c>
      <c r="B588" s="21">
        <f t="shared" si="18"/>
        <v>0.25482280000000002</v>
      </c>
      <c r="D588">
        <f t="shared" si="19"/>
        <v>102.64279874213835</v>
      </c>
      <c r="G588" s="21">
        <v>-0.32640409999999997</v>
      </c>
      <c r="H588" s="21">
        <v>0.25482280000000002</v>
      </c>
    </row>
    <row r="589" spans="1:8" x14ac:dyDescent="0.15">
      <c r="A589" s="21">
        <v>1.146484E-2</v>
      </c>
      <c r="B589" s="21">
        <f t="shared" si="18"/>
        <v>0.25116630000000001</v>
      </c>
      <c r="D589">
        <f t="shared" si="19"/>
        <v>101.19855345911951</v>
      </c>
      <c r="G589" s="21">
        <v>-0.32181140000000003</v>
      </c>
      <c r="H589" s="21">
        <v>0.25116630000000001</v>
      </c>
    </row>
    <row r="590" spans="1:8" x14ac:dyDescent="0.15">
      <c r="A590" s="21">
        <v>1.1484370000000001E-2</v>
      </c>
      <c r="B590" s="21">
        <f t="shared" si="18"/>
        <v>0.2442675</v>
      </c>
      <c r="D590">
        <f t="shared" si="19"/>
        <v>98.457201257861612</v>
      </c>
      <c r="G590" s="21">
        <v>-0.31309389999999998</v>
      </c>
      <c r="H590" s="21">
        <v>0.2442675</v>
      </c>
    </row>
    <row r="591" spans="1:8" x14ac:dyDescent="0.15">
      <c r="A591" s="21">
        <v>1.1503909999999999E-2</v>
      </c>
      <c r="B591" s="21">
        <f t="shared" si="18"/>
        <v>0.23412459999999999</v>
      </c>
      <c r="D591">
        <f t="shared" si="19"/>
        <v>94.43371069182389</v>
      </c>
      <c r="G591" s="21">
        <v>-0.30029919999999999</v>
      </c>
      <c r="H591" s="21">
        <v>0.23412459999999999</v>
      </c>
    </row>
    <row r="592" spans="1:8" x14ac:dyDescent="0.15">
      <c r="A592" s="21">
        <v>1.1523439999999999E-2</v>
      </c>
      <c r="B592" s="21">
        <f t="shared" si="18"/>
        <v>0.2204323</v>
      </c>
      <c r="D592">
        <f t="shared" si="19"/>
        <v>88.947201257861636</v>
      </c>
      <c r="G592" s="21">
        <v>-0.2828521</v>
      </c>
      <c r="H592" s="21">
        <v>0.2204323</v>
      </c>
    </row>
    <row r="593" spans="1:8" x14ac:dyDescent="0.15">
      <c r="A593" s="21">
        <v>1.154297E-2</v>
      </c>
      <c r="B593" s="21">
        <f t="shared" si="18"/>
        <v>0.2036104</v>
      </c>
      <c r="D593">
        <f t="shared" si="19"/>
        <v>82.222389937106911</v>
      </c>
      <c r="G593" s="21">
        <v>-0.26146720000000001</v>
      </c>
      <c r="H593" s="21">
        <v>0.2036104</v>
      </c>
    </row>
    <row r="594" spans="1:8" x14ac:dyDescent="0.15">
      <c r="A594" s="21">
        <v>1.15625E-2</v>
      </c>
      <c r="B594" s="21">
        <f t="shared" si="18"/>
        <v>0.1830232</v>
      </c>
      <c r="D594">
        <f t="shared" si="19"/>
        <v>74.084874213836471</v>
      </c>
      <c r="G594" s="21">
        <v>-0.23558989999999999</v>
      </c>
      <c r="H594" s="21">
        <v>0.1830232</v>
      </c>
    </row>
    <row r="595" spans="1:8" x14ac:dyDescent="0.15">
      <c r="A595" s="21">
        <v>1.158203E-2</v>
      </c>
      <c r="B595" s="21">
        <f t="shared" si="18"/>
        <v>0.15961139999999999</v>
      </c>
      <c r="D595">
        <f t="shared" si="19"/>
        <v>64.79437106918239</v>
      </c>
      <c r="G595" s="21">
        <v>-0.20604610000000001</v>
      </c>
      <c r="H595" s="21">
        <v>0.15961139999999999</v>
      </c>
    </row>
    <row r="596" spans="1:8" x14ac:dyDescent="0.15">
      <c r="A596" s="21">
        <v>1.160156E-2</v>
      </c>
      <c r="B596" s="21">
        <f t="shared" si="18"/>
        <v>0.13396279999999999</v>
      </c>
      <c r="D596">
        <f t="shared" si="19"/>
        <v>54.55031446540881</v>
      </c>
      <c r="G596" s="21">
        <v>-0.17347000000000001</v>
      </c>
      <c r="H596" s="21">
        <v>0.13396279999999999</v>
      </c>
    </row>
    <row r="597" spans="1:8" x14ac:dyDescent="0.15">
      <c r="A597" s="21">
        <v>1.1621090000000001E-2</v>
      </c>
      <c r="B597" s="21">
        <f t="shared" si="18"/>
        <v>0.1058331</v>
      </c>
      <c r="D597">
        <f t="shared" si="19"/>
        <v>43.303993710691813</v>
      </c>
      <c r="G597" s="21">
        <v>-0.13770669999999999</v>
      </c>
      <c r="H597" s="21">
        <v>0.1058331</v>
      </c>
    </row>
    <row r="598" spans="1:8" x14ac:dyDescent="0.15">
      <c r="A598" s="21">
        <v>1.1640620000000001E-2</v>
      </c>
      <c r="B598" s="21">
        <f t="shared" si="18"/>
        <v>7.7006279999999996E-2</v>
      </c>
      <c r="D598">
        <f t="shared" si="19"/>
        <v>31.837893081761006</v>
      </c>
      <c r="G598" s="21">
        <v>-0.1012445</v>
      </c>
      <c r="H598" s="21">
        <v>7.7006279999999996E-2</v>
      </c>
    </row>
    <row r="599" spans="1:8" x14ac:dyDescent="0.15">
      <c r="A599" s="21">
        <v>1.1660159999999999E-2</v>
      </c>
      <c r="B599" s="21">
        <f t="shared" si="18"/>
        <v>4.6882430000000003E-2</v>
      </c>
      <c r="D599">
        <f t="shared" si="19"/>
        <v>19.868745283018868</v>
      </c>
      <c r="G599" s="21">
        <v>-6.318261E-2</v>
      </c>
      <c r="H599" s="21">
        <v>4.6882430000000003E-2</v>
      </c>
    </row>
    <row r="600" spans="1:8" x14ac:dyDescent="0.15">
      <c r="A600" s="21">
        <v>1.167969E-2</v>
      </c>
      <c r="B600" s="21">
        <f t="shared" si="18"/>
        <v>1.485712E-2</v>
      </c>
      <c r="D600">
        <f t="shared" si="19"/>
        <v>7.0541446540880495</v>
      </c>
      <c r="G600" s="21">
        <v>-2.2432179999999999E-2</v>
      </c>
      <c r="H600" s="21">
        <v>1.485712E-2</v>
      </c>
    </row>
    <row r="601" spans="1:8" x14ac:dyDescent="0.15">
      <c r="A601" s="21">
        <v>1.169922E-2</v>
      </c>
      <c r="B601" s="21">
        <f t="shared" si="18"/>
        <v>-1.6591689999999999E-2</v>
      </c>
      <c r="D601">
        <f t="shared" si="19"/>
        <v>-5.5037893081761009</v>
      </c>
      <c r="G601" s="21">
        <v>1.7502050000000002E-2</v>
      </c>
      <c r="H601" s="21">
        <v>-1.6591689999999999E-2</v>
      </c>
    </row>
    <row r="602" spans="1:8" x14ac:dyDescent="0.15">
      <c r="A602" s="21">
        <v>1.171875E-2</v>
      </c>
      <c r="B602" s="21">
        <f t="shared" si="18"/>
        <v>-4.7784170000000001E-2</v>
      </c>
      <c r="D602">
        <f t="shared" si="19"/>
        <v>-17.991097484276729</v>
      </c>
      <c r="G602" s="21">
        <v>5.7211690000000003E-2</v>
      </c>
      <c r="H602" s="21">
        <v>-4.7784170000000001E-2</v>
      </c>
    </row>
    <row r="603" spans="1:8" x14ac:dyDescent="0.15">
      <c r="A603" s="21">
        <v>1.173828E-2</v>
      </c>
      <c r="B603" s="21">
        <f t="shared" si="18"/>
        <v>-7.8350009999999998E-2</v>
      </c>
      <c r="D603">
        <f t="shared" si="19"/>
        <v>-30.252603773584905</v>
      </c>
      <c r="G603" s="21">
        <v>9.6203280000000002E-2</v>
      </c>
      <c r="H603" s="21">
        <v>-7.8350009999999998E-2</v>
      </c>
    </row>
    <row r="604" spans="1:8" x14ac:dyDescent="0.15">
      <c r="A604" s="21">
        <v>1.175781E-2</v>
      </c>
      <c r="B604" s="21">
        <f t="shared" si="18"/>
        <v>-0.106627</v>
      </c>
      <c r="D604">
        <f t="shared" si="19"/>
        <v>-41.569088050314463</v>
      </c>
      <c r="G604" s="21">
        <v>0.13218969999999999</v>
      </c>
      <c r="H604" s="21">
        <v>-0.106627</v>
      </c>
    </row>
    <row r="605" spans="1:8" x14ac:dyDescent="0.15">
      <c r="A605" s="21">
        <v>1.1777340000000001E-2</v>
      </c>
      <c r="B605" s="21">
        <f t="shared" si="18"/>
        <v>-0.13388269999999999</v>
      </c>
      <c r="D605">
        <f t="shared" si="19"/>
        <v>-52.574779874213839</v>
      </c>
      <c r="G605" s="21">
        <v>0.1671878</v>
      </c>
      <c r="H605" s="21">
        <v>-0.13388269999999999</v>
      </c>
    </row>
    <row r="606" spans="1:8" x14ac:dyDescent="0.15">
      <c r="A606" s="21">
        <v>1.1796879999999999E-2</v>
      </c>
      <c r="B606" s="21">
        <f t="shared" si="18"/>
        <v>-0.1594093</v>
      </c>
      <c r="D606">
        <f t="shared" si="19"/>
        <v>-62.853930817610063</v>
      </c>
      <c r="G606" s="21">
        <v>0.19987550000000001</v>
      </c>
      <c r="H606" s="21">
        <v>-0.1594093</v>
      </c>
    </row>
    <row r="607" spans="1:8" x14ac:dyDescent="0.15">
      <c r="A607" s="21">
        <v>1.1816409999999999E-2</v>
      </c>
      <c r="B607" s="21">
        <f t="shared" si="18"/>
        <v>-0.1824636</v>
      </c>
      <c r="D607">
        <f t="shared" si="19"/>
        <v>-72.111477987421381</v>
      </c>
      <c r="G607" s="21">
        <v>0.2293145</v>
      </c>
      <c r="H607" s="21">
        <v>-0.1824636</v>
      </c>
    </row>
    <row r="608" spans="1:8" x14ac:dyDescent="0.15">
      <c r="A608" s="21">
        <v>1.183594E-2</v>
      </c>
      <c r="B608" s="21">
        <f t="shared" si="18"/>
        <v>-0.2033865</v>
      </c>
      <c r="D608">
        <f t="shared" si="19"/>
        <v>-80.571603773584897</v>
      </c>
      <c r="G608" s="21">
        <v>0.25621769999999999</v>
      </c>
      <c r="H608" s="21">
        <v>-0.2033865</v>
      </c>
    </row>
    <row r="609" spans="1:8" x14ac:dyDescent="0.15">
      <c r="A609" s="21">
        <v>1.185547E-2</v>
      </c>
      <c r="B609" s="21">
        <f t="shared" si="18"/>
        <v>-0.21991069999999999</v>
      </c>
      <c r="D609">
        <f t="shared" si="19"/>
        <v>-87.175503144654101</v>
      </c>
      <c r="G609" s="21">
        <v>0.27721810000000002</v>
      </c>
      <c r="H609" s="21">
        <v>-0.21991069999999999</v>
      </c>
    </row>
    <row r="610" spans="1:8" x14ac:dyDescent="0.15">
      <c r="A610" s="21">
        <v>1.1875E-2</v>
      </c>
      <c r="B610" s="21">
        <f t="shared" si="18"/>
        <v>-0.232761</v>
      </c>
      <c r="D610">
        <f t="shared" si="19"/>
        <v>-92.442264150943402</v>
      </c>
      <c r="G610" s="21">
        <v>0.29396640000000002</v>
      </c>
      <c r="H610" s="21">
        <v>-0.232761</v>
      </c>
    </row>
    <row r="611" spans="1:8" x14ac:dyDescent="0.15">
      <c r="A611" s="21">
        <v>1.189453E-2</v>
      </c>
      <c r="B611" s="21">
        <f t="shared" si="18"/>
        <v>-0.24356410000000001</v>
      </c>
      <c r="D611">
        <f t="shared" si="19"/>
        <v>-97.005911949685526</v>
      </c>
      <c r="G611" s="21">
        <v>0.3084788</v>
      </c>
      <c r="H611" s="21">
        <v>-0.24356410000000001</v>
      </c>
    </row>
    <row r="612" spans="1:8" x14ac:dyDescent="0.15">
      <c r="A612" s="21">
        <v>1.1914060000000001E-2</v>
      </c>
      <c r="B612" s="21">
        <f t="shared" si="18"/>
        <v>-0.25026579999999998</v>
      </c>
      <c r="D612">
        <f t="shared" si="19"/>
        <v>-99.681163522012568</v>
      </c>
      <c r="G612" s="21">
        <v>0.31698609999999999</v>
      </c>
      <c r="H612" s="21">
        <v>-0.25026579999999998</v>
      </c>
    </row>
    <row r="613" spans="1:8" x14ac:dyDescent="0.15">
      <c r="A613" s="21">
        <v>1.1933590000000001E-2</v>
      </c>
      <c r="B613" s="21">
        <f t="shared" si="18"/>
        <v>-0.25315890000000002</v>
      </c>
      <c r="D613">
        <f t="shared" si="19"/>
        <v>-100.84477987421383</v>
      </c>
      <c r="G613" s="21">
        <v>0.32068639999999998</v>
      </c>
      <c r="H613" s="21">
        <v>-0.25315890000000002</v>
      </c>
    </row>
    <row r="614" spans="1:8" x14ac:dyDescent="0.15">
      <c r="A614" s="21">
        <v>1.1953129999999999E-2</v>
      </c>
      <c r="B614" s="21">
        <f t="shared" si="18"/>
        <v>-0.25276969999999999</v>
      </c>
      <c r="D614">
        <f t="shared" si="19"/>
        <v>-100.82311320754717</v>
      </c>
      <c r="G614" s="21">
        <v>0.3206175</v>
      </c>
      <c r="H614" s="21">
        <v>-0.25276969999999999</v>
      </c>
    </row>
    <row r="615" spans="1:8" x14ac:dyDescent="0.15">
      <c r="A615" s="21">
        <v>1.197266E-2</v>
      </c>
      <c r="B615" s="21">
        <f t="shared" si="18"/>
        <v>-0.247831</v>
      </c>
      <c r="D615">
        <f t="shared" si="19"/>
        <v>-98.958427672955978</v>
      </c>
      <c r="G615" s="21">
        <v>0.31468780000000002</v>
      </c>
      <c r="H615" s="21">
        <v>-0.247831</v>
      </c>
    </row>
    <row r="616" spans="1:8" x14ac:dyDescent="0.15">
      <c r="A616" s="21">
        <v>1.199219E-2</v>
      </c>
      <c r="B616" s="21">
        <f t="shared" si="18"/>
        <v>-0.2393178</v>
      </c>
      <c r="D616">
        <f t="shared" si="19"/>
        <v>-95.631509433962265</v>
      </c>
      <c r="G616" s="21">
        <v>0.3041082</v>
      </c>
      <c r="H616" s="21">
        <v>-0.2393178</v>
      </c>
    </row>
    <row r="617" spans="1:8" x14ac:dyDescent="0.15">
      <c r="A617" s="21">
        <v>1.201172E-2</v>
      </c>
      <c r="B617" s="21">
        <f t="shared" si="18"/>
        <v>-0.2274543</v>
      </c>
      <c r="D617">
        <f t="shared" si="19"/>
        <v>-90.941855345911932</v>
      </c>
      <c r="G617" s="21">
        <v>0.28919509999999998</v>
      </c>
      <c r="H617" s="21">
        <v>-0.2274543</v>
      </c>
    </row>
    <row r="618" spans="1:8" x14ac:dyDescent="0.15">
      <c r="A618" s="21">
        <v>1.203125E-2</v>
      </c>
      <c r="B618" s="21">
        <f t="shared" si="18"/>
        <v>-0.2123119</v>
      </c>
      <c r="D618">
        <f t="shared" si="19"/>
        <v>-84.987106918238993</v>
      </c>
      <c r="G618" s="21">
        <v>0.27025900000000003</v>
      </c>
      <c r="H618" s="21">
        <v>-0.2123119</v>
      </c>
    </row>
    <row r="619" spans="1:8" x14ac:dyDescent="0.15">
      <c r="A619" s="21">
        <v>1.2050780000000001E-2</v>
      </c>
      <c r="B619" s="21">
        <f t="shared" si="18"/>
        <v>-0.19429730000000001</v>
      </c>
      <c r="D619">
        <f t="shared" si="19"/>
        <v>-77.763050314465403</v>
      </c>
      <c r="G619" s="21">
        <v>0.24728649999999999</v>
      </c>
      <c r="H619" s="21">
        <v>-0.19429730000000001</v>
      </c>
    </row>
    <row r="620" spans="1:8" x14ac:dyDescent="0.15">
      <c r="A620" s="21">
        <v>1.2070310000000001E-2</v>
      </c>
      <c r="B620" s="21">
        <f t="shared" si="18"/>
        <v>-0.17226820000000001</v>
      </c>
      <c r="D620">
        <f t="shared" si="19"/>
        <v>-68.916761006289306</v>
      </c>
      <c r="G620" s="21">
        <v>0.2191553</v>
      </c>
      <c r="H620" s="21">
        <v>-0.17226820000000001</v>
      </c>
    </row>
    <row r="621" spans="1:8" x14ac:dyDescent="0.15">
      <c r="A621" s="21">
        <v>1.2089839999999999E-2</v>
      </c>
      <c r="B621" s="21">
        <f t="shared" si="18"/>
        <v>-0.14771989999999999</v>
      </c>
      <c r="D621">
        <f t="shared" si="19"/>
        <v>-59.279119496855344</v>
      </c>
      <c r="G621" s="21">
        <v>0.1885076</v>
      </c>
      <c r="H621" s="21">
        <v>-0.14771989999999999</v>
      </c>
    </row>
    <row r="622" spans="1:8" x14ac:dyDescent="0.15">
      <c r="A622" s="21">
        <v>1.2109379999999999E-2</v>
      </c>
      <c r="B622" s="21">
        <f t="shared" si="18"/>
        <v>-0.12153609999999999</v>
      </c>
      <c r="D622">
        <f t="shared" si="19"/>
        <v>-48.86716981132075</v>
      </c>
      <c r="G622" s="21">
        <v>0.1553976</v>
      </c>
      <c r="H622" s="21">
        <v>-0.12153609999999999</v>
      </c>
    </row>
    <row r="623" spans="1:8" x14ac:dyDescent="0.15">
      <c r="A623" s="21">
        <v>1.212891E-2</v>
      </c>
      <c r="B623" s="21">
        <f t="shared" si="18"/>
        <v>-9.2771439999999997E-2</v>
      </c>
      <c r="D623">
        <f t="shared" si="19"/>
        <v>-37.261069182389939</v>
      </c>
      <c r="G623" s="21">
        <v>0.1184902</v>
      </c>
      <c r="H623" s="21">
        <v>-9.2771439999999997E-2</v>
      </c>
    </row>
    <row r="624" spans="1:8" x14ac:dyDescent="0.15">
      <c r="A624" s="21">
        <v>1.214844E-2</v>
      </c>
      <c r="B624" s="21">
        <f t="shared" si="18"/>
        <v>-6.3308470000000006E-2</v>
      </c>
      <c r="D624">
        <f t="shared" si="19"/>
        <v>-25.514776729559753</v>
      </c>
      <c r="G624" s="21">
        <v>8.1136990000000006E-2</v>
      </c>
      <c r="H624" s="21">
        <v>-6.3308470000000006E-2</v>
      </c>
    </row>
    <row r="625" spans="1:8" x14ac:dyDescent="0.15">
      <c r="A625" s="21">
        <v>1.216797E-2</v>
      </c>
      <c r="B625" s="21">
        <f t="shared" si="18"/>
        <v>-3.2793709999999997E-2</v>
      </c>
      <c r="D625">
        <f t="shared" si="19"/>
        <v>-13.348672955974841</v>
      </c>
      <c r="G625" s="21">
        <v>4.2448779999999998E-2</v>
      </c>
      <c r="H625" s="21">
        <v>-3.2793709999999997E-2</v>
      </c>
    </row>
    <row r="626" spans="1:8" x14ac:dyDescent="0.15">
      <c r="A626" s="21">
        <v>1.21875E-2</v>
      </c>
      <c r="B626" s="21">
        <f t="shared" si="18"/>
        <v>-4.1336930000000001E-4</v>
      </c>
      <c r="D626">
        <f t="shared" si="19"/>
        <v>-0.35666855345911952</v>
      </c>
      <c r="G626" s="21">
        <v>1.134206E-3</v>
      </c>
      <c r="H626" s="21">
        <v>-4.1336930000000001E-4</v>
      </c>
    </row>
    <row r="627" spans="1:8" x14ac:dyDescent="0.15">
      <c r="A627" s="21">
        <v>1.2207030000000001E-2</v>
      </c>
      <c r="B627" s="21">
        <f t="shared" si="18"/>
        <v>3.1144870000000002E-2</v>
      </c>
      <c r="D627">
        <f t="shared" si="19"/>
        <v>12.267528301886793</v>
      </c>
      <c r="G627" s="21">
        <v>-3.9010740000000002E-2</v>
      </c>
      <c r="H627" s="21">
        <v>3.1144870000000002E-2</v>
      </c>
    </row>
    <row r="628" spans="1:8" x14ac:dyDescent="0.15">
      <c r="A628" s="21">
        <v>1.2226559999999999E-2</v>
      </c>
      <c r="B628" s="21">
        <f t="shared" si="18"/>
        <v>6.176587E-2</v>
      </c>
      <c r="D628">
        <f t="shared" si="19"/>
        <v>24.61141509433962</v>
      </c>
      <c r="G628" s="21">
        <v>-7.8264299999999995E-2</v>
      </c>
      <c r="H628" s="21">
        <v>6.176587E-2</v>
      </c>
    </row>
    <row r="629" spans="1:8" x14ac:dyDescent="0.15">
      <c r="A629" s="21">
        <v>1.2246089999999999E-2</v>
      </c>
      <c r="B629" s="21">
        <f t="shared" si="18"/>
        <v>9.1634209999999994E-2</v>
      </c>
      <c r="D629">
        <f t="shared" si="19"/>
        <v>36.645628930817608</v>
      </c>
      <c r="G629" s="21">
        <v>-0.1165331</v>
      </c>
      <c r="H629" s="21">
        <v>9.1634209999999994E-2</v>
      </c>
    </row>
    <row r="630" spans="1:8" x14ac:dyDescent="0.15">
      <c r="A630" s="21">
        <v>1.226563E-2</v>
      </c>
      <c r="B630" s="21">
        <f t="shared" si="18"/>
        <v>0.1194697</v>
      </c>
      <c r="D630">
        <f t="shared" si="19"/>
        <v>47.748899371069179</v>
      </c>
      <c r="G630" s="21">
        <v>-0.15184149999999999</v>
      </c>
      <c r="H630" s="21">
        <v>0.1194697</v>
      </c>
    </row>
    <row r="631" spans="1:8" x14ac:dyDescent="0.15">
      <c r="A631" s="21">
        <v>1.228516E-2</v>
      </c>
      <c r="B631" s="21">
        <f t="shared" si="18"/>
        <v>0.146231</v>
      </c>
      <c r="D631">
        <f t="shared" si="19"/>
        <v>58.56754716981132</v>
      </c>
      <c r="G631" s="21">
        <v>-0.18624479999999999</v>
      </c>
      <c r="H631" s="21">
        <v>0.146231</v>
      </c>
    </row>
    <row r="632" spans="1:8" x14ac:dyDescent="0.15">
      <c r="A632" s="21">
        <v>1.230469E-2</v>
      </c>
      <c r="B632" s="21">
        <f t="shared" si="18"/>
        <v>0.1711037</v>
      </c>
      <c r="D632">
        <f t="shared" si="19"/>
        <v>68.624025157232708</v>
      </c>
      <c r="G632" s="21">
        <v>-0.21822440000000001</v>
      </c>
      <c r="H632" s="21">
        <v>0.1711037</v>
      </c>
    </row>
    <row r="633" spans="1:8" x14ac:dyDescent="0.15">
      <c r="A633" s="21">
        <v>1.232422E-2</v>
      </c>
      <c r="B633" s="21">
        <f t="shared" si="18"/>
        <v>0.19274469999999999</v>
      </c>
      <c r="D633">
        <f t="shared" si="19"/>
        <v>77.354339622641504</v>
      </c>
      <c r="G633" s="21">
        <v>-0.24598680000000001</v>
      </c>
      <c r="H633" s="21">
        <v>0.19274469999999999</v>
      </c>
    </row>
    <row r="634" spans="1:8" x14ac:dyDescent="0.15">
      <c r="A634" s="21">
        <v>1.2343750000000001E-2</v>
      </c>
      <c r="B634" s="21">
        <f t="shared" si="18"/>
        <v>0.2120126</v>
      </c>
      <c r="D634">
        <f t="shared" si="19"/>
        <v>85.202264150943392</v>
      </c>
      <c r="G634" s="21">
        <v>-0.2709432</v>
      </c>
      <c r="H634" s="21">
        <v>0.2120126</v>
      </c>
    </row>
    <row r="635" spans="1:8" x14ac:dyDescent="0.15">
      <c r="A635" s="21">
        <v>1.2363280000000001E-2</v>
      </c>
      <c r="B635" s="21">
        <f t="shared" si="18"/>
        <v>0.22753599999999999</v>
      </c>
      <c r="D635">
        <f t="shared" si="19"/>
        <v>91.392201257861615</v>
      </c>
      <c r="G635" s="21">
        <v>-0.29062719999999997</v>
      </c>
      <c r="H635" s="21">
        <v>0.22753599999999999</v>
      </c>
    </row>
    <row r="636" spans="1:8" x14ac:dyDescent="0.15">
      <c r="A636" s="21">
        <v>1.2382809999999999E-2</v>
      </c>
      <c r="B636" s="21">
        <f t="shared" si="18"/>
        <v>0.23919499999999999</v>
      </c>
      <c r="D636">
        <f t="shared" si="19"/>
        <v>96.137610062893074</v>
      </c>
      <c r="G636" s="21">
        <v>-0.30571759999999998</v>
      </c>
      <c r="H636" s="21">
        <v>0.23919499999999999</v>
      </c>
    </row>
    <row r="637" spans="1:8" x14ac:dyDescent="0.15">
      <c r="A637" s="21">
        <v>1.240234E-2</v>
      </c>
      <c r="B637" s="21">
        <f t="shared" si="18"/>
        <v>0.2485926</v>
      </c>
      <c r="D637">
        <f t="shared" si="19"/>
        <v>100.10122641509433</v>
      </c>
      <c r="G637" s="21">
        <v>-0.31832189999999999</v>
      </c>
      <c r="H637" s="21">
        <v>0.2485926</v>
      </c>
    </row>
    <row r="638" spans="1:8" x14ac:dyDescent="0.15">
      <c r="A638" s="21">
        <v>1.242188E-2</v>
      </c>
      <c r="B638" s="21">
        <f t="shared" si="18"/>
        <v>0.25411630000000002</v>
      </c>
      <c r="D638">
        <f t="shared" si="19"/>
        <v>102.31814465408804</v>
      </c>
      <c r="G638" s="21">
        <v>-0.32537169999999999</v>
      </c>
      <c r="H638" s="21">
        <v>0.25411630000000002</v>
      </c>
    </row>
    <row r="639" spans="1:8" x14ac:dyDescent="0.15">
      <c r="A639" s="21">
        <v>1.244141E-2</v>
      </c>
      <c r="B639" s="21">
        <f t="shared" si="18"/>
        <v>0.25552249999999999</v>
      </c>
      <c r="D639">
        <f t="shared" si="19"/>
        <v>102.90619496855346</v>
      </c>
      <c r="G639" s="21">
        <v>-0.32724170000000002</v>
      </c>
      <c r="H639" s="21">
        <v>0.25552249999999999</v>
      </c>
    </row>
    <row r="640" spans="1:8" x14ac:dyDescent="0.15">
      <c r="A640" s="21">
        <v>1.246094E-2</v>
      </c>
      <c r="B640" s="21">
        <f t="shared" si="18"/>
        <v>0.25344349999999999</v>
      </c>
      <c r="D640">
        <f t="shared" si="19"/>
        <v>102.12654088050314</v>
      </c>
      <c r="G640" s="21">
        <v>-0.32476240000000001</v>
      </c>
      <c r="H640" s="21">
        <v>0.25344349999999999</v>
      </c>
    </row>
    <row r="641" spans="1:8" x14ac:dyDescent="0.15">
      <c r="A641" s="21">
        <v>1.248047E-2</v>
      </c>
      <c r="B641" s="21">
        <f t="shared" si="18"/>
        <v>0.24695710000000001</v>
      </c>
      <c r="D641">
        <f t="shared" si="19"/>
        <v>99.531132075471675</v>
      </c>
      <c r="G641" s="21">
        <v>-0.31650899999999998</v>
      </c>
      <c r="H641" s="21">
        <v>0.24695710000000001</v>
      </c>
    </row>
    <row r="642" spans="1:8" x14ac:dyDescent="0.15">
      <c r="A642" s="21">
        <v>1.2500000000000001E-2</v>
      </c>
      <c r="B642" s="21">
        <f t="shared" ref="B642:B705" si="20">H642</f>
        <v>0.2369317</v>
      </c>
      <c r="D642">
        <f t="shared" ref="D642:D705" si="21">G642*-1000/3.18</f>
        <v>95.604937106918243</v>
      </c>
      <c r="G642" s="21">
        <v>-0.30402370000000001</v>
      </c>
      <c r="H642" s="21">
        <v>0.2369317</v>
      </c>
    </row>
    <row r="643" spans="1:8" x14ac:dyDescent="0.15">
      <c r="A643" s="21">
        <v>1.2519529999999999E-2</v>
      </c>
      <c r="B643" s="21">
        <f t="shared" si="20"/>
        <v>0.22391929999999999</v>
      </c>
      <c r="D643">
        <f t="shared" si="21"/>
        <v>90.388962264150933</v>
      </c>
      <c r="G643" s="21">
        <v>-0.2874369</v>
      </c>
      <c r="H643" s="21">
        <v>0.22391929999999999</v>
      </c>
    </row>
    <row r="644" spans="1:8" x14ac:dyDescent="0.15">
      <c r="A644" s="21">
        <v>1.2539059999999999E-2</v>
      </c>
      <c r="B644" s="21">
        <f t="shared" si="20"/>
        <v>0.2078303</v>
      </c>
      <c r="D644">
        <f t="shared" si="21"/>
        <v>83.918679245283016</v>
      </c>
      <c r="G644" s="21">
        <v>-0.26686140000000003</v>
      </c>
      <c r="H644" s="21">
        <v>0.2078303</v>
      </c>
    </row>
    <row r="645" spans="1:8" x14ac:dyDescent="0.15">
      <c r="A645" s="21">
        <v>1.255859E-2</v>
      </c>
      <c r="B645" s="21">
        <f t="shared" si="20"/>
        <v>0.1883929</v>
      </c>
      <c r="D645">
        <f t="shared" si="21"/>
        <v>76.205660377358484</v>
      </c>
      <c r="G645" s="21">
        <v>-0.24233399999999999</v>
      </c>
      <c r="H645" s="21">
        <v>0.1883929</v>
      </c>
    </row>
    <row r="646" spans="1:8" x14ac:dyDescent="0.15">
      <c r="A646" s="21">
        <v>1.257813E-2</v>
      </c>
      <c r="B646" s="21">
        <f t="shared" si="20"/>
        <v>0.165047</v>
      </c>
      <c r="D646">
        <f t="shared" si="21"/>
        <v>66.903836477987412</v>
      </c>
      <c r="G646" s="21">
        <v>-0.2127542</v>
      </c>
      <c r="H646" s="21">
        <v>0.165047</v>
      </c>
    </row>
    <row r="647" spans="1:8" x14ac:dyDescent="0.15">
      <c r="A647" s="21">
        <v>1.259766E-2</v>
      </c>
      <c r="B647" s="21">
        <f t="shared" si="20"/>
        <v>0.1396201</v>
      </c>
      <c r="D647">
        <f t="shared" si="21"/>
        <v>56.869716981132072</v>
      </c>
      <c r="G647" s="21">
        <v>-0.1808457</v>
      </c>
      <c r="H647" s="21">
        <v>0.1396201</v>
      </c>
    </row>
    <row r="648" spans="1:8" x14ac:dyDescent="0.15">
      <c r="A648" s="21">
        <v>1.261719E-2</v>
      </c>
      <c r="B648" s="21">
        <f t="shared" si="20"/>
        <v>0.1124279</v>
      </c>
      <c r="D648">
        <f t="shared" si="21"/>
        <v>46.030031446540875</v>
      </c>
      <c r="G648" s="21">
        <v>-0.14637549999999999</v>
      </c>
      <c r="H648" s="21">
        <v>0.1124279</v>
      </c>
    </row>
    <row r="649" spans="1:8" x14ac:dyDescent="0.15">
      <c r="A649" s="21">
        <v>1.2636720000000001E-2</v>
      </c>
      <c r="B649" s="21">
        <f t="shared" si="20"/>
        <v>8.2982029999999998E-2</v>
      </c>
      <c r="D649">
        <f t="shared" si="21"/>
        <v>34.17232704402516</v>
      </c>
      <c r="G649" s="21">
        <v>-0.108668</v>
      </c>
      <c r="H649" s="21">
        <v>8.2982029999999998E-2</v>
      </c>
    </row>
    <row r="650" spans="1:8" x14ac:dyDescent="0.15">
      <c r="A650" s="21">
        <v>1.2656250000000001E-2</v>
      </c>
      <c r="B650" s="21">
        <f t="shared" si="20"/>
        <v>5.3336109999999999E-2</v>
      </c>
      <c r="D650">
        <f t="shared" si="21"/>
        <v>22.44433647798742</v>
      </c>
      <c r="G650" s="21">
        <v>-7.1372989999999997E-2</v>
      </c>
      <c r="H650" s="21">
        <v>5.3336109999999999E-2</v>
      </c>
    </row>
    <row r="651" spans="1:8" x14ac:dyDescent="0.15">
      <c r="A651" s="21">
        <v>1.2675779999999999E-2</v>
      </c>
      <c r="B651" s="21">
        <f t="shared" si="20"/>
        <v>2.2327799999999998E-2</v>
      </c>
      <c r="D651">
        <f t="shared" si="21"/>
        <v>10.071443396226414</v>
      </c>
      <c r="G651" s="21">
        <v>-3.2027189999999997E-2</v>
      </c>
      <c r="H651" s="21">
        <v>2.2327799999999998E-2</v>
      </c>
    </row>
    <row r="652" spans="1:8" x14ac:dyDescent="0.15">
      <c r="A652" s="21">
        <v>1.269531E-2</v>
      </c>
      <c r="B652" s="21">
        <f t="shared" si="20"/>
        <v>-1.024129E-2</v>
      </c>
      <c r="D652">
        <f t="shared" si="21"/>
        <v>-2.9756386792452831</v>
      </c>
      <c r="G652" s="21">
        <v>9.4625309999999997E-3</v>
      </c>
      <c r="H652" s="21">
        <v>-1.024129E-2</v>
      </c>
    </row>
    <row r="653" spans="1:8" x14ac:dyDescent="0.15">
      <c r="A653" s="21">
        <v>1.271484E-2</v>
      </c>
      <c r="B653" s="21">
        <f t="shared" si="20"/>
        <v>-4.11394E-2</v>
      </c>
      <c r="D653">
        <f t="shared" si="21"/>
        <v>-15.253103773584904</v>
      </c>
      <c r="G653" s="21">
        <v>4.8504869999999999E-2</v>
      </c>
      <c r="H653" s="21">
        <v>-4.11394E-2</v>
      </c>
    </row>
    <row r="654" spans="1:8" x14ac:dyDescent="0.15">
      <c r="A654" s="21">
        <v>1.273438E-2</v>
      </c>
      <c r="B654" s="21">
        <f t="shared" si="20"/>
        <v>-7.1753049999999999E-2</v>
      </c>
      <c r="D654">
        <f t="shared" si="21"/>
        <v>-27.640930817610062</v>
      </c>
      <c r="G654" s="21">
        <v>8.7898160000000003E-2</v>
      </c>
      <c r="H654" s="21">
        <v>-7.1753049999999999E-2</v>
      </c>
    </row>
    <row r="655" spans="1:8" x14ac:dyDescent="0.15">
      <c r="A655" s="21">
        <v>1.275391E-2</v>
      </c>
      <c r="B655" s="21">
        <f t="shared" si="20"/>
        <v>-0.10172299999999999</v>
      </c>
      <c r="D655">
        <f t="shared" si="21"/>
        <v>-39.627955974842763</v>
      </c>
      <c r="G655" s="21">
        <v>0.12601689999999999</v>
      </c>
      <c r="H655" s="21">
        <v>-0.10172299999999999</v>
      </c>
    </row>
    <row r="656" spans="1:8" x14ac:dyDescent="0.15">
      <c r="A656" s="21">
        <v>1.277344E-2</v>
      </c>
      <c r="B656" s="21">
        <f t="shared" si="20"/>
        <v>-0.12837370000000001</v>
      </c>
      <c r="D656">
        <f t="shared" si="21"/>
        <v>-50.201320754716988</v>
      </c>
      <c r="G656" s="21">
        <v>0.15964020000000001</v>
      </c>
      <c r="H656" s="21">
        <v>-0.12837370000000001</v>
      </c>
    </row>
    <row r="657" spans="1:8" x14ac:dyDescent="0.15">
      <c r="A657" s="21">
        <v>1.2792970000000001E-2</v>
      </c>
      <c r="B657" s="21">
        <f t="shared" si="20"/>
        <v>-0.15415290000000001</v>
      </c>
      <c r="D657">
        <f t="shared" si="21"/>
        <v>-60.687484276729556</v>
      </c>
      <c r="G657" s="21">
        <v>0.1929862</v>
      </c>
      <c r="H657" s="21">
        <v>-0.15415290000000001</v>
      </c>
    </row>
    <row r="658" spans="1:8" x14ac:dyDescent="0.15">
      <c r="A658" s="21">
        <v>1.2812499999999999E-2</v>
      </c>
      <c r="B658" s="21">
        <f t="shared" si="20"/>
        <v>-0.178454</v>
      </c>
      <c r="D658">
        <f t="shared" si="21"/>
        <v>-70.4585534591195</v>
      </c>
      <c r="G658" s="21">
        <v>0.22405820000000001</v>
      </c>
      <c r="H658" s="21">
        <v>-0.178454</v>
      </c>
    </row>
    <row r="659" spans="1:8" x14ac:dyDescent="0.15">
      <c r="A659" s="21">
        <v>1.2832029999999999E-2</v>
      </c>
      <c r="B659" s="21">
        <f t="shared" si="20"/>
        <v>-0.19910240000000001</v>
      </c>
      <c r="D659">
        <f t="shared" si="21"/>
        <v>-78.71496855345913</v>
      </c>
      <c r="G659" s="21">
        <v>0.25031360000000002</v>
      </c>
      <c r="H659" s="21">
        <v>-0.19910240000000001</v>
      </c>
    </row>
    <row r="660" spans="1:8" x14ac:dyDescent="0.15">
      <c r="A660" s="21">
        <v>1.285156E-2</v>
      </c>
      <c r="B660" s="21">
        <f t="shared" si="20"/>
        <v>-0.2171303</v>
      </c>
      <c r="D660">
        <f t="shared" si="21"/>
        <v>-86.012358490566044</v>
      </c>
      <c r="G660" s="21">
        <v>0.27351930000000002</v>
      </c>
      <c r="H660" s="21">
        <v>-0.2171303</v>
      </c>
    </row>
    <row r="661" spans="1:8" x14ac:dyDescent="0.15">
      <c r="A661" s="21">
        <v>1.287109E-2</v>
      </c>
      <c r="B661" s="21">
        <f t="shared" si="20"/>
        <v>-0.23096729999999999</v>
      </c>
      <c r="D661">
        <f t="shared" si="21"/>
        <v>-91.690062893081759</v>
      </c>
      <c r="G661" s="21">
        <v>0.29157440000000001</v>
      </c>
      <c r="H661" s="21">
        <v>-0.23096729999999999</v>
      </c>
    </row>
    <row r="662" spans="1:8" x14ac:dyDescent="0.15">
      <c r="A662" s="21">
        <v>1.289063E-2</v>
      </c>
      <c r="B662" s="21">
        <f t="shared" si="20"/>
        <v>-0.24127380000000001</v>
      </c>
      <c r="D662">
        <f t="shared" si="21"/>
        <v>-96.008427672955975</v>
      </c>
      <c r="G662" s="21">
        <v>0.30530679999999999</v>
      </c>
      <c r="H662" s="21">
        <v>-0.24127380000000001</v>
      </c>
    </row>
    <row r="663" spans="1:8" x14ac:dyDescent="0.15">
      <c r="A663" s="21">
        <v>1.291016E-2</v>
      </c>
      <c r="B663" s="21">
        <f t="shared" si="20"/>
        <v>-0.24952469999999999</v>
      </c>
      <c r="D663">
        <f t="shared" si="21"/>
        <v>-99.342735849056595</v>
      </c>
      <c r="G663" s="21">
        <v>0.31590990000000002</v>
      </c>
      <c r="H663" s="21">
        <v>-0.24952469999999999</v>
      </c>
    </row>
    <row r="664" spans="1:8" x14ac:dyDescent="0.15">
      <c r="A664" s="21">
        <v>1.2929690000000001E-2</v>
      </c>
      <c r="B664" s="21">
        <f t="shared" si="20"/>
        <v>-0.25318859999999999</v>
      </c>
      <c r="D664">
        <f t="shared" si="21"/>
        <v>-100.81084905660376</v>
      </c>
      <c r="G664" s="21">
        <v>0.32057849999999999</v>
      </c>
      <c r="H664" s="21">
        <v>-0.25318859999999999</v>
      </c>
    </row>
    <row r="665" spans="1:8" x14ac:dyDescent="0.15">
      <c r="A665" s="21">
        <v>1.2949219999999999E-2</v>
      </c>
      <c r="B665" s="21">
        <f t="shared" si="20"/>
        <v>-0.25319849999999999</v>
      </c>
      <c r="D665">
        <f t="shared" si="21"/>
        <v>-100.97534591194967</v>
      </c>
      <c r="G665" s="21">
        <v>0.32110159999999999</v>
      </c>
      <c r="H665" s="21">
        <v>-0.25319849999999999</v>
      </c>
    </row>
    <row r="666" spans="1:8" x14ac:dyDescent="0.15">
      <c r="A666" s="21">
        <v>1.2968749999999999E-2</v>
      </c>
      <c r="B666" s="21">
        <f t="shared" si="20"/>
        <v>-0.24986510000000001</v>
      </c>
      <c r="D666">
        <f t="shared" si="21"/>
        <v>-99.743773584905654</v>
      </c>
      <c r="G666" s="21">
        <v>0.3171852</v>
      </c>
      <c r="H666" s="21">
        <v>-0.24986510000000001</v>
      </c>
    </row>
    <row r="667" spans="1:8" x14ac:dyDescent="0.15">
      <c r="A667" s="21">
        <v>1.298828E-2</v>
      </c>
      <c r="B667" s="21">
        <f t="shared" si="20"/>
        <v>-0.2413013</v>
      </c>
      <c r="D667">
        <f t="shared" si="21"/>
        <v>-96.306100628930807</v>
      </c>
      <c r="G667" s="21">
        <v>0.30625340000000001</v>
      </c>
      <c r="H667" s="21">
        <v>-0.2413013</v>
      </c>
    </row>
    <row r="668" spans="1:8" x14ac:dyDescent="0.15">
      <c r="A668" s="21">
        <v>1.300781E-2</v>
      </c>
      <c r="B668" s="21">
        <f t="shared" si="20"/>
        <v>-0.23010839999999999</v>
      </c>
      <c r="D668">
        <f t="shared" si="21"/>
        <v>-91.96798742138364</v>
      </c>
      <c r="G668" s="21">
        <v>0.2924582</v>
      </c>
      <c r="H668" s="21">
        <v>-0.23010839999999999</v>
      </c>
    </row>
    <row r="669" spans="1:8" x14ac:dyDescent="0.15">
      <c r="A669" s="21">
        <v>1.302734E-2</v>
      </c>
      <c r="B669" s="21">
        <f t="shared" si="20"/>
        <v>-0.21636630000000001</v>
      </c>
      <c r="D669">
        <f t="shared" si="21"/>
        <v>-86.562327044025167</v>
      </c>
      <c r="G669" s="21">
        <v>0.27526820000000002</v>
      </c>
      <c r="H669" s="21">
        <v>-0.21636630000000001</v>
      </c>
    </row>
    <row r="670" spans="1:8" x14ac:dyDescent="0.15">
      <c r="A670" s="21">
        <v>1.304687E-2</v>
      </c>
      <c r="B670" s="21">
        <f t="shared" si="20"/>
        <v>-0.1983886</v>
      </c>
      <c r="D670">
        <f t="shared" si="21"/>
        <v>-79.331540880503141</v>
      </c>
      <c r="G670" s="21">
        <v>0.25227430000000001</v>
      </c>
      <c r="H670" s="21">
        <v>-0.1983886</v>
      </c>
    </row>
    <row r="671" spans="1:8" x14ac:dyDescent="0.15">
      <c r="A671" s="21">
        <v>1.3066410000000001E-2</v>
      </c>
      <c r="B671" s="21">
        <f t="shared" si="20"/>
        <v>-0.17778740000000001</v>
      </c>
      <c r="D671">
        <f t="shared" si="21"/>
        <v>-71.191729559748424</v>
      </c>
      <c r="G671" s="21">
        <v>0.2263897</v>
      </c>
      <c r="H671" s="21">
        <v>-0.17778740000000001</v>
      </c>
    </row>
    <row r="672" spans="1:8" x14ac:dyDescent="0.15">
      <c r="A672" s="21">
        <v>1.3085940000000001E-2</v>
      </c>
      <c r="B672" s="21">
        <f t="shared" si="20"/>
        <v>-0.1538747</v>
      </c>
      <c r="D672">
        <f t="shared" si="21"/>
        <v>-61.629874213836473</v>
      </c>
      <c r="G672" s="21">
        <v>0.19598299999999999</v>
      </c>
      <c r="H672" s="21">
        <v>-0.1538747</v>
      </c>
    </row>
    <row r="673" spans="1:8" x14ac:dyDescent="0.15">
      <c r="A673" s="21">
        <v>1.3105469999999999E-2</v>
      </c>
      <c r="B673" s="21">
        <f t="shared" si="20"/>
        <v>-0.12709129999999999</v>
      </c>
      <c r="D673">
        <f t="shared" si="21"/>
        <v>-50.984213836477984</v>
      </c>
      <c r="G673" s="21">
        <v>0.16212979999999999</v>
      </c>
      <c r="H673" s="21">
        <v>-0.12709129999999999</v>
      </c>
    </row>
    <row r="674" spans="1:8" x14ac:dyDescent="0.15">
      <c r="A674" s="21">
        <v>1.3125E-2</v>
      </c>
      <c r="B674" s="21">
        <f t="shared" si="20"/>
        <v>-9.9382429999999994E-2</v>
      </c>
      <c r="D674">
        <f t="shared" si="21"/>
        <v>-39.987075471698105</v>
      </c>
      <c r="G674" s="21">
        <v>0.12715889999999999</v>
      </c>
      <c r="H674" s="21">
        <v>-9.9382429999999994E-2</v>
      </c>
    </row>
    <row r="675" spans="1:8" x14ac:dyDescent="0.15">
      <c r="A675" s="21">
        <v>1.314453E-2</v>
      </c>
      <c r="B675" s="21">
        <f t="shared" si="20"/>
        <v>-6.965433E-2</v>
      </c>
      <c r="D675">
        <f t="shared" si="21"/>
        <v>-27.961320754716979</v>
      </c>
      <c r="G675" s="21">
        <v>8.8916999999999996E-2</v>
      </c>
      <c r="H675" s="21">
        <v>-6.965433E-2</v>
      </c>
    </row>
    <row r="676" spans="1:8" x14ac:dyDescent="0.15">
      <c r="A676" s="21">
        <v>1.316406E-2</v>
      </c>
      <c r="B676" s="21">
        <f t="shared" si="20"/>
        <v>-3.9322309999999999E-2</v>
      </c>
      <c r="D676">
        <f t="shared" si="21"/>
        <v>-15.922405660377356</v>
      </c>
      <c r="G676" s="21">
        <v>5.0633249999999998E-2</v>
      </c>
      <c r="H676" s="21">
        <v>-3.9322309999999999E-2</v>
      </c>
    </row>
    <row r="677" spans="1:8" x14ac:dyDescent="0.15">
      <c r="A677" s="21">
        <v>1.318359E-2</v>
      </c>
      <c r="B677" s="21">
        <f t="shared" si="20"/>
        <v>-8.3913410000000001E-3</v>
      </c>
      <c r="D677">
        <f t="shared" si="21"/>
        <v>-3.549547169811321</v>
      </c>
      <c r="G677" s="21">
        <v>1.128756E-2</v>
      </c>
      <c r="H677" s="21">
        <v>-8.3913410000000001E-3</v>
      </c>
    </row>
    <row r="678" spans="1:8" x14ac:dyDescent="0.15">
      <c r="A678" s="21">
        <v>1.320312E-2</v>
      </c>
      <c r="B678" s="21">
        <f t="shared" si="20"/>
        <v>2.4536510000000001E-2</v>
      </c>
      <c r="D678">
        <f t="shared" si="21"/>
        <v>9.726081761006288</v>
      </c>
      <c r="G678" s="21">
        <v>-3.0928939999999999E-2</v>
      </c>
      <c r="H678" s="21">
        <v>2.4536510000000001E-2</v>
      </c>
    </row>
    <row r="679" spans="1:8" x14ac:dyDescent="0.15">
      <c r="A679" s="21">
        <v>1.3222660000000001E-2</v>
      </c>
      <c r="B679" s="21">
        <f t="shared" si="20"/>
        <v>5.5486189999999998E-2</v>
      </c>
      <c r="D679">
        <f t="shared" si="21"/>
        <v>21.984003144654089</v>
      </c>
      <c r="G679" s="21">
        <v>-6.990913E-2</v>
      </c>
      <c r="H679" s="21">
        <v>5.5486189999999998E-2</v>
      </c>
    </row>
    <row r="680" spans="1:8" x14ac:dyDescent="0.15">
      <c r="A680" s="21">
        <v>1.3242189999999999E-2</v>
      </c>
      <c r="B680" s="21">
        <f t="shared" si="20"/>
        <v>8.4798349999999995E-2</v>
      </c>
      <c r="D680">
        <f t="shared" si="21"/>
        <v>33.831729559748425</v>
      </c>
      <c r="G680" s="21">
        <v>-0.1075849</v>
      </c>
      <c r="H680" s="21">
        <v>8.4798349999999995E-2</v>
      </c>
    </row>
    <row r="681" spans="1:8" x14ac:dyDescent="0.15">
      <c r="A681" s="21">
        <v>1.3261719999999999E-2</v>
      </c>
      <c r="B681" s="21">
        <f t="shared" si="20"/>
        <v>0.1140197</v>
      </c>
      <c r="D681">
        <f t="shared" si="21"/>
        <v>45.670503144654084</v>
      </c>
      <c r="G681" s="21">
        <v>-0.14523220000000001</v>
      </c>
      <c r="H681" s="21">
        <v>0.1140197</v>
      </c>
    </row>
    <row r="682" spans="1:8" x14ac:dyDescent="0.15">
      <c r="A682" s="21">
        <v>1.328125E-2</v>
      </c>
      <c r="B682" s="21">
        <f t="shared" si="20"/>
        <v>0.14027039999999999</v>
      </c>
      <c r="D682">
        <f t="shared" si="21"/>
        <v>56.174874213836475</v>
      </c>
      <c r="G682" s="21">
        <v>-0.17863609999999999</v>
      </c>
      <c r="H682" s="21">
        <v>0.14027039999999999</v>
      </c>
    </row>
    <row r="683" spans="1:8" x14ac:dyDescent="0.15">
      <c r="A683" s="21">
        <v>1.330078E-2</v>
      </c>
      <c r="B683" s="21">
        <f t="shared" si="20"/>
        <v>0.16524449999999999</v>
      </c>
      <c r="D683">
        <f t="shared" si="21"/>
        <v>66.283584905660376</v>
      </c>
      <c r="G683" s="21">
        <v>-0.21078179999999999</v>
      </c>
      <c r="H683" s="21">
        <v>0.16524449999999999</v>
      </c>
    </row>
    <row r="684" spans="1:8" x14ac:dyDescent="0.15">
      <c r="A684" s="21">
        <v>1.332031E-2</v>
      </c>
      <c r="B684" s="21">
        <f t="shared" si="20"/>
        <v>0.1887723</v>
      </c>
      <c r="D684">
        <f t="shared" si="21"/>
        <v>75.78311320754716</v>
      </c>
      <c r="G684" s="21">
        <v>-0.24099029999999999</v>
      </c>
      <c r="H684" s="21">
        <v>0.1887723</v>
      </c>
    </row>
    <row r="685" spans="1:8" x14ac:dyDescent="0.15">
      <c r="A685" s="21">
        <v>1.333984E-2</v>
      </c>
      <c r="B685" s="21">
        <f t="shared" si="20"/>
        <v>0.20803949999999999</v>
      </c>
      <c r="D685">
        <f t="shared" si="21"/>
        <v>83.53</v>
      </c>
      <c r="G685" s="21">
        <v>-0.26562540000000001</v>
      </c>
      <c r="H685" s="21">
        <v>0.20803949999999999</v>
      </c>
    </row>
    <row r="686" spans="1:8" x14ac:dyDescent="0.15">
      <c r="A686" s="21">
        <v>1.3359370000000001E-2</v>
      </c>
      <c r="B686" s="21">
        <f t="shared" si="20"/>
        <v>0.2241599</v>
      </c>
      <c r="D686">
        <f t="shared" si="21"/>
        <v>90.067358490566036</v>
      </c>
      <c r="G686" s="21">
        <v>-0.28641420000000001</v>
      </c>
      <c r="H686" s="21">
        <v>0.2241599</v>
      </c>
    </row>
    <row r="687" spans="1:8" x14ac:dyDescent="0.15">
      <c r="A687" s="21">
        <v>1.3378910000000001E-2</v>
      </c>
      <c r="B687" s="21">
        <f t="shared" si="20"/>
        <v>0.2366143</v>
      </c>
      <c r="D687">
        <f t="shared" si="21"/>
        <v>95.220943396226403</v>
      </c>
      <c r="G687" s="21">
        <v>-0.30280259999999998</v>
      </c>
      <c r="H687" s="21">
        <v>0.2366143</v>
      </c>
    </row>
    <row r="688" spans="1:8" x14ac:dyDescent="0.15">
      <c r="A688" s="21">
        <v>1.3398439999999999E-2</v>
      </c>
      <c r="B688" s="21">
        <f t="shared" si="20"/>
        <v>0.24582979999999999</v>
      </c>
      <c r="D688">
        <f t="shared" si="21"/>
        <v>99.03411949685534</v>
      </c>
      <c r="G688" s="21">
        <v>-0.3149285</v>
      </c>
      <c r="H688" s="21">
        <v>0.24582979999999999</v>
      </c>
    </row>
    <row r="689" spans="1:8" x14ac:dyDescent="0.15">
      <c r="A689" s="21">
        <v>1.341797E-2</v>
      </c>
      <c r="B689" s="21">
        <f t="shared" si="20"/>
        <v>0.25286009999999998</v>
      </c>
      <c r="D689">
        <f t="shared" si="21"/>
        <v>101.85037735849056</v>
      </c>
      <c r="G689" s="21">
        <v>-0.32388420000000001</v>
      </c>
      <c r="H689" s="21">
        <v>0.25286009999999998</v>
      </c>
    </row>
    <row r="690" spans="1:8" x14ac:dyDescent="0.15">
      <c r="A690" s="21">
        <v>1.34375E-2</v>
      </c>
      <c r="B690" s="21">
        <f t="shared" si="20"/>
        <v>0.25542110000000001</v>
      </c>
      <c r="D690">
        <f t="shared" si="21"/>
        <v>102.89188679245282</v>
      </c>
      <c r="G690" s="21">
        <v>-0.32719619999999999</v>
      </c>
      <c r="H690" s="21">
        <v>0.25542110000000001</v>
      </c>
    </row>
    <row r="691" spans="1:8" x14ac:dyDescent="0.15">
      <c r="A691" s="21">
        <v>1.345703E-2</v>
      </c>
      <c r="B691" s="21">
        <f t="shared" si="20"/>
        <v>0.2539073</v>
      </c>
      <c r="D691">
        <f t="shared" si="21"/>
        <v>102.31682389937104</v>
      </c>
      <c r="G691" s="21">
        <v>-0.32536749999999998</v>
      </c>
      <c r="H691" s="21">
        <v>0.2539073</v>
      </c>
    </row>
    <row r="692" spans="1:8" x14ac:dyDescent="0.15">
      <c r="A692" s="21">
        <v>1.347656E-2</v>
      </c>
      <c r="B692" s="21">
        <f t="shared" si="20"/>
        <v>0.24851899999999999</v>
      </c>
      <c r="D692">
        <f t="shared" si="21"/>
        <v>100.1641823899371</v>
      </c>
      <c r="G692" s="21">
        <v>-0.31852209999999997</v>
      </c>
      <c r="H692" s="21">
        <v>0.24851899999999999</v>
      </c>
    </row>
    <row r="693" spans="1:8" x14ac:dyDescent="0.15">
      <c r="A693" s="21">
        <v>1.3496090000000001E-2</v>
      </c>
      <c r="B693" s="21">
        <f t="shared" si="20"/>
        <v>0.2384898</v>
      </c>
      <c r="D693">
        <f t="shared" si="21"/>
        <v>96.15751572327045</v>
      </c>
      <c r="G693" s="21">
        <v>-0.30578090000000002</v>
      </c>
      <c r="H693" s="21">
        <v>0.2384898</v>
      </c>
    </row>
    <row r="694" spans="1:8" x14ac:dyDescent="0.15">
      <c r="A694" s="21">
        <v>1.3515620000000001E-2</v>
      </c>
      <c r="B694" s="21">
        <f t="shared" si="20"/>
        <v>0.22638369999999999</v>
      </c>
      <c r="D694">
        <f t="shared" si="21"/>
        <v>91.400566037735842</v>
      </c>
      <c r="G694" s="21">
        <v>-0.29065380000000002</v>
      </c>
      <c r="H694" s="21">
        <v>0.22638369999999999</v>
      </c>
    </row>
    <row r="695" spans="1:8" x14ac:dyDescent="0.15">
      <c r="A695" s="21">
        <v>1.3535159999999999E-2</v>
      </c>
      <c r="B695" s="21">
        <f t="shared" si="20"/>
        <v>0.21141989999999999</v>
      </c>
      <c r="D695">
        <f t="shared" si="21"/>
        <v>85.389654088050293</v>
      </c>
      <c r="G695" s="21">
        <v>-0.27153909999999998</v>
      </c>
      <c r="H695" s="21">
        <v>0.21141989999999999</v>
      </c>
    </row>
    <row r="696" spans="1:8" x14ac:dyDescent="0.15">
      <c r="A696" s="21">
        <v>1.3554689999999999E-2</v>
      </c>
      <c r="B696" s="21">
        <f t="shared" si="20"/>
        <v>0.1922102</v>
      </c>
      <c r="D696">
        <f t="shared" si="21"/>
        <v>77.633490566037722</v>
      </c>
      <c r="G696" s="21">
        <v>-0.2468745</v>
      </c>
      <c r="H696" s="21">
        <v>0.1922102</v>
      </c>
    </row>
    <row r="697" spans="1:8" x14ac:dyDescent="0.15">
      <c r="A697" s="21">
        <v>1.357422E-2</v>
      </c>
      <c r="B697" s="21">
        <f t="shared" si="20"/>
        <v>0.1704203</v>
      </c>
      <c r="D697">
        <f t="shared" si="21"/>
        <v>69.08547169811321</v>
      </c>
      <c r="G697" s="21">
        <v>-0.21969179999999999</v>
      </c>
      <c r="H697" s="21">
        <v>0.1704203</v>
      </c>
    </row>
    <row r="698" spans="1:8" x14ac:dyDescent="0.15">
      <c r="A698" s="21">
        <v>1.359375E-2</v>
      </c>
      <c r="B698" s="21">
        <f t="shared" si="20"/>
        <v>0.14503179999999999</v>
      </c>
      <c r="D698">
        <f t="shared" si="21"/>
        <v>59.00154088050315</v>
      </c>
      <c r="G698" s="21">
        <v>-0.18762490000000001</v>
      </c>
      <c r="H698" s="21">
        <v>0.14503179999999999</v>
      </c>
    </row>
    <row r="699" spans="1:8" x14ac:dyDescent="0.15">
      <c r="A699" s="21">
        <v>1.361328E-2</v>
      </c>
      <c r="B699" s="21">
        <f t="shared" si="20"/>
        <v>0.1172265</v>
      </c>
      <c r="D699">
        <f t="shared" si="21"/>
        <v>47.918427672955978</v>
      </c>
      <c r="G699" s="21">
        <v>-0.1523806</v>
      </c>
      <c r="H699" s="21">
        <v>0.1172265</v>
      </c>
    </row>
    <row r="700" spans="1:8" x14ac:dyDescent="0.15">
      <c r="A700" s="21">
        <v>1.363281E-2</v>
      </c>
      <c r="B700" s="21">
        <f t="shared" si="20"/>
        <v>8.9147400000000002E-2</v>
      </c>
      <c r="D700">
        <f t="shared" si="21"/>
        <v>36.788930817610058</v>
      </c>
      <c r="G700" s="21">
        <v>-0.1169888</v>
      </c>
      <c r="H700" s="21">
        <v>8.9147400000000002E-2</v>
      </c>
    </row>
    <row r="701" spans="1:8" x14ac:dyDescent="0.15">
      <c r="A701" s="21">
        <v>1.3652340000000001E-2</v>
      </c>
      <c r="B701" s="21">
        <f t="shared" si="20"/>
        <v>5.9160799999999999E-2</v>
      </c>
      <c r="D701">
        <f t="shared" si="21"/>
        <v>24.740650943396229</v>
      </c>
      <c r="G701" s="21">
        <v>-7.8675270000000005E-2</v>
      </c>
      <c r="H701" s="21">
        <v>5.9160799999999999E-2</v>
      </c>
    </row>
    <row r="702" spans="1:8" x14ac:dyDescent="0.15">
      <c r="A702" s="21">
        <v>1.3671880000000001E-2</v>
      </c>
      <c r="B702" s="21">
        <f t="shared" si="20"/>
        <v>2.8231610000000001E-2</v>
      </c>
      <c r="D702">
        <f t="shared" si="21"/>
        <v>12.431220125786163</v>
      </c>
      <c r="G702" s="21">
        <v>-3.9531280000000002E-2</v>
      </c>
      <c r="H702" s="21">
        <v>2.8231610000000001E-2</v>
      </c>
    </row>
    <row r="703" spans="1:8" x14ac:dyDescent="0.15">
      <c r="A703" s="21">
        <v>1.3691409999999999E-2</v>
      </c>
      <c r="B703" s="21">
        <f t="shared" si="20"/>
        <v>-3.0440739999999999E-3</v>
      </c>
      <c r="D703">
        <f t="shared" si="21"/>
        <v>-1.5085619496855345E-2</v>
      </c>
      <c r="G703" s="21">
        <v>4.7972269999999999E-5</v>
      </c>
      <c r="H703" s="21">
        <v>-3.0440739999999999E-3</v>
      </c>
    </row>
    <row r="704" spans="1:8" x14ac:dyDescent="0.15">
      <c r="A704" s="21">
        <v>1.371094E-2</v>
      </c>
      <c r="B704" s="21">
        <f t="shared" si="20"/>
        <v>-3.5138139999999998E-2</v>
      </c>
      <c r="D704">
        <f t="shared" si="21"/>
        <v>-12.884811320754716</v>
      </c>
      <c r="G704" s="21">
        <v>4.0973700000000002E-2</v>
      </c>
      <c r="H704" s="21">
        <v>-3.5138139999999998E-2</v>
      </c>
    </row>
    <row r="705" spans="1:8" x14ac:dyDescent="0.15">
      <c r="A705" s="21">
        <v>1.373047E-2</v>
      </c>
      <c r="B705" s="21">
        <f t="shared" si="20"/>
        <v>-6.5802089999999994E-2</v>
      </c>
      <c r="D705">
        <f t="shared" si="21"/>
        <v>-25.158097484276727</v>
      </c>
      <c r="G705" s="21">
        <v>8.0002749999999997E-2</v>
      </c>
      <c r="H705" s="21">
        <v>-6.5802089999999994E-2</v>
      </c>
    </row>
    <row r="706" spans="1:8" x14ac:dyDescent="0.15">
      <c r="A706" s="21">
        <v>1.375E-2</v>
      </c>
      <c r="B706" s="21">
        <f t="shared" ref="B706:B769" si="22">H706</f>
        <v>-9.5362749999999996E-2</v>
      </c>
      <c r="D706">
        <f t="shared" ref="D706:D769" si="23">G706*-1000/3.18</f>
        <v>-37.062893081761004</v>
      </c>
      <c r="G706" s="21">
        <v>0.11786000000000001</v>
      </c>
      <c r="H706" s="21">
        <v>-9.5362749999999996E-2</v>
      </c>
    </row>
    <row r="707" spans="1:8" x14ac:dyDescent="0.15">
      <c r="A707" s="21">
        <v>1.376953E-2</v>
      </c>
      <c r="B707" s="21">
        <f t="shared" si="22"/>
        <v>-0.12356499999999999</v>
      </c>
      <c r="D707">
        <f t="shared" si="23"/>
        <v>-48.338962264150936</v>
      </c>
      <c r="G707" s="21">
        <v>0.15371789999999999</v>
      </c>
      <c r="H707" s="21">
        <v>-0.12356499999999999</v>
      </c>
    </row>
    <row r="708" spans="1:8" x14ac:dyDescent="0.15">
      <c r="A708" s="21">
        <v>1.3789060000000001E-2</v>
      </c>
      <c r="B708" s="21">
        <f t="shared" si="22"/>
        <v>-0.14880099999999999</v>
      </c>
      <c r="D708">
        <f t="shared" si="23"/>
        <v>-58.4443396226415</v>
      </c>
      <c r="G708" s="21">
        <v>0.18585299999999999</v>
      </c>
      <c r="H708" s="21">
        <v>-0.14880099999999999</v>
      </c>
    </row>
    <row r="709" spans="1:8" x14ac:dyDescent="0.15">
      <c r="A709" s="21">
        <v>1.3808590000000001E-2</v>
      </c>
      <c r="B709" s="21">
        <f t="shared" si="22"/>
        <v>-0.17285890000000001</v>
      </c>
      <c r="D709">
        <f t="shared" si="23"/>
        <v>-68.243050314465407</v>
      </c>
      <c r="G709" s="21">
        <v>0.21701290000000001</v>
      </c>
      <c r="H709" s="21">
        <v>-0.17285890000000001</v>
      </c>
    </row>
    <row r="710" spans="1:8" x14ac:dyDescent="0.15">
      <c r="A710" s="21">
        <v>1.3828129999999999E-2</v>
      </c>
      <c r="B710" s="21">
        <f t="shared" si="22"/>
        <v>-0.19494639999999999</v>
      </c>
      <c r="D710">
        <f t="shared" si="23"/>
        <v>-77.158301886792458</v>
      </c>
      <c r="G710" s="21">
        <v>0.24536340000000001</v>
      </c>
      <c r="H710" s="21">
        <v>-0.19494639999999999</v>
      </c>
    </row>
    <row r="711" spans="1:8" x14ac:dyDescent="0.15">
      <c r="A711" s="21">
        <v>1.3847659999999999E-2</v>
      </c>
      <c r="B711" s="21">
        <f t="shared" si="22"/>
        <v>-0.2133061</v>
      </c>
      <c r="D711">
        <f t="shared" si="23"/>
        <v>-84.494685534591198</v>
      </c>
      <c r="G711" s="21">
        <v>0.26869310000000002</v>
      </c>
      <c r="H711" s="21">
        <v>-0.2133061</v>
      </c>
    </row>
    <row r="712" spans="1:8" x14ac:dyDescent="0.15">
      <c r="A712" s="21">
        <v>1.386719E-2</v>
      </c>
      <c r="B712" s="21">
        <f t="shared" si="22"/>
        <v>-0.22860949999999999</v>
      </c>
      <c r="D712">
        <f t="shared" si="23"/>
        <v>-90.706383647798745</v>
      </c>
      <c r="G712" s="21">
        <v>0.28844629999999999</v>
      </c>
      <c r="H712" s="21">
        <v>-0.22860949999999999</v>
      </c>
    </row>
    <row r="713" spans="1:8" x14ac:dyDescent="0.15">
      <c r="A713" s="21">
        <v>1.388672E-2</v>
      </c>
      <c r="B713" s="21">
        <f t="shared" si="22"/>
        <v>-0.2396355</v>
      </c>
      <c r="D713">
        <f t="shared" si="23"/>
        <v>-95.249622641509433</v>
      </c>
      <c r="G713" s="21">
        <v>0.30289379999999999</v>
      </c>
      <c r="H713" s="21">
        <v>-0.2396355</v>
      </c>
    </row>
    <row r="714" spans="1:8" x14ac:dyDescent="0.15">
      <c r="A714" s="21">
        <v>1.390625E-2</v>
      </c>
      <c r="B714" s="21">
        <f t="shared" si="22"/>
        <v>-0.24722189999999999</v>
      </c>
      <c r="D714">
        <f t="shared" si="23"/>
        <v>-98.39393081761007</v>
      </c>
      <c r="G714" s="21">
        <v>0.31289270000000002</v>
      </c>
      <c r="H714" s="21">
        <v>-0.24722189999999999</v>
      </c>
    </row>
    <row r="715" spans="1:8" x14ac:dyDescent="0.15">
      <c r="A715" s="21">
        <v>1.392578E-2</v>
      </c>
      <c r="B715" s="21">
        <f t="shared" si="22"/>
        <v>-0.25237209999999999</v>
      </c>
      <c r="D715">
        <f t="shared" si="23"/>
        <v>-100.54113207547171</v>
      </c>
      <c r="G715" s="21">
        <v>0.31972080000000003</v>
      </c>
      <c r="H715" s="21">
        <v>-0.25237209999999999</v>
      </c>
    </row>
    <row r="716" spans="1:8" x14ac:dyDescent="0.15">
      <c r="A716" s="21">
        <v>1.3945310000000001E-2</v>
      </c>
      <c r="B716" s="21">
        <f t="shared" si="22"/>
        <v>-0.25317830000000002</v>
      </c>
      <c r="D716">
        <f t="shared" si="23"/>
        <v>-100.89625786163523</v>
      </c>
      <c r="G716" s="21">
        <v>0.32085010000000003</v>
      </c>
      <c r="H716" s="21">
        <v>-0.25317830000000002</v>
      </c>
    </row>
    <row r="717" spans="1:8" x14ac:dyDescent="0.15">
      <c r="A717" s="21">
        <v>1.3964839999999999E-2</v>
      </c>
      <c r="B717" s="21">
        <f t="shared" si="22"/>
        <v>-0.25077480000000002</v>
      </c>
      <c r="D717">
        <f t="shared" si="23"/>
        <v>-100.03452830188679</v>
      </c>
      <c r="G717" s="21">
        <v>0.3181098</v>
      </c>
      <c r="H717" s="21">
        <v>-0.25077480000000002</v>
      </c>
    </row>
    <row r="718" spans="1:8" x14ac:dyDescent="0.15">
      <c r="A718" s="21">
        <v>1.3984379999999999E-2</v>
      </c>
      <c r="B718" s="21">
        <f t="shared" si="22"/>
        <v>-0.24424499999999999</v>
      </c>
      <c r="D718">
        <f t="shared" si="23"/>
        <v>-97.503018867924524</v>
      </c>
      <c r="G718" s="21">
        <v>0.31005959999999999</v>
      </c>
      <c r="H718" s="21">
        <v>-0.24424499999999999</v>
      </c>
    </row>
    <row r="719" spans="1:8" x14ac:dyDescent="0.15">
      <c r="A719" s="21">
        <v>1.400391E-2</v>
      </c>
      <c r="B719" s="21">
        <f t="shared" si="22"/>
        <v>-0.23220170000000001</v>
      </c>
      <c r="D719">
        <f t="shared" si="23"/>
        <v>-92.666289308176104</v>
      </c>
      <c r="G719" s="21">
        <v>0.29467880000000002</v>
      </c>
      <c r="H719" s="21">
        <v>-0.23220170000000001</v>
      </c>
    </row>
    <row r="720" spans="1:8" x14ac:dyDescent="0.15">
      <c r="A720" s="21">
        <v>1.402344E-2</v>
      </c>
      <c r="B720" s="21">
        <f t="shared" si="22"/>
        <v>-0.21853700000000001</v>
      </c>
      <c r="D720">
        <f t="shared" si="23"/>
        <v>-87.394622641509443</v>
      </c>
      <c r="G720" s="21">
        <v>0.27791490000000002</v>
      </c>
      <c r="H720" s="21">
        <v>-0.21853700000000001</v>
      </c>
    </row>
    <row r="721" spans="1:8" x14ac:dyDescent="0.15">
      <c r="A721" s="21">
        <v>1.404297E-2</v>
      </c>
      <c r="B721" s="21">
        <f t="shared" si="22"/>
        <v>-0.2023509</v>
      </c>
      <c r="D721">
        <f t="shared" si="23"/>
        <v>-80.995220125786162</v>
      </c>
      <c r="G721" s="21">
        <v>0.25756479999999998</v>
      </c>
      <c r="H721" s="21">
        <v>-0.2023509</v>
      </c>
    </row>
    <row r="722" spans="1:8" x14ac:dyDescent="0.15">
      <c r="A722" s="21">
        <v>1.40625E-2</v>
      </c>
      <c r="B722" s="21">
        <f t="shared" si="22"/>
        <v>-0.18161469999999999</v>
      </c>
      <c r="D722">
        <f t="shared" si="23"/>
        <v>-72.568301886792455</v>
      </c>
      <c r="G722" s="21">
        <v>0.23076720000000001</v>
      </c>
      <c r="H722" s="21">
        <v>-0.18161469999999999</v>
      </c>
    </row>
    <row r="723" spans="1:8" x14ac:dyDescent="0.15">
      <c r="A723" s="21">
        <v>1.4082030000000001E-2</v>
      </c>
      <c r="B723" s="21">
        <f t="shared" si="22"/>
        <v>-0.15878339999999999</v>
      </c>
      <c r="D723">
        <f t="shared" si="23"/>
        <v>-63.603238993710683</v>
      </c>
      <c r="G723" s="21">
        <v>0.2022583</v>
      </c>
      <c r="H723" s="21">
        <v>-0.15878339999999999</v>
      </c>
    </row>
    <row r="724" spans="1:8" x14ac:dyDescent="0.15">
      <c r="A724" s="21">
        <v>1.4101560000000001E-2</v>
      </c>
      <c r="B724" s="21">
        <f t="shared" si="22"/>
        <v>-0.13294349999999999</v>
      </c>
      <c r="D724">
        <f t="shared" si="23"/>
        <v>-53.349905660377352</v>
      </c>
      <c r="G724" s="21">
        <v>0.16965269999999999</v>
      </c>
      <c r="H724" s="21">
        <v>-0.13294349999999999</v>
      </c>
    </row>
    <row r="725" spans="1:8" x14ac:dyDescent="0.15">
      <c r="A725" s="21">
        <v>1.4121089999999999E-2</v>
      </c>
      <c r="B725" s="21">
        <f t="shared" si="22"/>
        <v>-0.1044112</v>
      </c>
      <c r="D725">
        <f t="shared" si="23"/>
        <v>-41.919025157232696</v>
      </c>
      <c r="G725" s="21">
        <v>0.13330249999999999</v>
      </c>
      <c r="H725" s="21">
        <v>-0.1044112</v>
      </c>
    </row>
    <row r="726" spans="1:8" x14ac:dyDescent="0.15">
      <c r="A726" s="21">
        <v>1.414063E-2</v>
      </c>
      <c r="B726" s="21">
        <f t="shared" si="22"/>
        <v>-7.5535710000000006E-2</v>
      </c>
      <c r="D726">
        <f t="shared" si="23"/>
        <v>-30.481106918238996</v>
      </c>
      <c r="G726" s="21">
        <v>9.6929920000000003E-2</v>
      </c>
      <c r="H726" s="21">
        <v>-7.5535710000000006E-2</v>
      </c>
    </row>
    <row r="727" spans="1:8" x14ac:dyDescent="0.15">
      <c r="A727" s="21">
        <v>1.416016E-2</v>
      </c>
      <c r="B727" s="21">
        <f t="shared" si="22"/>
        <v>-4.5129799999999998E-2</v>
      </c>
      <c r="D727">
        <f t="shared" si="23"/>
        <v>-18.236238993710689</v>
      </c>
      <c r="G727" s="21">
        <v>5.7991239999999999E-2</v>
      </c>
      <c r="H727" s="21">
        <v>-4.5129799999999998E-2</v>
      </c>
    </row>
    <row r="728" spans="1:8" x14ac:dyDescent="0.15">
      <c r="A728" s="21">
        <v>1.417969E-2</v>
      </c>
      <c r="B728" s="21">
        <f t="shared" si="22"/>
        <v>-1.3823190000000001E-2</v>
      </c>
      <c r="D728">
        <f t="shared" si="23"/>
        <v>-5.7082955974842768</v>
      </c>
      <c r="G728" s="21">
        <v>1.8152379999999999E-2</v>
      </c>
      <c r="H728" s="21">
        <v>-1.3823190000000001E-2</v>
      </c>
    </row>
    <row r="729" spans="1:8" x14ac:dyDescent="0.15">
      <c r="A729" s="21">
        <v>1.419922E-2</v>
      </c>
      <c r="B729" s="21">
        <f t="shared" si="22"/>
        <v>1.747524E-2</v>
      </c>
      <c r="D729">
        <f t="shared" si="23"/>
        <v>6.7694276729559739</v>
      </c>
      <c r="G729" s="21">
        <v>-2.1526779999999999E-2</v>
      </c>
      <c r="H729" s="21">
        <v>1.747524E-2</v>
      </c>
    </row>
    <row r="730" spans="1:8" x14ac:dyDescent="0.15">
      <c r="A730" s="21">
        <v>1.421875E-2</v>
      </c>
      <c r="B730" s="21">
        <f t="shared" si="22"/>
        <v>4.9268739999999998E-2</v>
      </c>
      <c r="D730">
        <f t="shared" si="23"/>
        <v>19.624540880503144</v>
      </c>
      <c r="G730" s="21">
        <v>-6.2406040000000003E-2</v>
      </c>
      <c r="H730" s="21">
        <v>4.9268739999999998E-2</v>
      </c>
    </row>
    <row r="731" spans="1:8" x14ac:dyDescent="0.15">
      <c r="A731" s="21">
        <v>1.4238280000000001E-2</v>
      </c>
      <c r="B731" s="21">
        <f t="shared" si="22"/>
        <v>7.9334249999999995E-2</v>
      </c>
      <c r="D731">
        <f t="shared" si="23"/>
        <v>31.637641509433958</v>
      </c>
      <c r="G731" s="21">
        <v>-0.10060769999999999</v>
      </c>
      <c r="H731" s="21">
        <v>7.9334249999999995E-2</v>
      </c>
    </row>
    <row r="732" spans="1:8" x14ac:dyDescent="0.15">
      <c r="A732" s="21">
        <v>1.4257809999999999E-2</v>
      </c>
      <c r="B732" s="21">
        <f t="shared" si="22"/>
        <v>0.10773340000000001</v>
      </c>
      <c r="D732">
        <f t="shared" si="23"/>
        <v>43.069213836477992</v>
      </c>
      <c r="G732" s="21">
        <v>-0.1369601</v>
      </c>
      <c r="H732" s="21">
        <v>0.10773340000000001</v>
      </c>
    </row>
    <row r="733" spans="1:8" x14ac:dyDescent="0.15">
      <c r="A733" s="21">
        <v>1.4277339999999999E-2</v>
      </c>
      <c r="B733" s="21">
        <f t="shared" si="22"/>
        <v>0.13541420000000001</v>
      </c>
      <c r="D733">
        <f t="shared" si="23"/>
        <v>54.372987421383648</v>
      </c>
      <c r="G733" s="21">
        <v>-0.17290610000000001</v>
      </c>
      <c r="H733" s="21">
        <v>0.13541420000000001</v>
      </c>
    </row>
    <row r="734" spans="1:8" x14ac:dyDescent="0.15">
      <c r="A734" s="21">
        <v>1.429688E-2</v>
      </c>
      <c r="B734" s="21">
        <f t="shared" si="22"/>
        <v>0.16053400000000001</v>
      </c>
      <c r="D734">
        <f t="shared" si="23"/>
        <v>64.386855345911954</v>
      </c>
      <c r="G734" s="21">
        <v>-0.20475019999999999</v>
      </c>
      <c r="H734" s="21">
        <v>0.16053400000000001</v>
      </c>
    </row>
    <row r="735" spans="1:8" x14ac:dyDescent="0.15">
      <c r="A735" s="21">
        <v>1.431641E-2</v>
      </c>
      <c r="B735" s="21">
        <f t="shared" si="22"/>
        <v>0.18358140000000001</v>
      </c>
      <c r="D735">
        <f t="shared" si="23"/>
        <v>73.656194968553464</v>
      </c>
      <c r="G735" s="21">
        <v>-0.23422670000000001</v>
      </c>
      <c r="H735" s="21">
        <v>0.18358140000000001</v>
      </c>
    </row>
    <row r="736" spans="1:8" x14ac:dyDescent="0.15">
      <c r="A736" s="21">
        <v>1.433594E-2</v>
      </c>
      <c r="B736" s="21">
        <f t="shared" si="22"/>
        <v>0.20426340000000001</v>
      </c>
      <c r="D736">
        <f t="shared" si="23"/>
        <v>82.100974842767286</v>
      </c>
      <c r="G736" s="21">
        <v>-0.26108110000000001</v>
      </c>
      <c r="H736" s="21">
        <v>0.20426340000000001</v>
      </c>
    </row>
    <row r="737" spans="1:8" x14ac:dyDescent="0.15">
      <c r="A737" s="21">
        <v>1.435547E-2</v>
      </c>
      <c r="B737" s="21">
        <f t="shared" si="22"/>
        <v>0.22071070000000001</v>
      </c>
      <c r="D737">
        <f t="shared" si="23"/>
        <v>88.663993710691827</v>
      </c>
      <c r="G737" s="21">
        <v>-0.28195150000000002</v>
      </c>
      <c r="H737" s="21">
        <v>0.22071070000000001</v>
      </c>
    </row>
    <row r="738" spans="1:8" x14ac:dyDescent="0.15">
      <c r="A738" s="21">
        <v>1.4375000000000001E-2</v>
      </c>
      <c r="B738" s="21">
        <f t="shared" si="22"/>
        <v>0.2341924</v>
      </c>
      <c r="D738">
        <f t="shared" si="23"/>
        <v>94.237106918238979</v>
      </c>
      <c r="G738" s="21">
        <v>-0.299674</v>
      </c>
      <c r="H738" s="21">
        <v>0.2341924</v>
      </c>
    </row>
    <row r="739" spans="1:8" x14ac:dyDescent="0.15">
      <c r="A739" s="21">
        <v>1.4394530000000001E-2</v>
      </c>
      <c r="B739" s="21">
        <f t="shared" si="22"/>
        <v>0.24483460000000001</v>
      </c>
      <c r="D739">
        <f t="shared" si="23"/>
        <v>98.582421383647798</v>
      </c>
      <c r="G739" s="21">
        <v>-0.3134921</v>
      </c>
      <c r="H739" s="21">
        <v>0.24483460000000001</v>
      </c>
    </row>
    <row r="740" spans="1:8" x14ac:dyDescent="0.15">
      <c r="A740" s="21">
        <v>1.4414059999999999E-2</v>
      </c>
      <c r="B740" s="21">
        <f t="shared" si="22"/>
        <v>0.25148470000000001</v>
      </c>
      <c r="D740">
        <f t="shared" si="23"/>
        <v>101.15544025157233</v>
      </c>
      <c r="G740" s="21">
        <v>-0.32167430000000002</v>
      </c>
      <c r="H740" s="21">
        <v>0.25148470000000001</v>
      </c>
    </row>
    <row r="741" spans="1:8" x14ac:dyDescent="0.15">
      <c r="A741" s="21">
        <v>1.443359E-2</v>
      </c>
      <c r="B741" s="21">
        <f t="shared" si="22"/>
        <v>0.25473570000000001</v>
      </c>
      <c r="D741">
        <f t="shared" si="23"/>
        <v>102.59455974842767</v>
      </c>
      <c r="G741" s="21">
        <v>-0.3262507</v>
      </c>
      <c r="H741" s="21">
        <v>0.25473570000000001</v>
      </c>
    </row>
    <row r="742" spans="1:8" x14ac:dyDescent="0.15">
      <c r="A742" s="21">
        <v>1.445313E-2</v>
      </c>
      <c r="B742" s="21">
        <f t="shared" si="22"/>
        <v>0.25403569999999998</v>
      </c>
      <c r="D742">
        <f t="shared" si="23"/>
        <v>102.33720125786164</v>
      </c>
      <c r="G742" s="21">
        <v>-0.32543230000000001</v>
      </c>
      <c r="H742" s="21">
        <v>0.25403569999999998</v>
      </c>
    </row>
    <row r="743" spans="1:8" x14ac:dyDescent="0.15">
      <c r="A743" s="21">
        <v>1.447266E-2</v>
      </c>
      <c r="B743" s="21">
        <f t="shared" si="22"/>
        <v>0.24929219999999999</v>
      </c>
      <c r="D743">
        <f t="shared" si="23"/>
        <v>100.43364779874214</v>
      </c>
      <c r="G743" s="21">
        <v>-0.31937900000000002</v>
      </c>
      <c r="H743" s="21">
        <v>0.24929219999999999</v>
      </c>
    </row>
    <row r="744" spans="1:8" x14ac:dyDescent="0.15">
      <c r="A744" s="21">
        <v>1.449219E-2</v>
      </c>
      <c r="B744" s="21">
        <f t="shared" si="22"/>
        <v>0.2411181</v>
      </c>
      <c r="D744">
        <f t="shared" si="23"/>
        <v>97.202484276729564</v>
      </c>
      <c r="G744" s="21">
        <v>-0.30910389999999999</v>
      </c>
      <c r="H744" s="21">
        <v>0.2411181</v>
      </c>
    </row>
    <row r="745" spans="1:8" x14ac:dyDescent="0.15">
      <c r="A745" s="21">
        <v>1.4511720000000001E-2</v>
      </c>
      <c r="B745" s="21">
        <f t="shared" si="22"/>
        <v>0.2288724</v>
      </c>
      <c r="D745">
        <f t="shared" si="23"/>
        <v>92.276163522012567</v>
      </c>
      <c r="G745" s="21">
        <v>-0.29343819999999998</v>
      </c>
      <c r="H745" s="21">
        <v>0.2288724</v>
      </c>
    </row>
    <row r="746" spans="1:8" x14ac:dyDescent="0.15">
      <c r="A746" s="21">
        <v>1.4531250000000001E-2</v>
      </c>
      <c r="B746" s="21">
        <f t="shared" si="22"/>
        <v>0.21380460000000001</v>
      </c>
      <c r="D746">
        <f t="shared" si="23"/>
        <v>86.364528301886779</v>
      </c>
      <c r="G746" s="21">
        <v>-0.27463919999999997</v>
      </c>
      <c r="H746" s="21">
        <v>0.21380460000000001</v>
      </c>
    </row>
    <row r="747" spans="1:8" x14ac:dyDescent="0.15">
      <c r="A747" s="21">
        <v>1.4550779999999999E-2</v>
      </c>
      <c r="B747" s="21">
        <f t="shared" si="22"/>
        <v>0.19591810000000001</v>
      </c>
      <c r="D747">
        <f t="shared" si="23"/>
        <v>79.259433962264154</v>
      </c>
      <c r="G747" s="21">
        <v>-0.25204500000000002</v>
      </c>
      <c r="H747" s="21">
        <v>0.19591810000000001</v>
      </c>
    </row>
    <row r="748" spans="1:8" x14ac:dyDescent="0.15">
      <c r="A748" s="21">
        <v>1.457031E-2</v>
      </c>
      <c r="B748" s="21">
        <f t="shared" si="22"/>
        <v>0.17389769999999999</v>
      </c>
      <c r="D748">
        <f t="shared" si="23"/>
        <v>70.438113207547161</v>
      </c>
      <c r="G748" s="21">
        <v>-0.2239932</v>
      </c>
      <c r="H748" s="21">
        <v>0.17389769999999999</v>
      </c>
    </row>
    <row r="749" spans="1:8" x14ac:dyDescent="0.15">
      <c r="A749" s="21">
        <v>1.458984E-2</v>
      </c>
      <c r="B749" s="21">
        <f t="shared" si="22"/>
        <v>0.1496469</v>
      </c>
      <c r="D749">
        <f t="shared" si="23"/>
        <v>60.85220125786163</v>
      </c>
      <c r="G749" s="21">
        <v>-0.19350999999999999</v>
      </c>
      <c r="H749" s="21">
        <v>0.1496469</v>
      </c>
    </row>
    <row r="750" spans="1:8" x14ac:dyDescent="0.15">
      <c r="A750" s="21">
        <v>1.460938E-2</v>
      </c>
      <c r="B750" s="21">
        <f t="shared" si="22"/>
        <v>0.1231882</v>
      </c>
      <c r="D750">
        <f t="shared" si="23"/>
        <v>50.275283018867924</v>
      </c>
      <c r="G750" s="21">
        <v>-0.1598754</v>
      </c>
      <c r="H750" s="21">
        <v>0.1231882</v>
      </c>
    </row>
    <row r="751" spans="1:8" x14ac:dyDescent="0.15">
      <c r="A751" s="21">
        <v>1.462891E-2</v>
      </c>
      <c r="B751" s="21">
        <f t="shared" si="22"/>
        <v>9.4273889999999999E-2</v>
      </c>
      <c r="D751">
        <f t="shared" si="23"/>
        <v>38.705157232704401</v>
      </c>
      <c r="G751" s="21">
        <v>-0.12308239999999999</v>
      </c>
      <c r="H751" s="21">
        <v>9.4273889999999999E-2</v>
      </c>
    </row>
    <row r="752" spans="1:8" x14ac:dyDescent="0.15">
      <c r="A752" s="21">
        <v>1.464844E-2</v>
      </c>
      <c r="B752" s="21">
        <f t="shared" si="22"/>
        <v>6.4711589999999999E-2</v>
      </c>
      <c r="D752">
        <f t="shared" si="23"/>
        <v>27.000455974842769</v>
      </c>
      <c r="G752" s="21">
        <v>-8.5861450000000006E-2</v>
      </c>
      <c r="H752" s="21">
        <v>6.4711589999999999E-2</v>
      </c>
    </row>
    <row r="753" spans="1:8" x14ac:dyDescent="0.15">
      <c r="A753" s="21">
        <v>1.4667970000000001E-2</v>
      </c>
      <c r="B753" s="21">
        <f t="shared" si="22"/>
        <v>3.3789159999999999E-2</v>
      </c>
      <c r="D753">
        <f t="shared" si="23"/>
        <v>14.632034591194969</v>
      </c>
      <c r="G753" s="21">
        <v>-4.6529870000000001E-2</v>
      </c>
      <c r="H753" s="21">
        <v>3.3789159999999999E-2</v>
      </c>
    </row>
    <row r="754" spans="1:8" x14ac:dyDescent="0.15">
      <c r="A754" s="21">
        <v>1.4687499999999999E-2</v>
      </c>
      <c r="B754" s="21">
        <f t="shared" si="22"/>
        <v>2.0578269999999999E-3</v>
      </c>
      <c r="D754">
        <f t="shared" si="23"/>
        <v>1.9369040880503143</v>
      </c>
      <c r="G754" s="21">
        <v>-6.159355E-3</v>
      </c>
      <c r="H754" s="21">
        <v>2.0578269999999999E-3</v>
      </c>
    </row>
    <row r="755" spans="1:8" x14ac:dyDescent="0.15">
      <c r="A755" s="21">
        <v>1.4707029999999999E-2</v>
      </c>
      <c r="B755" s="21">
        <f t="shared" si="22"/>
        <v>-2.9211879999999999E-2</v>
      </c>
      <c r="D755">
        <f t="shared" si="23"/>
        <v>-10.540342767295597</v>
      </c>
      <c r="G755" s="21">
        <v>3.3518289999999999E-2</v>
      </c>
      <c r="H755" s="21">
        <v>-2.9211879999999999E-2</v>
      </c>
    </row>
    <row r="756" spans="1:8" x14ac:dyDescent="0.15">
      <c r="A756" s="21">
        <v>1.472656E-2</v>
      </c>
      <c r="B756" s="21">
        <f t="shared" si="22"/>
        <v>-6.0189729999999997E-2</v>
      </c>
      <c r="D756">
        <f t="shared" si="23"/>
        <v>-22.971823899371067</v>
      </c>
      <c r="G756" s="21">
        <v>7.3050400000000001E-2</v>
      </c>
      <c r="H756" s="21">
        <v>-6.0189729999999997E-2</v>
      </c>
    </row>
    <row r="757" spans="1:8" x14ac:dyDescent="0.15">
      <c r="A757" s="21">
        <v>1.474609E-2</v>
      </c>
      <c r="B757" s="21">
        <f t="shared" si="22"/>
        <v>-8.9788870000000007E-2</v>
      </c>
      <c r="D757">
        <f t="shared" si="23"/>
        <v>-34.811163522012578</v>
      </c>
      <c r="G757" s="21">
        <v>0.11069950000000001</v>
      </c>
      <c r="H757" s="21">
        <v>-8.9788870000000007E-2</v>
      </c>
    </row>
    <row r="758" spans="1:8" x14ac:dyDescent="0.15">
      <c r="A758" s="21">
        <v>1.476563E-2</v>
      </c>
      <c r="B758" s="21">
        <f t="shared" si="22"/>
        <v>-0.1181799</v>
      </c>
      <c r="D758">
        <f t="shared" si="23"/>
        <v>-46.247987421383648</v>
      </c>
      <c r="G758" s="21">
        <v>0.14706859999999999</v>
      </c>
      <c r="H758" s="21">
        <v>-0.1181799</v>
      </c>
    </row>
    <row r="759" spans="1:8" x14ac:dyDescent="0.15">
      <c r="A759" s="21">
        <v>1.478516E-2</v>
      </c>
      <c r="B759" s="21">
        <f t="shared" si="22"/>
        <v>-0.14503099999999999</v>
      </c>
      <c r="D759">
        <f t="shared" si="23"/>
        <v>-57.047044025157234</v>
      </c>
      <c r="G759" s="21">
        <v>0.1814096</v>
      </c>
      <c r="H759" s="21">
        <v>-0.14503099999999999</v>
      </c>
    </row>
    <row r="760" spans="1:8" x14ac:dyDescent="0.15">
      <c r="A760" s="21">
        <v>1.4804690000000001E-2</v>
      </c>
      <c r="B760" s="21">
        <f t="shared" si="22"/>
        <v>-0.16910739999999999</v>
      </c>
      <c r="D760">
        <f t="shared" si="23"/>
        <v>-66.664496855345902</v>
      </c>
      <c r="G760" s="21">
        <v>0.21199309999999999</v>
      </c>
      <c r="H760" s="21">
        <v>-0.16910739999999999</v>
      </c>
    </row>
    <row r="761" spans="1:8" x14ac:dyDescent="0.15">
      <c r="A761" s="21">
        <v>1.4824220000000001E-2</v>
      </c>
      <c r="B761" s="21">
        <f t="shared" si="22"/>
        <v>-0.1914254</v>
      </c>
      <c r="D761">
        <f t="shared" si="23"/>
        <v>-75.689119496855341</v>
      </c>
      <c r="G761" s="21">
        <v>0.2406914</v>
      </c>
      <c r="H761" s="21">
        <v>-0.1914254</v>
      </c>
    </row>
    <row r="762" spans="1:8" x14ac:dyDescent="0.15">
      <c r="A762" s="21">
        <v>1.4843749999999999E-2</v>
      </c>
      <c r="B762" s="21">
        <f t="shared" si="22"/>
        <v>-0.21077380000000001</v>
      </c>
      <c r="D762">
        <f t="shared" si="23"/>
        <v>-83.435094339622637</v>
      </c>
      <c r="G762" s="21">
        <v>0.26532359999999999</v>
      </c>
      <c r="H762" s="21">
        <v>-0.21077380000000001</v>
      </c>
    </row>
    <row r="763" spans="1:8" x14ac:dyDescent="0.15">
      <c r="A763" s="21">
        <v>1.486328E-2</v>
      </c>
      <c r="B763" s="21">
        <f t="shared" si="22"/>
        <v>-0.2257045</v>
      </c>
      <c r="D763">
        <f t="shared" si="23"/>
        <v>-89.490566037735846</v>
      </c>
      <c r="G763" s="21">
        <v>0.28458</v>
      </c>
      <c r="H763" s="21">
        <v>-0.2257045</v>
      </c>
    </row>
    <row r="764" spans="1:8" x14ac:dyDescent="0.15">
      <c r="A764" s="21">
        <v>1.488281E-2</v>
      </c>
      <c r="B764" s="21">
        <f t="shared" si="22"/>
        <v>-0.23809159999999999</v>
      </c>
      <c r="D764">
        <f t="shared" si="23"/>
        <v>-94.661320754716968</v>
      </c>
      <c r="G764" s="21">
        <v>0.30102299999999999</v>
      </c>
      <c r="H764" s="21">
        <v>-0.23809159999999999</v>
      </c>
    </row>
    <row r="765" spans="1:8" x14ac:dyDescent="0.15">
      <c r="A765" s="21">
        <v>1.490234E-2</v>
      </c>
      <c r="B765" s="21">
        <f t="shared" si="22"/>
        <v>-0.24724360000000001</v>
      </c>
      <c r="D765">
        <f t="shared" si="23"/>
        <v>-98.346100628930799</v>
      </c>
      <c r="G765" s="21">
        <v>0.31274059999999998</v>
      </c>
      <c r="H765" s="21">
        <v>-0.24724360000000001</v>
      </c>
    </row>
    <row r="766" spans="1:8" x14ac:dyDescent="0.15">
      <c r="A766" s="21">
        <v>1.492188E-2</v>
      </c>
      <c r="B766" s="21">
        <f t="shared" si="22"/>
        <v>-0.25235109999999999</v>
      </c>
      <c r="D766">
        <f t="shared" si="23"/>
        <v>-100.49119496855346</v>
      </c>
      <c r="G766" s="21">
        <v>0.31956200000000001</v>
      </c>
      <c r="H766" s="21">
        <v>-0.25235109999999999</v>
      </c>
    </row>
    <row r="767" spans="1:8" x14ac:dyDescent="0.15">
      <c r="A767" s="21">
        <v>1.494141E-2</v>
      </c>
      <c r="B767" s="21">
        <f t="shared" si="22"/>
        <v>-0.25428309999999998</v>
      </c>
      <c r="D767">
        <f t="shared" si="23"/>
        <v>-101.37279874213837</v>
      </c>
      <c r="G767" s="21">
        <v>0.32236550000000003</v>
      </c>
      <c r="H767" s="21">
        <v>-0.25428309999999998</v>
      </c>
    </row>
    <row r="768" spans="1:8" x14ac:dyDescent="0.15">
      <c r="A768" s="21">
        <v>1.4960940000000001E-2</v>
      </c>
      <c r="B768" s="21">
        <f t="shared" si="22"/>
        <v>-0.25159920000000002</v>
      </c>
      <c r="D768">
        <f t="shared" si="23"/>
        <v>-100.32323899371069</v>
      </c>
      <c r="G768" s="21">
        <v>0.31902789999999998</v>
      </c>
      <c r="H768" s="21">
        <v>-0.25159920000000002</v>
      </c>
    </row>
    <row r="769" spans="1:8" x14ac:dyDescent="0.15">
      <c r="A769" s="21">
        <v>1.4980469999999999E-2</v>
      </c>
      <c r="B769" s="21">
        <f t="shared" si="22"/>
        <v>-0.24518960000000001</v>
      </c>
      <c r="D769">
        <f t="shared" si="23"/>
        <v>-97.924245283018848</v>
      </c>
      <c r="G769" s="21">
        <v>0.31139909999999998</v>
      </c>
      <c r="H769" s="21">
        <v>-0.24518960000000001</v>
      </c>
    </row>
    <row r="770" spans="1:8" x14ac:dyDescent="0.15">
      <c r="A770" s="21">
        <v>1.4999999999999999E-2</v>
      </c>
      <c r="B770" s="21">
        <f t="shared" ref="B770:B833" si="24">H770</f>
        <v>-0.23562920000000001</v>
      </c>
      <c r="D770">
        <f t="shared" ref="D770:D833" si="25">G770*-1000/3.18</f>
        <v>-94.098773584905658</v>
      </c>
      <c r="G770" s="21">
        <v>0.2992341</v>
      </c>
      <c r="H770" s="21">
        <v>-0.23562920000000001</v>
      </c>
    </row>
    <row r="771" spans="1:8" x14ac:dyDescent="0.15">
      <c r="A771" s="21">
        <v>1.501953E-2</v>
      </c>
      <c r="B771" s="21">
        <f t="shared" si="24"/>
        <v>-0.2219537</v>
      </c>
      <c r="D771">
        <f t="shared" si="25"/>
        <v>-88.671792452830189</v>
      </c>
      <c r="G771" s="21">
        <v>0.28197630000000001</v>
      </c>
      <c r="H771" s="21">
        <v>-0.2219537</v>
      </c>
    </row>
    <row r="772" spans="1:8" x14ac:dyDescent="0.15">
      <c r="A772" s="21">
        <v>1.503906E-2</v>
      </c>
      <c r="B772" s="21">
        <f t="shared" si="24"/>
        <v>-0.206259</v>
      </c>
      <c r="D772">
        <f t="shared" si="25"/>
        <v>-82.547955974842779</v>
      </c>
      <c r="G772" s="21">
        <v>0.26250250000000003</v>
      </c>
      <c r="H772" s="21">
        <v>-0.206259</v>
      </c>
    </row>
    <row r="773" spans="1:8" x14ac:dyDescent="0.15">
      <c r="A773" s="21">
        <v>1.505859E-2</v>
      </c>
      <c r="B773" s="21">
        <f t="shared" si="24"/>
        <v>-0.1869548</v>
      </c>
      <c r="D773">
        <f t="shared" si="25"/>
        <v>-74.749308176100627</v>
      </c>
      <c r="G773" s="21">
        <v>0.23770279999999999</v>
      </c>
      <c r="H773" s="21">
        <v>-0.1869548</v>
      </c>
    </row>
    <row r="774" spans="1:8" x14ac:dyDescent="0.15">
      <c r="A774" s="21">
        <v>1.507812E-2</v>
      </c>
      <c r="B774" s="21">
        <f t="shared" si="24"/>
        <v>-0.16327130000000001</v>
      </c>
      <c r="D774">
        <f t="shared" si="25"/>
        <v>-65.368050314465407</v>
      </c>
      <c r="G774" s="21">
        <v>0.20787040000000001</v>
      </c>
      <c r="H774" s="21">
        <v>-0.16327130000000001</v>
      </c>
    </row>
    <row r="775" spans="1:8" x14ac:dyDescent="0.15">
      <c r="A775" s="21">
        <v>1.5097660000000001E-2</v>
      </c>
      <c r="B775" s="21">
        <f t="shared" si="24"/>
        <v>-0.13834650000000001</v>
      </c>
      <c r="D775">
        <f t="shared" si="25"/>
        <v>-55.537421383647789</v>
      </c>
      <c r="G775" s="21">
        <v>0.17660899999999999</v>
      </c>
      <c r="H775" s="21">
        <v>-0.13834650000000001</v>
      </c>
    </row>
    <row r="776" spans="1:8" x14ac:dyDescent="0.15">
      <c r="A776" s="21">
        <v>1.5117190000000001E-2</v>
      </c>
      <c r="B776" s="21">
        <f t="shared" si="24"/>
        <v>-0.1109195</v>
      </c>
      <c r="D776">
        <f t="shared" si="25"/>
        <v>-44.499182389937111</v>
      </c>
      <c r="G776" s="21">
        <v>0.14150740000000001</v>
      </c>
      <c r="H776" s="21">
        <v>-0.1109195</v>
      </c>
    </row>
    <row r="777" spans="1:8" x14ac:dyDescent="0.15">
      <c r="A777" s="21">
        <v>1.5136719999999999E-2</v>
      </c>
      <c r="B777" s="21">
        <f t="shared" si="24"/>
        <v>-8.1672439999999999E-2</v>
      </c>
      <c r="D777">
        <f t="shared" si="25"/>
        <v>-32.829811320754715</v>
      </c>
      <c r="G777" s="21">
        <v>0.1043988</v>
      </c>
      <c r="H777" s="21">
        <v>-8.1672439999999999E-2</v>
      </c>
    </row>
    <row r="778" spans="1:8" x14ac:dyDescent="0.15">
      <c r="A778" s="21">
        <v>1.515625E-2</v>
      </c>
      <c r="B778" s="21">
        <f t="shared" si="24"/>
        <v>-5.2225729999999998E-2</v>
      </c>
      <c r="D778">
        <f t="shared" si="25"/>
        <v>-21.058465408805031</v>
      </c>
      <c r="G778" s="21">
        <v>6.6965919999999998E-2</v>
      </c>
      <c r="H778" s="21">
        <v>-5.2225729999999998E-2</v>
      </c>
    </row>
    <row r="779" spans="1:8" x14ac:dyDescent="0.15">
      <c r="A779" s="21">
        <v>1.517578E-2</v>
      </c>
      <c r="B779" s="21">
        <f t="shared" si="24"/>
        <v>-2.071806E-2</v>
      </c>
      <c r="D779">
        <f t="shared" si="25"/>
        <v>-8.4558553459119494</v>
      </c>
      <c r="G779" s="21">
        <v>2.6889619999999999E-2</v>
      </c>
      <c r="H779" s="21">
        <v>-2.071806E-2</v>
      </c>
    </row>
    <row r="780" spans="1:8" x14ac:dyDescent="0.15">
      <c r="A780" s="21">
        <v>1.519531E-2</v>
      </c>
      <c r="B780" s="21">
        <f t="shared" si="24"/>
        <v>1.1176210000000001E-2</v>
      </c>
      <c r="D780">
        <f t="shared" si="25"/>
        <v>4.2517893081761002</v>
      </c>
      <c r="G780" s="21">
        <v>-1.352069E-2</v>
      </c>
      <c r="H780" s="21">
        <v>1.1176210000000001E-2</v>
      </c>
    </row>
    <row r="781" spans="1:8" x14ac:dyDescent="0.15">
      <c r="A781" s="21">
        <v>1.521484E-2</v>
      </c>
      <c r="B781" s="21">
        <f t="shared" si="24"/>
        <v>4.2392199999999998E-2</v>
      </c>
      <c r="D781">
        <f t="shared" si="25"/>
        <v>16.826694968553458</v>
      </c>
      <c r="G781" s="21">
        <v>-5.3508890000000003E-2</v>
      </c>
      <c r="H781" s="21">
        <v>4.2392199999999998E-2</v>
      </c>
    </row>
    <row r="782" spans="1:8" x14ac:dyDescent="0.15">
      <c r="A782" s="21">
        <v>1.5234370000000001E-2</v>
      </c>
      <c r="B782" s="21">
        <f t="shared" si="24"/>
        <v>7.3435860000000006E-2</v>
      </c>
      <c r="D782">
        <f t="shared" si="25"/>
        <v>29.317194968553455</v>
      </c>
      <c r="G782" s="21">
        <v>-9.3228679999999994E-2</v>
      </c>
      <c r="H782" s="21">
        <v>7.3435860000000006E-2</v>
      </c>
    </row>
    <row r="783" spans="1:8" x14ac:dyDescent="0.15">
      <c r="A783" s="21">
        <v>1.5253910000000001E-2</v>
      </c>
      <c r="B783" s="21">
        <f t="shared" si="24"/>
        <v>0.10220559999999999</v>
      </c>
      <c r="D783">
        <f t="shared" si="25"/>
        <v>40.828050314465408</v>
      </c>
      <c r="G783" s="21">
        <v>-0.12983320000000001</v>
      </c>
      <c r="H783" s="21">
        <v>0.10220559999999999</v>
      </c>
    </row>
    <row r="784" spans="1:8" x14ac:dyDescent="0.15">
      <c r="A784" s="21">
        <v>1.5273439999999999E-2</v>
      </c>
      <c r="B784" s="21">
        <f t="shared" si="24"/>
        <v>0.1294978</v>
      </c>
      <c r="D784">
        <f t="shared" si="25"/>
        <v>51.860534591194963</v>
      </c>
      <c r="G784" s="21">
        <v>-0.16491649999999999</v>
      </c>
      <c r="H784" s="21">
        <v>0.1294978</v>
      </c>
    </row>
    <row r="785" spans="1:8" x14ac:dyDescent="0.15">
      <c r="A785" s="21">
        <v>1.5292969999999999E-2</v>
      </c>
      <c r="B785" s="21">
        <f t="shared" si="24"/>
        <v>0.1558416</v>
      </c>
      <c r="D785">
        <f t="shared" si="25"/>
        <v>62.52072327044025</v>
      </c>
      <c r="G785" s="21">
        <v>-0.19881589999999999</v>
      </c>
      <c r="H785" s="21">
        <v>0.1558416</v>
      </c>
    </row>
    <row r="786" spans="1:8" x14ac:dyDescent="0.15">
      <c r="A786" s="21">
        <v>1.53125E-2</v>
      </c>
      <c r="B786" s="21">
        <f t="shared" si="24"/>
        <v>0.17897450000000001</v>
      </c>
      <c r="D786">
        <f t="shared" si="25"/>
        <v>71.802515723270432</v>
      </c>
      <c r="G786" s="21">
        <v>-0.22833200000000001</v>
      </c>
      <c r="H786" s="21">
        <v>0.17897450000000001</v>
      </c>
    </row>
    <row r="787" spans="1:8" x14ac:dyDescent="0.15">
      <c r="A787" s="21">
        <v>1.533203E-2</v>
      </c>
      <c r="B787" s="21">
        <f t="shared" si="24"/>
        <v>0.20007050000000001</v>
      </c>
      <c r="D787">
        <f t="shared" si="25"/>
        <v>80.34839622641509</v>
      </c>
      <c r="G787" s="21">
        <v>-0.25550790000000001</v>
      </c>
      <c r="H787" s="21">
        <v>0.20007050000000001</v>
      </c>
    </row>
    <row r="788" spans="1:8" x14ac:dyDescent="0.15">
      <c r="A788" s="21">
        <v>1.535156E-2</v>
      </c>
      <c r="B788" s="21">
        <f t="shared" si="24"/>
        <v>0.2182096</v>
      </c>
      <c r="D788">
        <f t="shared" si="25"/>
        <v>87.690566037735849</v>
      </c>
      <c r="G788" s="21">
        <v>-0.27885599999999999</v>
      </c>
      <c r="H788" s="21">
        <v>0.2182096</v>
      </c>
    </row>
    <row r="789" spans="1:8" x14ac:dyDescent="0.15">
      <c r="A789" s="21">
        <v>1.537109E-2</v>
      </c>
      <c r="B789" s="21">
        <f t="shared" si="24"/>
        <v>0.23130999999999999</v>
      </c>
      <c r="D789">
        <f t="shared" si="25"/>
        <v>93.002138364779853</v>
      </c>
      <c r="G789" s="21">
        <v>-0.29574679999999998</v>
      </c>
      <c r="H789" s="21">
        <v>0.23130999999999999</v>
      </c>
    </row>
    <row r="790" spans="1:8" x14ac:dyDescent="0.15">
      <c r="A790" s="21">
        <v>1.5390620000000001E-2</v>
      </c>
      <c r="B790" s="21">
        <f t="shared" si="24"/>
        <v>0.24252070000000001</v>
      </c>
      <c r="D790">
        <f t="shared" si="25"/>
        <v>97.663364779874215</v>
      </c>
      <c r="G790" s="21">
        <v>-0.3105695</v>
      </c>
      <c r="H790" s="21">
        <v>0.24252070000000001</v>
      </c>
    </row>
    <row r="791" spans="1:8" x14ac:dyDescent="0.15">
      <c r="A791" s="21">
        <v>1.5410159999999999E-2</v>
      </c>
      <c r="B791" s="21">
        <f t="shared" si="24"/>
        <v>0.25065759999999998</v>
      </c>
      <c r="D791">
        <f t="shared" si="25"/>
        <v>100.8991823899371</v>
      </c>
      <c r="G791" s="21">
        <v>-0.32085940000000002</v>
      </c>
      <c r="H791" s="21">
        <v>0.25065759999999998</v>
      </c>
    </row>
    <row r="792" spans="1:8" x14ac:dyDescent="0.15">
      <c r="A792" s="21">
        <v>1.5429689999999999E-2</v>
      </c>
      <c r="B792" s="21">
        <f t="shared" si="24"/>
        <v>0.2537625</v>
      </c>
      <c r="D792">
        <f t="shared" si="25"/>
        <v>102.10801886792451</v>
      </c>
      <c r="G792" s="21">
        <v>-0.32470349999999998</v>
      </c>
      <c r="H792" s="21">
        <v>0.2537625</v>
      </c>
    </row>
    <row r="793" spans="1:8" x14ac:dyDescent="0.15">
      <c r="A793" s="21">
        <v>1.544922E-2</v>
      </c>
      <c r="B793" s="21">
        <f t="shared" si="24"/>
        <v>0.25433169999999999</v>
      </c>
      <c r="D793">
        <f t="shared" si="25"/>
        <v>102.49603773584904</v>
      </c>
      <c r="G793" s="21">
        <v>-0.32593739999999999</v>
      </c>
      <c r="H793" s="21">
        <v>0.25433169999999999</v>
      </c>
    </row>
    <row r="794" spans="1:8" x14ac:dyDescent="0.15">
      <c r="A794" s="21">
        <v>1.546875E-2</v>
      </c>
      <c r="B794" s="21">
        <f t="shared" si="24"/>
        <v>0.25039309999999998</v>
      </c>
      <c r="D794">
        <f t="shared" si="25"/>
        <v>100.95952830188678</v>
      </c>
      <c r="G794" s="21">
        <v>-0.32105129999999998</v>
      </c>
      <c r="H794" s="21">
        <v>0.25039309999999998</v>
      </c>
    </row>
    <row r="795" spans="1:8" x14ac:dyDescent="0.15">
      <c r="A795" s="21">
        <v>1.548828E-2</v>
      </c>
      <c r="B795" s="21">
        <f t="shared" si="24"/>
        <v>0.24199899999999999</v>
      </c>
      <c r="D795">
        <f t="shared" si="25"/>
        <v>97.579937106918223</v>
      </c>
      <c r="G795" s="21">
        <v>-0.31030419999999997</v>
      </c>
      <c r="H795" s="21">
        <v>0.24199899999999999</v>
      </c>
    </row>
    <row r="796" spans="1:8" x14ac:dyDescent="0.15">
      <c r="A796" s="21">
        <v>1.550781E-2</v>
      </c>
      <c r="B796" s="21">
        <f t="shared" si="24"/>
        <v>0.2315159</v>
      </c>
      <c r="D796">
        <f t="shared" si="25"/>
        <v>93.450660377358503</v>
      </c>
      <c r="G796" s="21">
        <v>-0.29717310000000002</v>
      </c>
      <c r="H796" s="21">
        <v>0.2315159</v>
      </c>
    </row>
    <row r="797" spans="1:8" x14ac:dyDescent="0.15">
      <c r="A797" s="21">
        <v>1.5527340000000001E-2</v>
      </c>
      <c r="B797" s="21">
        <f t="shared" si="24"/>
        <v>0.21712989999999999</v>
      </c>
      <c r="D797">
        <f t="shared" si="25"/>
        <v>87.703522012578617</v>
      </c>
      <c r="G797" s="21">
        <v>-0.27889720000000001</v>
      </c>
      <c r="H797" s="21">
        <v>0.21712989999999999</v>
      </c>
    </row>
    <row r="798" spans="1:8" x14ac:dyDescent="0.15">
      <c r="A798" s="21">
        <v>1.5546870000000001E-2</v>
      </c>
      <c r="B798" s="21">
        <f t="shared" si="24"/>
        <v>0.1994332</v>
      </c>
      <c r="D798">
        <f t="shared" si="25"/>
        <v>80.60597484276731</v>
      </c>
      <c r="G798" s="21">
        <v>-0.25632700000000003</v>
      </c>
      <c r="H798" s="21">
        <v>0.1994332</v>
      </c>
    </row>
    <row r="799" spans="1:8" x14ac:dyDescent="0.15">
      <c r="A799" s="21">
        <v>1.5566409999999999E-2</v>
      </c>
      <c r="B799" s="21">
        <f t="shared" si="24"/>
        <v>0.17865529999999999</v>
      </c>
      <c r="D799">
        <f t="shared" si="25"/>
        <v>72.352547169811317</v>
      </c>
      <c r="G799" s="21">
        <v>-0.23008110000000001</v>
      </c>
      <c r="H799" s="21">
        <v>0.17865529999999999</v>
      </c>
    </row>
    <row r="800" spans="1:8" x14ac:dyDescent="0.15">
      <c r="A800" s="21">
        <v>1.558594E-2</v>
      </c>
      <c r="B800" s="21">
        <f t="shared" si="24"/>
        <v>0.1540743</v>
      </c>
      <c r="D800">
        <f t="shared" si="25"/>
        <v>62.577358490566034</v>
      </c>
      <c r="G800" s="21">
        <v>-0.19899600000000001</v>
      </c>
      <c r="H800" s="21">
        <v>0.1540743</v>
      </c>
    </row>
    <row r="801" spans="1:8" x14ac:dyDescent="0.15">
      <c r="A801" s="21">
        <v>1.560547E-2</v>
      </c>
      <c r="B801" s="21">
        <f t="shared" si="24"/>
        <v>0.1280348</v>
      </c>
      <c r="D801">
        <f t="shared" si="25"/>
        <v>52.213584905660376</v>
      </c>
      <c r="G801" s="21">
        <v>-0.1660392</v>
      </c>
      <c r="H801" s="21">
        <v>0.1280348</v>
      </c>
    </row>
    <row r="802" spans="1:8" x14ac:dyDescent="0.15">
      <c r="A802" s="21">
        <v>1.5625E-2</v>
      </c>
      <c r="B802" s="21">
        <f t="shared" si="24"/>
        <v>0.1003299</v>
      </c>
      <c r="D802">
        <f t="shared" si="25"/>
        <v>41.13229559748428</v>
      </c>
      <c r="G802" s="21">
        <v>-0.13080069999999999</v>
      </c>
      <c r="H802" s="21">
        <v>0.1003299</v>
      </c>
    </row>
    <row r="803" spans="1:8" x14ac:dyDescent="0.15">
      <c r="A803" s="21">
        <v>1.564453E-2</v>
      </c>
      <c r="B803" s="21">
        <f t="shared" si="24"/>
        <v>7.0512089999999999E-2</v>
      </c>
      <c r="D803">
        <f t="shared" si="25"/>
        <v>29.21781132075472</v>
      </c>
      <c r="G803" s="21">
        <v>-9.2912640000000005E-2</v>
      </c>
      <c r="H803" s="21">
        <v>7.0512089999999999E-2</v>
      </c>
    </row>
    <row r="804" spans="1:8" x14ac:dyDescent="0.15">
      <c r="A804" s="21">
        <v>1.566406E-2</v>
      </c>
      <c r="B804" s="21">
        <f t="shared" si="24"/>
        <v>3.9891780000000002E-2</v>
      </c>
      <c r="D804">
        <f t="shared" si="25"/>
        <v>17.097999999999999</v>
      </c>
      <c r="G804" s="21">
        <v>-5.4371639999999999E-2</v>
      </c>
      <c r="H804" s="21">
        <v>3.9891780000000002E-2</v>
      </c>
    </row>
    <row r="805" spans="1:8" x14ac:dyDescent="0.15">
      <c r="A805" s="21">
        <v>1.5683590000000001E-2</v>
      </c>
      <c r="B805" s="21">
        <f t="shared" si="24"/>
        <v>8.0854859999999994E-3</v>
      </c>
      <c r="D805">
        <f t="shared" si="25"/>
        <v>4.41266037735849</v>
      </c>
      <c r="G805" s="21">
        <v>-1.403226E-2</v>
      </c>
      <c r="H805" s="21">
        <v>8.0854859999999994E-3</v>
      </c>
    </row>
    <row r="806" spans="1:8" x14ac:dyDescent="0.15">
      <c r="A806" s="21">
        <v>1.5703129999999999E-2</v>
      </c>
      <c r="B806" s="21">
        <f t="shared" si="24"/>
        <v>-2.3469810000000001E-2</v>
      </c>
      <c r="D806">
        <f t="shared" si="25"/>
        <v>-8.223902515723271</v>
      </c>
      <c r="G806" s="21">
        <v>2.615201E-2</v>
      </c>
      <c r="H806" s="21">
        <v>-2.3469810000000001E-2</v>
      </c>
    </row>
    <row r="807" spans="1:8" x14ac:dyDescent="0.15">
      <c r="A807" s="21">
        <v>1.5722659999999999E-2</v>
      </c>
      <c r="B807" s="21">
        <f t="shared" si="24"/>
        <v>-5.3915780000000003E-2</v>
      </c>
      <c r="D807">
        <f t="shared" si="25"/>
        <v>-20.415842767295597</v>
      </c>
      <c r="G807" s="21">
        <v>6.4922380000000002E-2</v>
      </c>
      <c r="H807" s="21">
        <v>-5.3915780000000003E-2</v>
      </c>
    </row>
    <row r="808" spans="1:8" x14ac:dyDescent="0.15">
      <c r="A808" s="21">
        <v>1.574219E-2</v>
      </c>
      <c r="B808" s="21">
        <f t="shared" si="24"/>
        <v>-8.4426189999999998E-2</v>
      </c>
      <c r="D808">
        <f t="shared" si="25"/>
        <v>-32.674339622641504</v>
      </c>
      <c r="G808" s="21">
        <v>0.10390439999999999</v>
      </c>
      <c r="H808" s="21">
        <v>-8.4426189999999998E-2</v>
      </c>
    </row>
    <row r="809" spans="1:8" x14ac:dyDescent="0.15">
      <c r="A809" s="21">
        <v>1.576172E-2</v>
      </c>
      <c r="B809" s="21">
        <f t="shared" si="24"/>
        <v>-0.1132179</v>
      </c>
      <c r="D809">
        <f t="shared" si="25"/>
        <v>-44.132955974842758</v>
      </c>
      <c r="G809" s="21">
        <v>0.14034279999999999</v>
      </c>
      <c r="H809" s="21">
        <v>-0.1132179</v>
      </c>
    </row>
    <row r="810" spans="1:8" x14ac:dyDescent="0.15">
      <c r="A810" s="21">
        <v>1.578125E-2</v>
      </c>
      <c r="B810" s="21">
        <f t="shared" si="24"/>
        <v>-0.13995740000000001</v>
      </c>
      <c r="D810">
        <f t="shared" si="25"/>
        <v>-54.854025157232705</v>
      </c>
      <c r="G810" s="21">
        <v>0.1744358</v>
      </c>
      <c r="H810" s="21">
        <v>-0.13995740000000001</v>
      </c>
    </row>
    <row r="811" spans="1:8" x14ac:dyDescent="0.15">
      <c r="A811" s="21">
        <v>1.580078E-2</v>
      </c>
      <c r="B811" s="21">
        <f t="shared" si="24"/>
        <v>-0.16522149999999999</v>
      </c>
      <c r="D811">
        <f t="shared" si="25"/>
        <v>-65.089088050314473</v>
      </c>
      <c r="G811" s="21">
        <v>0.20698330000000001</v>
      </c>
      <c r="H811" s="21">
        <v>-0.16522149999999999</v>
      </c>
    </row>
    <row r="812" spans="1:8" x14ac:dyDescent="0.15">
      <c r="A812" s="21">
        <v>1.5820310000000001E-2</v>
      </c>
      <c r="B812" s="21">
        <f t="shared" si="24"/>
        <v>-0.1872952</v>
      </c>
      <c r="D812">
        <f t="shared" si="25"/>
        <v>-73.967327044025154</v>
      </c>
      <c r="G812" s="21">
        <v>0.23521610000000001</v>
      </c>
      <c r="H812" s="21">
        <v>-0.1872952</v>
      </c>
    </row>
    <row r="813" spans="1:8" x14ac:dyDescent="0.15">
      <c r="A813" s="21">
        <v>1.5839840000000001E-2</v>
      </c>
      <c r="B813" s="21">
        <f t="shared" si="24"/>
        <v>-0.2069491</v>
      </c>
      <c r="D813">
        <f t="shared" si="25"/>
        <v>-81.945283018867926</v>
      </c>
      <c r="G813" s="21">
        <v>0.26058599999999998</v>
      </c>
      <c r="H813" s="21">
        <v>-0.2069491</v>
      </c>
    </row>
    <row r="814" spans="1:8" x14ac:dyDescent="0.15">
      <c r="A814" s="21">
        <v>1.5859379999999999E-2</v>
      </c>
      <c r="B814" s="21">
        <f t="shared" si="24"/>
        <v>-0.2237922</v>
      </c>
      <c r="D814">
        <f t="shared" si="25"/>
        <v>-88.766069182389927</v>
      </c>
      <c r="G814" s="21">
        <v>0.28227609999999997</v>
      </c>
      <c r="H814" s="21">
        <v>-0.2237922</v>
      </c>
    </row>
    <row r="815" spans="1:8" x14ac:dyDescent="0.15">
      <c r="A815" s="21">
        <v>1.587891E-2</v>
      </c>
      <c r="B815" s="21">
        <f t="shared" si="24"/>
        <v>-0.2361798</v>
      </c>
      <c r="D815">
        <f t="shared" si="25"/>
        <v>-93.811918238993698</v>
      </c>
      <c r="G815" s="21">
        <v>0.29832189999999997</v>
      </c>
      <c r="H815" s="21">
        <v>-0.2361798</v>
      </c>
    </row>
    <row r="816" spans="1:8" x14ac:dyDescent="0.15">
      <c r="A816" s="21">
        <v>1.589844E-2</v>
      </c>
      <c r="B816" s="21">
        <f t="shared" si="24"/>
        <v>-0.2456768</v>
      </c>
      <c r="D816">
        <f t="shared" si="25"/>
        <v>-97.807389937106919</v>
      </c>
      <c r="G816" s="21">
        <v>0.31102750000000001</v>
      </c>
      <c r="H816" s="21">
        <v>-0.2456768</v>
      </c>
    </row>
    <row r="817" spans="1:8" x14ac:dyDescent="0.15">
      <c r="A817" s="21">
        <v>1.591797E-2</v>
      </c>
      <c r="B817" s="21">
        <f t="shared" si="24"/>
        <v>-0.2519382</v>
      </c>
      <c r="D817">
        <f t="shared" si="25"/>
        <v>-100.35965408805031</v>
      </c>
      <c r="G817" s="21">
        <v>0.31914369999999997</v>
      </c>
      <c r="H817" s="21">
        <v>-0.2519382</v>
      </c>
    </row>
    <row r="818" spans="1:8" x14ac:dyDescent="0.15">
      <c r="A818" s="21">
        <v>1.59375E-2</v>
      </c>
      <c r="B818" s="21">
        <f t="shared" si="24"/>
        <v>-0.25418269999999998</v>
      </c>
      <c r="D818">
        <f t="shared" si="25"/>
        <v>-101.2619182389937</v>
      </c>
      <c r="G818" s="21">
        <v>0.32201289999999999</v>
      </c>
      <c r="H818" s="21">
        <v>-0.25418269999999998</v>
      </c>
    </row>
    <row r="819" spans="1:8" x14ac:dyDescent="0.15">
      <c r="A819" s="21">
        <v>1.5957030000000001E-2</v>
      </c>
      <c r="B819" s="21">
        <f t="shared" si="24"/>
        <v>-0.25313730000000001</v>
      </c>
      <c r="D819">
        <f t="shared" si="25"/>
        <v>-100.9609748427673</v>
      </c>
      <c r="G819" s="21">
        <v>0.32105590000000001</v>
      </c>
      <c r="H819" s="21">
        <v>-0.25313730000000001</v>
      </c>
    </row>
    <row r="820" spans="1:8" x14ac:dyDescent="0.15">
      <c r="A820" s="21">
        <v>1.5976560000000001E-2</v>
      </c>
      <c r="B820" s="21">
        <f t="shared" si="24"/>
        <v>-0.24764659999999999</v>
      </c>
      <c r="D820">
        <f t="shared" si="25"/>
        <v>-98.850786163522017</v>
      </c>
      <c r="G820" s="21">
        <v>0.3143455</v>
      </c>
      <c r="H820" s="21">
        <v>-0.24764659999999999</v>
      </c>
    </row>
    <row r="821" spans="1:8" x14ac:dyDescent="0.15">
      <c r="A821" s="21">
        <v>1.5996090000000001E-2</v>
      </c>
      <c r="B821" s="21">
        <f t="shared" si="24"/>
        <v>-0.23805109999999999</v>
      </c>
      <c r="D821">
        <f t="shared" si="25"/>
        <v>-95.091163522012579</v>
      </c>
      <c r="G821" s="21">
        <v>0.30238989999999999</v>
      </c>
      <c r="H821" s="21">
        <v>-0.23805109999999999</v>
      </c>
    </row>
    <row r="822" spans="1:8" x14ac:dyDescent="0.15">
      <c r="A822" s="21">
        <v>1.6015620000000001E-2</v>
      </c>
      <c r="B822" s="21">
        <f t="shared" si="24"/>
        <v>-0.22548199999999999</v>
      </c>
      <c r="D822">
        <f t="shared" si="25"/>
        <v>-90.169088050314443</v>
      </c>
      <c r="G822" s="21">
        <v>0.28673769999999998</v>
      </c>
      <c r="H822" s="21">
        <v>-0.22548199999999999</v>
      </c>
    </row>
    <row r="823" spans="1:8" x14ac:dyDescent="0.15">
      <c r="A823" s="21">
        <v>1.603516E-2</v>
      </c>
      <c r="B823" s="21">
        <f t="shared" si="24"/>
        <v>-0.20975859999999999</v>
      </c>
      <c r="D823">
        <f t="shared" si="25"/>
        <v>-83.870377358490572</v>
      </c>
      <c r="G823" s="21">
        <v>0.26670779999999999</v>
      </c>
      <c r="H823" s="21">
        <v>-0.20975859999999999</v>
      </c>
    </row>
    <row r="824" spans="1:8" x14ac:dyDescent="0.15">
      <c r="A824" s="21">
        <v>1.605469E-2</v>
      </c>
      <c r="B824" s="21">
        <f t="shared" si="24"/>
        <v>-0.19128819999999999</v>
      </c>
      <c r="D824">
        <f t="shared" si="25"/>
        <v>-76.460880503144651</v>
      </c>
      <c r="G824" s="21">
        <v>0.24314559999999999</v>
      </c>
      <c r="H824" s="21">
        <v>-0.19128819999999999</v>
      </c>
    </row>
    <row r="825" spans="1:8" x14ac:dyDescent="0.15">
      <c r="A825" s="21">
        <v>1.607422E-2</v>
      </c>
      <c r="B825" s="21">
        <f t="shared" si="24"/>
        <v>-0.169296</v>
      </c>
      <c r="D825">
        <f t="shared" si="25"/>
        <v>-67.723427672955978</v>
      </c>
      <c r="G825" s="21">
        <v>0.21536050000000001</v>
      </c>
      <c r="H825" s="21">
        <v>-0.169296</v>
      </c>
    </row>
    <row r="826" spans="1:8" x14ac:dyDescent="0.15">
      <c r="A826" s="21">
        <v>1.609375E-2</v>
      </c>
      <c r="B826" s="21">
        <f t="shared" si="24"/>
        <v>-0.14379629999999999</v>
      </c>
      <c r="D826">
        <f t="shared" si="25"/>
        <v>-57.582075471698104</v>
      </c>
      <c r="G826" s="21">
        <v>0.183111</v>
      </c>
      <c r="H826" s="21">
        <v>-0.14379629999999999</v>
      </c>
    </row>
    <row r="827" spans="1:8" x14ac:dyDescent="0.15">
      <c r="A827" s="21">
        <v>1.6113280000000001E-2</v>
      </c>
      <c r="B827" s="21">
        <f t="shared" si="24"/>
        <v>-0.116739</v>
      </c>
      <c r="D827">
        <f t="shared" si="25"/>
        <v>-46.865597484276719</v>
      </c>
      <c r="G827" s="21">
        <v>0.14903259999999999</v>
      </c>
      <c r="H827" s="21">
        <v>-0.116739</v>
      </c>
    </row>
    <row r="828" spans="1:8" x14ac:dyDescent="0.15">
      <c r="A828" s="21">
        <v>1.6132810000000001E-2</v>
      </c>
      <c r="B828" s="21">
        <f t="shared" si="24"/>
        <v>-8.8290560000000004E-2</v>
      </c>
      <c r="D828">
        <f t="shared" si="25"/>
        <v>-35.472861635220127</v>
      </c>
      <c r="G828" s="21">
        <v>0.11280370000000001</v>
      </c>
      <c r="H828" s="21">
        <v>-8.8290560000000004E-2</v>
      </c>
    </row>
    <row r="829" spans="1:8" x14ac:dyDescent="0.15">
      <c r="A829" s="21">
        <v>1.6152340000000001E-2</v>
      </c>
      <c r="B829" s="21">
        <f t="shared" si="24"/>
        <v>-5.8435809999999998E-2</v>
      </c>
      <c r="D829">
        <f t="shared" si="25"/>
        <v>-23.47447798742138</v>
      </c>
      <c r="G829" s="21">
        <v>7.4648839999999994E-2</v>
      </c>
      <c r="H829" s="21">
        <v>-5.8435809999999998E-2</v>
      </c>
    </row>
    <row r="830" spans="1:8" x14ac:dyDescent="0.15">
      <c r="A830" s="21">
        <v>1.6171870000000001E-2</v>
      </c>
      <c r="B830" s="21">
        <f t="shared" si="24"/>
        <v>-2.7537530000000001E-2</v>
      </c>
      <c r="D830">
        <f t="shared" si="25"/>
        <v>-11.209723270440252</v>
      </c>
      <c r="G830" s="21">
        <v>3.5646919999999999E-2</v>
      </c>
      <c r="H830" s="21">
        <v>-2.7537530000000001E-2</v>
      </c>
    </row>
    <row r="831" spans="1:8" x14ac:dyDescent="0.15">
      <c r="A831" s="21">
        <v>1.619141E-2</v>
      </c>
      <c r="B831" s="21">
        <f t="shared" si="24"/>
        <v>4.7379529999999996E-3</v>
      </c>
      <c r="D831">
        <f t="shared" si="25"/>
        <v>1.7345185534591196</v>
      </c>
      <c r="G831" s="21">
        <v>-5.5157690000000002E-3</v>
      </c>
      <c r="H831" s="21">
        <v>4.7379529999999996E-3</v>
      </c>
    </row>
    <row r="832" spans="1:8" x14ac:dyDescent="0.15">
      <c r="A832" s="21">
        <v>1.621094E-2</v>
      </c>
      <c r="B832" s="21">
        <f t="shared" si="24"/>
        <v>3.6465640000000001E-2</v>
      </c>
      <c r="D832">
        <f t="shared" si="25"/>
        <v>14.423606918238995</v>
      </c>
      <c r="G832" s="21">
        <v>-4.5867070000000003E-2</v>
      </c>
      <c r="H832" s="21">
        <v>3.6465640000000001E-2</v>
      </c>
    </row>
    <row r="833" spans="1:8" x14ac:dyDescent="0.15">
      <c r="A833" s="21">
        <v>1.623047E-2</v>
      </c>
      <c r="B833" s="21">
        <f t="shared" si="24"/>
        <v>6.6428299999999996E-2</v>
      </c>
      <c r="D833">
        <f t="shared" si="25"/>
        <v>26.392544025157232</v>
      </c>
      <c r="G833" s="21">
        <v>-8.3928290000000003E-2</v>
      </c>
      <c r="H833" s="21">
        <v>6.6428299999999996E-2</v>
      </c>
    </row>
    <row r="834" spans="1:8" x14ac:dyDescent="0.15">
      <c r="A834" s="21">
        <v>1.6250000000000001E-2</v>
      </c>
      <c r="B834" s="21">
        <f t="shared" ref="B834:B897" si="26">H834</f>
        <v>9.5906889999999995E-2</v>
      </c>
      <c r="D834">
        <f t="shared" ref="D834:D897" si="27">G834*-1000/3.18</f>
        <v>38.395566037735847</v>
      </c>
      <c r="G834" s="21">
        <v>-0.1220979</v>
      </c>
      <c r="H834" s="21">
        <v>9.5906889999999995E-2</v>
      </c>
    </row>
    <row r="835" spans="1:8" x14ac:dyDescent="0.15">
      <c r="A835" s="21">
        <v>1.6269530000000001E-2</v>
      </c>
      <c r="B835" s="21">
        <f t="shared" si="26"/>
        <v>0.1238678</v>
      </c>
      <c r="D835">
        <f t="shared" si="27"/>
        <v>49.631383647798735</v>
      </c>
      <c r="G835" s="21">
        <v>-0.15782779999999999</v>
      </c>
      <c r="H835" s="21">
        <v>0.1238678</v>
      </c>
    </row>
    <row r="836" spans="1:8" x14ac:dyDescent="0.15">
      <c r="A836" s="21">
        <v>1.6289060000000001E-2</v>
      </c>
      <c r="B836" s="21">
        <f t="shared" si="26"/>
        <v>0.15008060000000001</v>
      </c>
      <c r="D836">
        <f t="shared" si="27"/>
        <v>60.159119496855347</v>
      </c>
      <c r="G836" s="21">
        <v>-0.191306</v>
      </c>
      <c r="H836" s="21">
        <v>0.15008060000000001</v>
      </c>
    </row>
    <row r="837" spans="1:8" x14ac:dyDescent="0.15">
      <c r="A837" s="21">
        <v>1.6308590000000001E-2</v>
      </c>
      <c r="B837" s="21">
        <f t="shared" si="26"/>
        <v>0.1748133</v>
      </c>
      <c r="D837">
        <f t="shared" si="27"/>
        <v>70.164056603773588</v>
      </c>
      <c r="G837" s="21">
        <v>-0.22312170000000001</v>
      </c>
      <c r="H837" s="21">
        <v>0.1748133</v>
      </c>
    </row>
    <row r="838" spans="1:8" x14ac:dyDescent="0.15">
      <c r="A838" s="21">
        <v>1.6328120000000002E-2</v>
      </c>
      <c r="B838" s="21">
        <f t="shared" si="26"/>
        <v>0.19581489999999999</v>
      </c>
      <c r="D838">
        <f t="shared" si="27"/>
        <v>78.57330188679245</v>
      </c>
      <c r="G838" s="21">
        <v>-0.2498631</v>
      </c>
      <c r="H838" s="21">
        <v>0.19581489999999999</v>
      </c>
    </row>
    <row r="839" spans="1:8" x14ac:dyDescent="0.15">
      <c r="A839" s="21">
        <v>1.634766E-2</v>
      </c>
      <c r="B839" s="21">
        <f t="shared" si="26"/>
        <v>0.2138487</v>
      </c>
      <c r="D839">
        <f t="shared" si="27"/>
        <v>85.962893081760996</v>
      </c>
      <c r="G839" s="21">
        <v>-0.27336199999999999</v>
      </c>
      <c r="H839" s="21">
        <v>0.2138487</v>
      </c>
    </row>
    <row r="840" spans="1:8" x14ac:dyDescent="0.15">
      <c r="A840" s="21">
        <v>1.636719E-2</v>
      </c>
      <c r="B840" s="21">
        <f t="shared" si="26"/>
        <v>0.22900980000000001</v>
      </c>
      <c r="D840">
        <f t="shared" si="27"/>
        <v>92.109779874213828</v>
      </c>
      <c r="G840" s="21">
        <v>-0.29290909999999998</v>
      </c>
      <c r="H840" s="21">
        <v>0.22900980000000001</v>
      </c>
    </row>
    <row r="841" spans="1:8" x14ac:dyDescent="0.15">
      <c r="A841" s="21">
        <v>1.638672E-2</v>
      </c>
      <c r="B841" s="21">
        <f t="shared" si="26"/>
        <v>0.239957</v>
      </c>
      <c r="D841">
        <f t="shared" si="27"/>
        <v>96.515377358490568</v>
      </c>
      <c r="G841" s="21">
        <v>-0.30691889999999999</v>
      </c>
      <c r="H841" s="21">
        <v>0.239957</v>
      </c>
    </row>
    <row r="842" spans="1:8" x14ac:dyDescent="0.15">
      <c r="A842" s="21">
        <v>1.6406250000000001E-2</v>
      </c>
      <c r="B842" s="21">
        <f t="shared" si="26"/>
        <v>0.24852630000000001</v>
      </c>
      <c r="D842">
        <f t="shared" si="27"/>
        <v>100.11783018867925</v>
      </c>
      <c r="G842" s="21">
        <v>-0.31837470000000001</v>
      </c>
      <c r="H842" s="21">
        <v>0.24852630000000001</v>
      </c>
    </row>
    <row r="843" spans="1:8" x14ac:dyDescent="0.15">
      <c r="A843" s="21">
        <v>1.6425780000000001E-2</v>
      </c>
      <c r="B843" s="21">
        <f t="shared" si="26"/>
        <v>0.25361410000000001</v>
      </c>
      <c r="D843">
        <f t="shared" si="27"/>
        <v>102.11849056603774</v>
      </c>
      <c r="G843" s="21">
        <v>-0.32473679999999999</v>
      </c>
      <c r="H843" s="21">
        <v>0.25361410000000001</v>
      </c>
    </row>
    <row r="844" spans="1:8" x14ac:dyDescent="0.15">
      <c r="A844" s="21">
        <v>1.6445310000000001E-2</v>
      </c>
      <c r="B844" s="21">
        <f t="shared" si="26"/>
        <v>0.25412279999999998</v>
      </c>
      <c r="D844">
        <f t="shared" si="27"/>
        <v>102.34955974842768</v>
      </c>
      <c r="G844" s="21">
        <v>-0.32547160000000003</v>
      </c>
      <c r="H844" s="21">
        <v>0.25412279999999998</v>
      </c>
    </row>
    <row r="845" spans="1:8" x14ac:dyDescent="0.15">
      <c r="A845" s="21">
        <v>1.6464840000000001E-2</v>
      </c>
      <c r="B845" s="21">
        <f t="shared" si="26"/>
        <v>0.25139600000000001</v>
      </c>
      <c r="D845">
        <f t="shared" si="27"/>
        <v>101.38154088050314</v>
      </c>
      <c r="G845" s="21">
        <v>-0.32239329999999999</v>
      </c>
      <c r="H845" s="21">
        <v>0.25139600000000001</v>
      </c>
    </row>
    <row r="846" spans="1:8" x14ac:dyDescent="0.15">
      <c r="A846" s="21">
        <v>1.6484370000000002E-2</v>
      </c>
      <c r="B846" s="21">
        <f t="shared" si="26"/>
        <v>0.2440794</v>
      </c>
      <c r="D846">
        <f t="shared" si="27"/>
        <v>98.389591194968546</v>
      </c>
      <c r="G846" s="21">
        <v>-0.31287890000000002</v>
      </c>
      <c r="H846" s="21">
        <v>0.2440794</v>
      </c>
    </row>
    <row r="847" spans="1:8" x14ac:dyDescent="0.15">
      <c r="A847" s="21">
        <v>1.650391E-2</v>
      </c>
      <c r="B847" s="21">
        <f t="shared" si="26"/>
        <v>0.2331279</v>
      </c>
      <c r="D847">
        <f t="shared" si="27"/>
        <v>94.079245283018849</v>
      </c>
      <c r="G847" s="21">
        <v>-0.29917199999999999</v>
      </c>
      <c r="H847" s="21">
        <v>0.2331279</v>
      </c>
    </row>
    <row r="848" spans="1:8" x14ac:dyDescent="0.15">
      <c r="A848" s="21">
        <v>1.652344E-2</v>
      </c>
      <c r="B848" s="21">
        <f t="shared" si="26"/>
        <v>0.22002530000000001</v>
      </c>
      <c r="D848">
        <f t="shared" si="27"/>
        <v>88.863364779874203</v>
      </c>
      <c r="G848" s="21">
        <v>-0.28258549999999999</v>
      </c>
      <c r="H848" s="21">
        <v>0.22002530000000001</v>
      </c>
    </row>
    <row r="849" spans="1:8" x14ac:dyDescent="0.15">
      <c r="A849" s="21">
        <v>1.6542970000000001E-2</v>
      </c>
      <c r="B849" s="21">
        <f t="shared" si="26"/>
        <v>0.2030556</v>
      </c>
      <c r="D849">
        <f t="shared" si="27"/>
        <v>81.99666666666667</v>
      </c>
      <c r="G849" s="21">
        <v>-0.26074940000000002</v>
      </c>
      <c r="H849" s="21">
        <v>0.2030556</v>
      </c>
    </row>
    <row r="850" spans="1:8" x14ac:dyDescent="0.15">
      <c r="A850" s="21">
        <v>1.6562500000000001E-2</v>
      </c>
      <c r="B850" s="21">
        <f t="shared" si="26"/>
        <v>0.182924</v>
      </c>
      <c r="D850">
        <f t="shared" si="27"/>
        <v>74.050503144654087</v>
      </c>
      <c r="G850" s="21">
        <v>-0.23548060000000001</v>
      </c>
      <c r="H850" s="21">
        <v>0.182924</v>
      </c>
    </row>
    <row r="851" spans="1:8" x14ac:dyDescent="0.15">
      <c r="A851" s="21">
        <v>1.6582030000000001E-2</v>
      </c>
      <c r="B851" s="21">
        <f t="shared" si="26"/>
        <v>0.15955449999999999</v>
      </c>
      <c r="D851">
        <f t="shared" si="27"/>
        <v>64.707327044025149</v>
      </c>
      <c r="G851" s="21">
        <v>-0.20576929999999999</v>
      </c>
      <c r="H851" s="21">
        <v>0.15955449999999999</v>
      </c>
    </row>
    <row r="852" spans="1:8" x14ac:dyDescent="0.15">
      <c r="A852" s="21">
        <v>1.6601560000000001E-2</v>
      </c>
      <c r="B852" s="21">
        <f t="shared" si="26"/>
        <v>0.13252659999999999</v>
      </c>
      <c r="D852">
        <f t="shared" si="27"/>
        <v>53.94817610062892</v>
      </c>
      <c r="G852" s="21">
        <v>-0.17155519999999999</v>
      </c>
      <c r="H852" s="21">
        <v>0.13252659999999999</v>
      </c>
    </row>
    <row r="853" spans="1:8" x14ac:dyDescent="0.15">
      <c r="A853" s="21">
        <v>1.6621090000000002E-2</v>
      </c>
      <c r="B853" s="21">
        <f t="shared" si="26"/>
        <v>0.1049896</v>
      </c>
      <c r="D853">
        <f t="shared" si="27"/>
        <v>43.123710691823895</v>
      </c>
      <c r="G853" s="21">
        <v>-0.13713339999999999</v>
      </c>
      <c r="H853" s="21">
        <v>0.1049896</v>
      </c>
    </row>
    <row r="854" spans="1:8" x14ac:dyDescent="0.15">
      <c r="A854" s="21">
        <v>1.6640619999999998E-2</v>
      </c>
      <c r="B854" s="21">
        <f t="shared" si="26"/>
        <v>7.6528440000000003E-2</v>
      </c>
      <c r="D854">
        <f t="shared" si="27"/>
        <v>31.682012578616352</v>
      </c>
      <c r="G854" s="21">
        <v>-0.1007488</v>
      </c>
      <c r="H854" s="21">
        <v>7.6528440000000003E-2</v>
      </c>
    </row>
    <row r="855" spans="1:8" x14ac:dyDescent="0.15">
      <c r="A855" s="21">
        <v>1.666016E-2</v>
      </c>
      <c r="B855" s="21">
        <f t="shared" si="26"/>
        <v>4.5781530000000001E-2</v>
      </c>
      <c r="D855">
        <f t="shared" si="27"/>
        <v>19.363962264150942</v>
      </c>
      <c r="G855" s="21">
        <v>-6.1577399999999997E-2</v>
      </c>
      <c r="H855" s="21">
        <v>4.5781530000000001E-2</v>
      </c>
    </row>
    <row r="856" spans="1:8" x14ac:dyDescent="0.15">
      <c r="A856" s="21">
        <v>1.667969E-2</v>
      </c>
      <c r="B856" s="21">
        <f t="shared" si="26"/>
        <v>1.4500529999999999E-2</v>
      </c>
      <c r="D856">
        <f t="shared" si="27"/>
        <v>6.9728427672955977</v>
      </c>
      <c r="G856" s="21">
        <v>-2.2173640000000001E-2</v>
      </c>
      <c r="H856" s="21">
        <v>1.4500529999999999E-2</v>
      </c>
    </row>
    <row r="857" spans="1:8" x14ac:dyDescent="0.15">
      <c r="A857" s="21">
        <v>1.6699220000000001E-2</v>
      </c>
      <c r="B857" s="21">
        <f t="shared" si="26"/>
        <v>-1.7584349999999999E-2</v>
      </c>
      <c r="D857">
        <f t="shared" si="27"/>
        <v>-5.8682169811320755</v>
      </c>
      <c r="G857" s="21">
        <v>1.8660929999999999E-2</v>
      </c>
      <c r="H857" s="21">
        <v>-1.7584349999999999E-2</v>
      </c>
    </row>
    <row r="858" spans="1:8" x14ac:dyDescent="0.15">
      <c r="A858" s="21">
        <v>1.6718750000000001E-2</v>
      </c>
      <c r="B858" s="21">
        <f t="shared" si="26"/>
        <v>-4.9325050000000002E-2</v>
      </c>
      <c r="D858">
        <f t="shared" si="27"/>
        <v>-18.548729559748427</v>
      </c>
      <c r="G858" s="21">
        <v>5.8984960000000003E-2</v>
      </c>
      <c r="H858" s="21">
        <v>-4.9325050000000002E-2</v>
      </c>
    </row>
    <row r="859" spans="1:8" x14ac:dyDescent="0.15">
      <c r="A859" s="21">
        <v>1.6738280000000001E-2</v>
      </c>
      <c r="B859" s="21">
        <f t="shared" si="26"/>
        <v>-7.8867809999999997E-2</v>
      </c>
      <c r="D859">
        <f t="shared" si="27"/>
        <v>-30.371154088050311</v>
      </c>
      <c r="G859" s="21">
        <v>9.6580269999999996E-2</v>
      </c>
      <c r="H859" s="21">
        <v>-7.8867809999999997E-2</v>
      </c>
    </row>
    <row r="860" spans="1:8" x14ac:dyDescent="0.15">
      <c r="A860" s="21">
        <v>1.6757810000000001E-2</v>
      </c>
      <c r="B860" s="21">
        <f t="shared" si="26"/>
        <v>-0.1076</v>
      </c>
      <c r="D860">
        <f t="shared" si="27"/>
        <v>-41.920628930817614</v>
      </c>
      <c r="G860" s="21">
        <v>0.1333076</v>
      </c>
      <c r="H860" s="21">
        <v>-0.1076</v>
      </c>
    </row>
    <row r="861" spans="1:8" x14ac:dyDescent="0.15">
      <c r="A861" s="21">
        <v>1.6777340000000002E-2</v>
      </c>
      <c r="B861" s="21">
        <f t="shared" si="26"/>
        <v>-0.13502810000000001</v>
      </c>
      <c r="D861">
        <f t="shared" si="27"/>
        <v>-52.881855345911944</v>
      </c>
      <c r="G861" s="21">
        <v>0.16816429999999999</v>
      </c>
      <c r="H861" s="21">
        <v>-0.13502810000000001</v>
      </c>
    </row>
    <row r="862" spans="1:8" x14ac:dyDescent="0.15">
      <c r="A862" s="21">
        <v>1.6796869999999998E-2</v>
      </c>
      <c r="B862" s="21">
        <f t="shared" si="26"/>
        <v>-0.16037670000000001</v>
      </c>
      <c r="D862">
        <f t="shared" si="27"/>
        <v>-63.139654088050307</v>
      </c>
      <c r="G862" s="21">
        <v>0.20078409999999999</v>
      </c>
      <c r="H862" s="21">
        <v>-0.16037670000000001</v>
      </c>
    </row>
    <row r="863" spans="1:8" x14ac:dyDescent="0.15">
      <c r="A863" s="21">
        <v>1.681641E-2</v>
      </c>
      <c r="B863" s="21">
        <f t="shared" si="26"/>
        <v>-0.18395210000000001</v>
      </c>
      <c r="D863">
        <f t="shared" si="27"/>
        <v>-72.711132075471696</v>
      </c>
      <c r="G863" s="21">
        <v>0.23122139999999999</v>
      </c>
      <c r="H863" s="21">
        <v>-0.18395210000000001</v>
      </c>
    </row>
    <row r="864" spans="1:8" x14ac:dyDescent="0.15">
      <c r="A864" s="21">
        <v>1.6835940000000001E-2</v>
      </c>
      <c r="B864" s="21">
        <f t="shared" si="26"/>
        <v>-0.2041741</v>
      </c>
      <c r="D864">
        <f t="shared" si="27"/>
        <v>-80.805471698113209</v>
      </c>
      <c r="G864" s="21">
        <v>0.25696140000000001</v>
      </c>
      <c r="H864" s="21">
        <v>-0.2041741</v>
      </c>
    </row>
    <row r="865" spans="1:8" x14ac:dyDescent="0.15">
      <c r="A865" s="21">
        <v>1.6855470000000001E-2</v>
      </c>
      <c r="B865" s="21">
        <f t="shared" si="26"/>
        <v>-0.22073709999999999</v>
      </c>
      <c r="D865">
        <f t="shared" si="27"/>
        <v>-87.487295597484277</v>
      </c>
      <c r="G865" s="21">
        <v>0.2782096</v>
      </c>
      <c r="H865" s="21">
        <v>-0.22073709999999999</v>
      </c>
    </row>
    <row r="866" spans="1:8" x14ac:dyDescent="0.15">
      <c r="A866" s="21">
        <v>1.6875000000000001E-2</v>
      </c>
      <c r="B866" s="21">
        <f t="shared" si="26"/>
        <v>-0.23402729999999999</v>
      </c>
      <c r="D866">
        <f t="shared" si="27"/>
        <v>-92.963301886792436</v>
      </c>
      <c r="G866" s="21">
        <v>0.29562329999999998</v>
      </c>
      <c r="H866" s="21">
        <v>-0.23402729999999999</v>
      </c>
    </row>
    <row r="867" spans="1:8" x14ac:dyDescent="0.15">
      <c r="A867" s="21">
        <v>1.6894530000000001E-2</v>
      </c>
      <c r="B867" s="21">
        <f t="shared" si="26"/>
        <v>-0.24418200000000001</v>
      </c>
      <c r="D867">
        <f t="shared" si="27"/>
        <v>-97.184654088050323</v>
      </c>
      <c r="G867" s="21">
        <v>0.30904720000000002</v>
      </c>
      <c r="H867" s="21">
        <v>-0.24418200000000001</v>
      </c>
    </row>
    <row r="868" spans="1:8" x14ac:dyDescent="0.15">
      <c r="A868" s="21">
        <v>1.6914060000000002E-2</v>
      </c>
      <c r="B868" s="21">
        <f t="shared" si="26"/>
        <v>-0.2515869</v>
      </c>
      <c r="D868">
        <f t="shared" si="27"/>
        <v>-100.19232704402515</v>
      </c>
      <c r="G868" s="21">
        <v>0.31861159999999999</v>
      </c>
      <c r="H868" s="21">
        <v>-0.2515869</v>
      </c>
    </row>
    <row r="869" spans="1:8" x14ac:dyDescent="0.15">
      <c r="A869" s="21">
        <v>1.6933589999999998E-2</v>
      </c>
      <c r="B869" s="21">
        <f t="shared" si="26"/>
        <v>-0.25485289999999999</v>
      </c>
      <c r="D869">
        <f t="shared" si="27"/>
        <v>-101.50500000000001</v>
      </c>
      <c r="G869" s="21">
        <v>0.32278590000000001</v>
      </c>
      <c r="H869" s="21">
        <v>-0.25485289999999999</v>
      </c>
    </row>
    <row r="870" spans="1:8" x14ac:dyDescent="0.15">
      <c r="A870" s="21">
        <v>1.6953119999999999E-2</v>
      </c>
      <c r="B870" s="21">
        <f t="shared" si="26"/>
        <v>-0.25386979999999998</v>
      </c>
      <c r="D870">
        <f t="shared" si="27"/>
        <v>-101.20584905660378</v>
      </c>
      <c r="G870" s="21">
        <v>0.32183460000000003</v>
      </c>
      <c r="H870" s="21">
        <v>-0.25386979999999998</v>
      </c>
    </row>
    <row r="871" spans="1:8" x14ac:dyDescent="0.15">
      <c r="A871" s="21">
        <v>1.6972660000000001E-2</v>
      </c>
      <c r="B871" s="21">
        <f t="shared" si="26"/>
        <v>-0.2493756</v>
      </c>
      <c r="D871">
        <f t="shared" si="27"/>
        <v>-99.509905660377342</v>
      </c>
      <c r="G871" s="21">
        <v>0.31644149999999999</v>
      </c>
      <c r="H871" s="21">
        <v>-0.2493756</v>
      </c>
    </row>
    <row r="872" spans="1:8" x14ac:dyDescent="0.15">
      <c r="A872" s="21">
        <v>1.6992190000000001E-2</v>
      </c>
      <c r="B872" s="21">
        <f t="shared" si="26"/>
        <v>-0.24053350000000001</v>
      </c>
      <c r="D872">
        <f t="shared" si="27"/>
        <v>-95.992578616352191</v>
      </c>
      <c r="G872" s="21">
        <v>0.30525639999999998</v>
      </c>
      <c r="H872" s="21">
        <v>-0.24053350000000001</v>
      </c>
    </row>
    <row r="873" spans="1:8" x14ac:dyDescent="0.15">
      <c r="A873" s="21">
        <v>1.7011720000000001E-2</v>
      </c>
      <c r="B873" s="21">
        <f t="shared" si="26"/>
        <v>-0.2282651</v>
      </c>
      <c r="D873">
        <f t="shared" si="27"/>
        <v>-91.156446540880495</v>
      </c>
      <c r="G873" s="21">
        <v>0.28987750000000001</v>
      </c>
      <c r="H873" s="21">
        <v>-0.2282651</v>
      </c>
    </row>
    <row r="874" spans="1:8" x14ac:dyDescent="0.15">
      <c r="A874" s="21">
        <v>1.7031250000000001E-2</v>
      </c>
      <c r="B874" s="21">
        <f t="shared" si="26"/>
        <v>-0.21372379999999999</v>
      </c>
      <c r="D874">
        <f t="shared" si="27"/>
        <v>-85.424591194968542</v>
      </c>
      <c r="G874" s="21">
        <v>0.27165020000000001</v>
      </c>
      <c r="H874" s="21">
        <v>-0.21372379999999999</v>
      </c>
    </row>
    <row r="875" spans="1:8" x14ac:dyDescent="0.15">
      <c r="A875" s="21">
        <v>1.7050780000000001E-2</v>
      </c>
      <c r="B875" s="21">
        <f t="shared" si="26"/>
        <v>-0.1957478</v>
      </c>
      <c r="D875">
        <f t="shared" si="27"/>
        <v>-78.240440251572323</v>
      </c>
      <c r="G875" s="21">
        <v>0.24880459999999999</v>
      </c>
      <c r="H875" s="21">
        <v>-0.1957478</v>
      </c>
    </row>
    <row r="876" spans="1:8" x14ac:dyDescent="0.15">
      <c r="A876" s="21">
        <v>1.7070310000000002E-2</v>
      </c>
      <c r="B876" s="21">
        <f t="shared" si="26"/>
        <v>-0.17417089999999999</v>
      </c>
      <c r="D876">
        <f t="shared" si="27"/>
        <v>-69.676069182389924</v>
      </c>
      <c r="G876" s="21">
        <v>0.22156989999999999</v>
      </c>
      <c r="H876" s="21">
        <v>-0.17417089999999999</v>
      </c>
    </row>
    <row r="877" spans="1:8" x14ac:dyDescent="0.15">
      <c r="A877" s="21">
        <v>1.7089839999999999E-2</v>
      </c>
      <c r="B877" s="21">
        <f t="shared" si="26"/>
        <v>-0.1496371</v>
      </c>
      <c r="D877">
        <f t="shared" si="27"/>
        <v>-59.92</v>
      </c>
      <c r="G877" s="21">
        <v>0.19054560000000001</v>
      </c>
      <c r="H877" s="21">
        <v>-0.1496371</v>
      </c>
    </row>
    <row r="878" spans="1:8" x14ac:dyDescent="0.15">
      <c r="A878" s="21">
        <v>1.7109369999999999E-2</v>
      </c>
      <c r="B878" s="21">
        <f t="shared" si="26"/>
        <v>-0.12246609999999999</v>
      </c>
      <c r="D878">
        <f t="shared" si="27"/>
        <v>-49.130566037735846</v>
      </c>
      <c r="G878" s="21">
        <v>0.15623519999999999</v>
      </c>
      <c r="H878" s="21">
        <v>-0.12246609999999999</v>
      </c>
    </row>
    <row r="879" spans="1:8" x14ac:dyDescent="0.15">
      <c r="A879" s="21">
        <v>1.7128910000000001E-2</v>
      </c>
      <c r="B879" s="21">
        <f t="shared" si="26"/>
        <v>-9.4171030000000003E-2</v>
      </c>
      <c r="D879">
        <f t="shared" si="27"/>
        <v>-37.863616352201255</v>
      </c>
      <c r="G879" s="21">
        <v>0.12040629999999999</v>
      </c>
      <c r="H879" s="21">
        <v>-9.4171030000000003E-2</v>
      </c>
    </row>
    <row r="880" spans="1:8" x14ac:dyDescent="0.15">
      <c r="A880" s="21">
        <v>1.7148440000000001E-2</v>
      </c>
      <c r="B880" s="21">
        <f t="shared" si="26"/>
        <v>-6.4828140000000006E-2</v>
      </c>
      <c r="D880">
        <f t="shared" si="27"/>
        <v>-26.064669811320751</v>
      </c>
      <c r="G880" s="21">
        <v>8.2885650000000005E-2</v>
      </c>
      <c r="H880" s="21">
        <v>-6.4828140000000006E-2</v>
      </c>
    </row>
    <row r="881" spans="1:8" x14ac:dyDescent="0.15">
      <c r="A881" s="21">
        <v>1.7167970000000001E-2</v>
      </c>
      <c r="B881" s="21">
        <f t="shared" si="26"/>
        <v>-3.4046609999999998E-2</v>
      </c>
      <c r="D881">
        <f t="shared" si="27"/>
        <v>-13.774091194968552</v>
      </c>
      <c r="G881" s="21">
        <v>4.3801609999999998E-2</v>
      </c>
      <c r="H881" s="21">
        <v>-3.4046609999999998E-2</v>
      </c>
    </row>
    <row r="882" spans="1:8" x14ac:dyDescent="0.15">
      <c r="A882" s="21">
        <v>1.7187500000000001E-2</v>
      </c>
      <c r="B882" s="21">
        <f t="shared" si="26"/>
        <v>-2.6226740000000002E-3</v>
      </c>
      <c r="D882">
        <f t="shared" si="27"/>
        <v>-1.2017185534591195</v>
      </c>
      <c r="G882" s="21">
        <v>3.821465E-3</v>
      </c>
      <c r="H882" s="21">
        <v>-2.6226740000000002E-3</v>
      </c>
    </row>
    <row r="883" spans="1:8" x14ac:dyDescent="0.15">
      <c r="A883" s="21">
        <v>1.7207030000000002E-2</v>
      </c>
      <c r="B883" s="21">
        <f t="shared" si="26"/>
        <v>2.964984E-2</v>
      </c>
      <c r="D883">
        <f t="shared" si="27"/>
        <v>11.768298742138366</v>
      </c>
      <c r="G883" s="21">
        <v>-3.7423190000000002E-2</v>
      </c>
      <c r="H883" s="21">
        <v>2.964984E-2</v>
      </c>
    </row>
    <row r="884" spans="1:8" x14ac:dyDescent="0.15">
      <c r="A884" s="21">
        <v>1.7226559999999998E-2</v>
      </c>
      <c r="B884" s="21">
        <f t="shared" si="26"/>
        <v>6.0833900000000003E-2</v>
      </c>
      <c r="D884">
        <f t="shared" si="27"/>
        <v>24.255122641509434</v>
      </c>
      <c r="G884" s="21">
        <v>-7.7131290000000005E-2</v>
      </c>
      <c r="H884" s="21">
        <v>6.0833900000000003E-2</v>
      </c>
    </row>
    <row r="885" spans="1:8" x14ac:dyDescent="0.15">
      <c r="A885" s="21">
        <v>1.7246089999999999E-2</v>
      </c>
      <c r="B885" s="21">
        <f t="shared" si="26"/>
        <v>8.9585419999999999E-2</v>
      </c>
      <c r="D885">
        <f t="shared" si="27"/>
        <v>35.793270440251568</v>
      </c>
      <c r="G885" s="21">
        <v>-0.1138226</v>
      </c>
      <c r="H885" s="21">
        <v>8.9585419999999999E-2</v>
      </c>
    </row>
    <row r="886" spans="1:8" x14ac:dyDescent="0.15">
      <c r="A886" s="21">
        <v>1.7265619999999999E-2</v>
      </c>
      <c r="B886" s="21">
        <f t="shared" si="26"/>
        <v>0.11765249999999999</v>
      </c>
      <c r="D886">
        <f t="shared" si="27"/>
        <v>47.185534591194958</v>
      </c>
      <c r="G886" s="21">
        <v>-0.15004999999999999</v>
      </c>
      <c r="H886" s="21">
        <v>0.11765249999999999</v>
      </c>
    </row>
    <row r="887" spans="1:8" x14ac:dyDescent="0.15">
      <c r="A887" s="21">
        <v>1.7285160000000001E-2</v>
      </c>
      <c r="B887" s="21">
        <f t="shared" si="26"/>
        <v>0.14444280000000001</v>
      </c>
      <c r="D887">
        <f t="shared" si="27"/>
        <v>58.053301886792447</v>
      </c>
      <c r="G887" s="21">
        <v>-0.18460950000000001</v>
      </c>
      <c r="H887" s="21">
        <v>0.14444280000000001</v>
      </c>
    </row>
    <row r="888" spans="1:8" x14ac:dyDescent="0.15">
      <c r="A888" s="21">
        <v>1.7304690000000001E-2</v>
      </c>
      <c r="B888" s="21">
        <f t="shared" si="26"/>
        <v>0.1690246</v>
      </c>
      <c r="D888">
        <f t="shared" si="27"/>
        <v>67.843679245283013</v>
      </c>
      <c r="G888" s="21">
        <v>-0.21574289999999999</v>
      </c>
      <c r="H888" s="21">
        <v>0.1690246</v>
      </c>
    </row>
    <row r="889" spans="1:8" x14ac:dyDescent="0.15">
      <c r="A889" s="21">
        <v>1.7324220000000001E-2</v>
      </c>
      <c r="B889" s="21">
        <f t="shared" si="26"/>
        <v>0.19129260000000001</v>
      </c>
      <c r="D889">
        <f t="shared" si="27"/>
        <v>76.808836477987427</v>
      </c>
      <c r="G889" s="21">
        <v>-0.2442521</v>
      </c>
      <c r="H889" s="21">
        <v>0.19129260000000001</v>
      </c>
    </row>
    <row r="890" spans="1:8" x14ac:dyDescent="0.15">
      <c r="A890" s="21">
        <v>1.7343750000000002E-2</v>
      </c>
      <c r="B890" s="21">
        <f t="shared" si="26"/>
        <v>0.21029239999999999</v>
      </c>
      <c r="D890">
        <f t="shared" si="27"/>
        <v>84.577201257861645</v>
      </c>
      <c r="G890" s="21">
        <v>-0.26895550000000001</v>
      </c>
      <c r="H890" s="21">
        <v>0.21029239999999999</v>
      </c>
    </row>
    <row r="891" spans="1:8" x14ac:dyDescent="0.15">
      <c r="A891" s="21">
        <v>1.7363279999999998E-2</v>
      </c>
      <c r="B891" s="21">
        <f t="shared" si="26"/>
        <v>0.22564690000000001</v>
      </c>
      <c r="D891">
        <f t="shared" si="27"/>
        <v>90.782672955974846</v>
      </c>
      <c r="G891" s="21">
        <v>-0.28868890000000003</v>
      </c>
      <c r="H891" s="21">
        <v>0.22564690000000001</v>
      </c>
    </row>
    <row r="892" spans="1:8" x14ac:dyDescent="0.15">
      <c r="A892" s="21">
        <v>1.7382809999999999E-2</v>
      </c>
      <c r="B892" s="21">
        <f t="shared" si="26"/>
        <v>0.23751939999999999</v>
      </c>
      <c r="D892">
        <f t="shared" si="27"/>
        <v>95.576698113207541</v>
      </c>
      <c r="G892" s="21">
        <v>-0.30393389999999998</v>
      </c>
      <c r="H892" s="21">
        <v>0.23751939999999999</v>
      </c>
    </row>
    <row r="893" spans="1:8" x14ac:dyDescent="0.15">
      <c r="A893" s="21">
        <v>1.7402339999999999E-2</v>
      </c>
      <c r="B893" s="21">
        <f t="shared" si="26"/>
        <v>0.2465048</v>
      </c>
      <c r="D893">
        <f t="shared" si="27"/>
        <v>99.234811320754702</v>
      </c>
      <c r="G893" s="21">
        <v>-0.31556669999999998</v>
      </c>
      <c r="H893" s="21">
        <v>0.2465048</v>
      </c>
    </row>
    <row r="894" spans="1:8" x14ac:dyDescent="0.15">
      <c r="A894" s="21">
        <v>1.7421869999999999E-2</v>
      </c>
      <c r="B894" s="21">
        <f t="shared" si="26"/>
        <v>0.25231399999999998</v>
      </c>
      <c r="D894">
        <f t="shared" si="27"/>
        <v>101.62880503144653</v>
      </c>
      <c r="G894" s="21">
        <v>-0.32317960000000001</v>
      </c>
      <c r="H894" s="21">
        <v>0.25231399999999998</v>
      </c>
    </row>
    <row r="895" spans="1:8" x14ac:dyDescent="0.15">
      <c r="A895" s="21">
        <v>1.7441410000000001E-2</v>
      </c>
      <c r="B895" s="21">
        <f t="shared" si="26"/>
        <v>0.25381090000000001</v>
      </c>
      <c r="D895">
        <f t="shared" si="27"/>
        <v>102.18987421383649</v>
      </c>
      <c r="G895" s="21">
        <v>-0.32496380000000002</v>
      </c>
      <c r="H895" s="21">
        <v>0.25381090000000001</v>
      </c>
    </row>
    <row r="896" spans="1:8" x14ac:dyDescent="0.15">
      <c r="A896" s="21">
        <v>1.7460940000000001E-2</v>
      </c>
      <c r="B896" s="21">
        <f t="shared" si="26"/>
        <v>0.25116939999999999</v>
      </c>
      <c r="D896">
        <f t="shared" si="27"/>
        <v>101.14342767295597</v>
      </c>
      <c r="G896" s="21">
        <v>-0.32163609999999998</v>
      </c>
      <c r="H896" s="21">
        <v>0.25116939999999999</v>
      </c>
    </row>
    <row r="897" spans="1:8" x14ac:dyDescent="0.15">
      <c r="A897" s="21">
        <v>1.7480470000000001E-2</v>
      </c>
      <c r="B897" s="21">
        <f t="shared" si="26"/>
        <v>0.24522659999999999</v>
      </c>
      <c r="D897">
        <f t="shared" si="27"/>
        <v>98.927389937106923</v>
      </c>
      <c r="G897" s="21">
        <v>-0.31458910000000001</v>
      </c>
      <c r="H897" s="21">
        <v>0.24522659999999999</v>
      </c>
    </row>
    <row r="898" spans="1:8" x14ac:dyDescent="0.15">
      <c r="A898" s="21">
        <v>1.7500000000000002E-2</v>
      </c>
      <c r="B898" s="21">
        <f t="shared" ref="B898:B961" si="28">H898</f>
        <v>0.2354426</v>
      </c>
      <c r="D898">
        <f t="shared" ref="D898:D961" si="29">G898*-1000/3.18</f>
        <v>95.001069182389941</v>
      </c>
      <c r="G898" s="21">
        <v>-0.30210340000000002</v>
      </c>
      <c r="H898" s="21">
        <v>0.2354426</v>
      </c>
    </row>
    <row r="899" spans="1:8" x14ac:dyDescent="0.15">
      <c r="A899" s="21">
        <v>1.7519529999999998E-2</v>
      </c>
      <c r="B899" s="21">
        <f t="shared" si="28"/>
        <v>0.22183900000000001</v>
      </c>
      <c r="D899">
        <f t="shared" si="29"/>
        <v>89.528993710691822</v>
      </c>
      <c r="G899" s="21">
        <v>-0.28470220000000002</v>
      </c>
      <c r="H899" s="21">
        <v>0.22183900000000001</v>
      </c>
    </row>
    <row r="900" spans="1:8" x14ac:dyDescent="0.15">
      <c r="A900" s="21">
        <v>1.7539059999999999E-2</v>
      </c>
      <c r="B900" s="21">
        <f t="shared" si="28"/>
        <v>0.20589389999999999</v>
      </c>
      <c r="D900">
        <f t="shared" si="29"/>
        <v>83.254559748427667</v>
      </c>
      <c r="G900" s="21">
        <v>-0.26474950000000003</v>
      </c>
      <c r="H900" s="21">
        <v>0.20589389999999999</v>
      </c>
    </row>
    <row r="901" spans="1:8" x14ac:dyDescent="0.15">
      <c r="A901" s="21">
        <v>1.7558589999999999E-2</v>
      </c>
      <c r="B901" s="21">
        <f t="shared" si="28"/>
        <v>0.18666179999999999</v>
      </c>
      <c r="D901">
        <f t="shared" si="29"/>
        <v>75.568207547169806</v>
      </c>
      <c r="G901" s="21">
        <v>-0.24030689999999999</v>
      </c>
      <c r="H901" s="21">
        <v>0.18666179999999999</v>
      </c>
    </row>
    <row r="902" spans="1:8" x14ac:dyDescent="0.15">
      <c r="A902" s="21">
        <v>1.7578119999999999E-2</v>
      </c>
      <c r="B902" s="21">
        <f t="shared" si="28"/>
        <v>0.1632778</v>
      </c>
      <c r="D902">
        <f t="shared" si="29"/>
        <v>66.231761006289304</v>
      </c>
      <c r="G902" s="21">
        <v>-0.210617</v>
      </c>
      <c r="H902" s="21">
        <v>0.1632778</v>
      </c>
    </row>
    <row r="903" spans="1:8" x14ac:dyDescent="0.15">
      <c r="A903" s="21">
        <v>1.7597660000000001E-2</v>
      </c>
      <c r="B903" s="21">
        <f t="shared" si="28"/>
        <v>0.1374069</v>
      </c>
      <c r="D903">
        <f t="shared" si="29"/>
        <v>56.010786163522013</v>
      </c>
      <c r="G903" s="21">
        <v>-0.1781143</v>
      </c>
      <c r="H903" s="21">
        <v>0.1374069</v>
      </c>
    </row>
    <row r="904" spans="1:8" x14ac:dyDescent="0.15">
      <c r="A904" s="21">
        <v>1.7617190000000001E-2</v>
      </c>
      <c r="B904" s="21">
        <f t="shared" si="28"/>
        <v>0.1100614</v>
      </c>
      <c r="D904">
        <f t="shared" si="29"/>
        <v>45.144591194968548</v>
      </c>
      <c r="G904" s="21">
        <v>-0.14355979999999999</v>
      </c>
      <c r="H904" s="21">
        <v>0.1100614</v>
      </c>
    </row>
    <row r="905" spans="1:8" x14ac:dyDescent="0.15">
      <c r="A905" s="21">
        <v>1.7636720000000002E-2</v>
      </c>
      <c r="B905" s="21">
        <f t="shared" si="28"/>
        <v>8.1472459999999997E-2</v>
      </c>
      <c r="D905">
        <f t="shared" si="29"/>
        <v>33.703396226415094</v>
      </c>
      <c r="G905" s="21">
        <v>-0.1071768</v>
      </c>
      <c r="H905" s="21">
        <v>8.1472459999999997E-2</v>
      </c>
    </row>
    <row r="906" spans="1:8" x14ac:dyDescent="0.15">
      <c r="A906" s="21">
        <v>1.7656249999999998E-2</v>
      </c>
      <c r="B906" s="21">
        <f t="shared" si="28"/>
        <v>5.1335850000000002E-2</v>
      </c>
      <c r="D906">
        <f t="shared" si="29"/>
        <v>21.634537735849058</v>
      </c>
      <c r="G906" s="21">
        <v>-6.8797830000000004E-2</v>
      </c>
      <c r="H906" s="21">
        <v>5.1335850000000002E-2</v>
      </c>
    </row>
    <row r="907" spans="1:8" x14ac:dyDescent="0.15">
      <c r="A907" s="21">
        <v>1.7675779999999999E-2</v>
      </c>
      <c r="B907" s="21">
        <f t="shared" si="28"/>
        <v>2.0000239999999999E-2</v>
      </c>
      <c r="D907">
        <f t="shared" si="29"/>
        <v>9.1295566037735849</v>
      </c>
      <c r="G907" s="21">
        <v>-2.9031990000000001E-2</v>
      </c>
      <c r="H907" s="21">
        <v>2.0000239999999999E-2</v>
      </c>
    </row>
    <row r="908" spans="1:8" x14ac:dyDescent="0.15">
      <c r="A908" s="21">
        <v>1.7695309999999999E-2</v>
      </c>
      <c r="B908" s="21">
        <f t="shared" si="28"/>
        <v>-1.1610219999999999E-2</v>
      </c>
      <c r="D908">
        <f t="shared" si="29"/>
        <v>-3.4258836477987424</v>
      </c>
      <c r="G908" s="21">
        <v>1.0894310000000001E-2</v>
      </c>
      <c r="H908" s="21">
        <v>-1.1610219999999999E-2</v>
      </c>
    </row>
    <row r="909" spans="1:8" x14ac:dyDescent="0.15">
      <c r="A909" s="21">
        <v>1.7714839999999999E-2</v>
      </c>
      <c r="B909" s="21">
        <f t="shared" si="28"/>
        <v>-4.328477E-2</v>
      </c>
      <c r="D909">
        <f t="shared" si="29"/>
        <v>-16.169169811320753</v>
      </c>
      <c r="G909" s="21">
        <v>5.1417959999999999E-2</v>
      </c>
      <c r="H909" s="21">
        <v>-4.328477E-2</v>
      </c>
    </row>
    <row r="910" spans="1:8" x14ac:dyDescent="0.15">
      <c r="A910" s="21">
        <v>1.7734380000000001E-2</v>
      </c>
      <c r="B910" s="21">
        <f t="shared" si="28"/>
        <v>-7.3779549999999999E-2</v>
      </c>
      <c r="D910">
        <f t="shared" si="29"/>
        <v>-28.472213836477987</v>
      </c>
      <c r="G910" s="21">
        <v>9.0541640000000007E-2</v>
      </c>
      <c r="H910" s="21">
        <v>-7.3779549999999999E-2</v>
      </c>
    </row>
    <row r="911" spans="1:8" x14ac:dyDescent="0.15">
      <c r="A911" s="21">
        <v>1.7753910000000001E-2</v>
      </c>
      <c r="B911" s="21">
        <f t="shared" si="28"/>
        <v>-0.10238999999999999</v>
      </c>
      <c r="D911">
        <f t="shared" si="29"/>
        <v>-39.802924528301887</v>
      </c>
      <c r="G911" s="21">
        <v>0.1265733</v>
      </c>
      <c r="H911" s="21">
        <v>-0.10238999999999999</v>
      </c>
    </row>
    <row r="912" spans="1:8" x14ac:dyDescent="0.15">
      <c r="A912" s="21">
        <v>1.7773440000000001E-2</v>
      </c>
      <c r="B912" s="21">
        <f t="shared" si="28"/>
        <v>-0.13010360000000001</v>
      </c>
      <c r="D912">
        <f t="shared" si="29"/>
        <v>-50.933867924528293</v>
      </c>
      <c r="G912" s="21">
        <v>0.16196969999999999</v>
      </c>
      <c r="H912" s="21">
        <v>-0.13010360000000001</v>
      </c>
    </row>
    <row r="913" spans="1:8" x14ac:dyDescent="0.15">
      <c r="A913" s="21">
        <v>1.7792970000000002E-2</v>
      </c>
      <c r="B913" s="21">
        <f t="shared" si="28"/>
        <v>-0.1563824</v>
      </c>
      <c r="D913">
        <f t="shared" si="29"/>
        <v>-61.580534591194962</v>
      </c>
      <c r="G913" s="21">
        <v>0.1958261</v>
      </c>
      <c r="H913" s="21">
        <v>-0.1563824</v>
      </c>
    </row>
    <row r="914" spans="1:8" x14ac:dyDescent="0.15">
      <c r="A914" s="21">
        <v>1.7812499999999998E-2</v>
      </c>
      <c r="B914" s="21">
        <f t="shared" si="28"/>
        <v>-0.17985619999999999</v>
      </c>
      <c r="D914">
        <f t="shared" si="29"/>
        <v>-70.984119496855342</v>
      </c>
      <c r="G914" s="21">
        <v>0.2257295</v>
      </c>
      <c r="H914" s="21">
        <v>-0.17985619999999999</v>
      </c>
    </row>
    <row r="915" spans="1:8" x14ac:dyDescent="0.15">
      <c r="A915" s="21">
        <v>1.7832029999999999E-2</v>
      </c>
      <c r="B915" s="21">
        <f t="shared" si="28"/>
        <v>-0.2006926</v>
      </c>
      <c r="D915">
        <f t="shared" si="29"/>
        <v>-79.405503144654091</v>
      </c>
      <c r="G915" s="21">
        <v>0.2525095</v>
      </c>
      <c r="H915" s="21">
        <v>-0.2006926</v>
      </c>
    </row>
    <row r="916" spans="1:8" x14ac:dyDescent="0.15">
      <c r="A916" s="21">
        <v>1.7851559999999999E-2</v>
      </c>
      <c r="B916" s="21">
        <f t="shared" si="28"/>
        <v>-0.2182772</v>
      </c>
      <c r="D916">
        <f t="shared" si="29"/>
        <v>-86.489968553459107</v>
      </c>
      <c r="G916" s="21">
        <v>0.27503810000000001</v>
      </c>
      <c r="H916" s="21">
        <v>-0.2182772</v>
      </c>
    </row>
    <row r="917" spans="1:8" x14ac:dyDescent="0.15">
      <c r="A917" s="21">
        <v>1.7871089999999999E-2</v>
      </c>
      <c r="B917" s="21">
        <f t="shared" si="28"/>
        <v>-0.23199880000000001</v>
      </c>
      <c r="D917">
        <f t="shared" si="29"/>
        <v>-92.067987421383634</v>
      </c>
      <c r="G917" s="21">
        <v>0.29277619999999999</v>
      </c>
      <c r="H917" s="21">
        <v>-0.23199880000000001</v>
      </c>
    </row>
    <row r="918" spans="1:8" x14ac:dyDescent="0.15">
      <c r="A918" s="21">
        <v>1.7890630000000001E-2</v>
      </c>
      <c r="B918" s="21">
        <f t="shared" si="28"/>
        <v>-0.2429646</v>
      </c>
      <c r="D918">
        <f t="shared" si="29"/>
        <v>-96.580849056603768</v>
      </c>
      <c r="G918" s="21">
        <v>0.30712709999999999</v>
      </c>
      <c r="H918" s="21">
        <v>-0.2429646</v>
      </c>
    </row>
    <row r="919" spans="1:8" x14ac:dyDescent="0.15">
      <c r="A919" s="21">
        <v>1.7910160000000001E-2</v>
      </c>
      <c r="B919" s="21">
        <f t="shared" si="28"/>
        <v>-0.2508049</v>
      </c>
      <c r="D919">
        <f t="shared" si="29"/>
        <v>-99.796226415094338</v>
      </c>
      <c r="G919" s="21">
        <v>0.31735200000000002</v>
      </c>
      <c r="H919" s="21">
        <v>-0.2508049</v>
      </c>
    </row>
    <row r="920" spans="1:8" x14ac:dyDescent="0.15">
      <c r="A920" s="21">
        <v>1.7929690000000002E-2</v>
      </c>
      <c r="B920" s="21">
        <f t="shared" si="28"/>
        <v>-0.25488240000000001</v>
      </c>
      <c r="D920">
        <f t="shared" si="29"/>
        <v>-101.55075471698113</v>
      </c>
      <c r="G920" s="21">
        <v>0.32293139999999998</v>
      </c>
      <c r="H920" s="21">
        <v>-0.25488240000000001</v>
      </c>
    </row>
    <row r="921" spans="1:8" x14ac:dyDescent="0.15">
      <c r="A921" s="21">
        <v>1.7949219999999998E-2</v>
      </c>
      <c r="B921" s="21">
        <f t="shared" si="28"/>
        <v>-0.25504979999999999</v>
      </c>
      <c r="D921">
        <f t="shared" si="29"/>
        <v>-101.65801886792454</v>
      </c>
      <c r="G921" s="21">
        <v>0.32327250000000002</v>
      </c>
      <c r="H921" s="21">
        <v>-0.25504979999999999</v>
      </c>
    </row>
    <row r="922" spans="1:8" x14ac:dyDescent="0.15">
      <c r="A922" s="21">
        <v>1.7968749999999999E-2</v>
      </c>
      <c r="B922" s="21">
        <f t="shared" si="28"/>
        <v>-0.25063629999999998</v>
      </c>
      <c r="D922">
        <f t="shared" si="29"/>
        <v>-99.97616352201257</v>
      </c>
      <c r="G922" s="21">
        <v>0.31792419999999999</v>
      </c>
      <c r="H922" s="21">
        <v>-0.25063629999999998</v>
      </c>
    </row>
    <row r="923" spans="1:8" x14ac:dyDescent="0.15">
      <c r="A923" s="21">
        <v>1.7988279999999999E-2</v>
      </c>
      <c r="B923" s="21">
        <f t="shared" si="28"/>
        <v>-0.24258189999999999</v>
      </c>
      <c r="D923">
        <f t="shared" si="29"/>
        <v>-96.87933962264151</v>
      </c>
      <c r="G923" s="21">
        <v>0.30807630000000003</v>
      </c>
      <c r="H923" s="21">
        <v>-0.24258189999999999</v>
      </c>
    </row>
    <row r="924" spans="1:8" x14ac:dyDescent="0.15">
      <c r="A924" s="21">
        <v>1.8007809999999999E-2</v>
      </c>
      <c r="B924" s="21">
        <f t="shared" si="28"/>
        <v>-0.23140060000000001</v>
      </c>
      <c r="D924">
        <f t="shared" si="29"/>
        <v>-92.48157232704402</v>
      </c>
      <c r="G924" s="21">
        <v>0.2940914</v>
      </c>
      <c r="H924" s="21">
        <v>-0.23140060000000001</v>
      </c>
    </row>
    <row r="925" spans="1:8" x14ac:dyDescent="0.15">
      <c r="A925" s="21">
        <v>1.8027339999999999E-2</v>
      </c>
      <c r="B925" s="21">
        <f t="shared" si="28"/>
        <v>-0.21706059999999999</v>
      </c>
      <c r="D925">
        <f t="shared" si="29"/>
        <v>-86.844433962264148</v>
      </c>
      <c r="G925" s="21">
        <v>0.2761653</v>
      </c>
      <c r="H925" s="21">
        <v>-0.21706059999999999</v>
      </c>
    </row>
    <row r="926" spans="1:8" x14ac:dyDescent="0.15">
      <c r="A926" s="21">
        <v>1.8046880000000001E-2</v>
      </c>
      <c r="B926" s="21">
        <f t="shared" si="28"/>
        <v>-0.19982939999999999</v>
      </c>
      <c r="D926">
        <f t="shared" si="29"/>
        <v>-79.93663522012578</v>
      </c>
      <c r="G926" s="21">
        <v>0.25419849999999999</v>
      </c>
      <c r="H926" s="21">
        <v>-0.19982939999999999</v>
      </c>
    </row>
    <row r="927" spans="1:8" x14ac:dyDescent="0.15">
      <c r="A927" s="21">
        <v>1.8066410000000001E-2</v>
      </c>
      <c r="B927" s="21">
        <f t="shared" si="28"/>
        <v>-0.1787242</v>
      </c>
      <c r="D927">
        <f t="shared" si="29"/>
        <v>-71.505943396226414</v>
      </c>
      <c r="G927" s="21">
        <v>0.2273889</v>
      </c>
      <c r="H927" s="21">
        <v>-0.1787242</v>
      </c>
    </row>
    <row r="928" spans="1:8" x14ac:dyDescent="0.15">
      <c r="A928" s="21">
        <v>1.8085939999999998E-2</v>
      </c>
      <c r="B928" s="21">
        <f t="shared" si="28"/>
        <v>-0.1544652</v>
      </c>
      <c r="D928">
        <f t="shared" si="29"/>
        <v>-61.926855345911946</v>
      </c>
      <c r="G928" s="21">
        <v>0.1969274</v>
      </c>
      <c r="H928" s="21">
        <v>-0.1544652</v>
      </c>
    </row>
    <row r="929" spans="1:8" x14ac:dyDescent="0.15">
      <c r="A929" s="21">
        <v>1.8105469999999999E-2</v>
      </c>
      <c r="B929" s="21">
        <f t="shared" si="28"/>
        <v>-0.12831719999999999</v>
      </c>
      <c r="D929">
        <f t="shared" si="29"/>
        <v>-51.539433962264148</v>
      </c>
      <c r="G929" s="21">
        <v>0.1638954</v>
      </c>
      <c r="H929" s="21">
        <v>-0.12831719999999999</v>
      </c>
    </row>
    <row r="930" spans="1:8" x14ac:dyDescent="0.15">
      <c r="A930" s="21">
        <v>1.8124999999999999E-2</v>
      </c>
      <c r="B930" s="21">
        <f t="shared" si="28"/>
        <v>-0.100144</v>
      </c>
      <c r="D930">
        <f t="shared" si="29"/>
        <v>-40.273050314465408</v>
      </c>
      <c r="G930" s="21">
        <v>0.1280683</v>
      </c>
      <c r="H930" s="21">
        <v>-0.100144</v>
      </c>
    </row>
    <row r="931" spans="1:8" x14ac:dyDescent="0.15">
      <c r="A931" s="21">
        <v>1.8144529999999999E-2</v>
      </c>
      <c r="B931" s="21">
        <f t="shared" si="28"/>
        <v>-7.083892E-2</v>
      </c>
      <c r="D931">
        <f t="shared" si="29"/>
        <v>-28.544628930817613</v>
      </c>
      <c r="G931" s="21">
        <v>9.0771920000000006E-2</v>
      </c>
      <c r="H931" s="21">
        <v>-7.083892E-2</v>
      </c>
    </row>
    <row r="932" spans="1:8" x14ac:dyDescent="0.15">
      <c r="A932" s="21">
        <v>1.8164059999999999E-2</v>
      </c>
      <c r="B932" s="21">
        <f t="shared" si="28"/>
        <v>-4.0304310000000003E-2</v>
      </c>
      <c r="D932">
        <f t="shared" si="29"/>
        <v>-16.32011320754717</v>
      </c>
      <c r="G932" s="21">
        <v>5.189796E-2</v>
      </c>
      <c r="H932" s="21">
        <v>-4.0304310000000003E-2</v>
      </c>
    </row>
    <row r="933" spans="1:8" x14ac:dyDescent="0.15">
      <c r="A933" s="21">
        <v>1.8183589999999999E-2</v>
      </c>
      <c r="B933" s="21">
        <f t="shared" si="28"/>
        <v>-8.4399729999999999E-3</v>
      </c>
      <c r="D933">
        <f t="shared" si="29"/>
        <v>-3.5329371069182391</v>
      </c>
      <c r="G933" s="21">
        <v>1.123474E-2</v>
      </c>
      <c r="H933" s="21">
        <v>-8.4399729999999999E-3</v>
      </c>
    </row>
    <row r="934" spans="1:8" x14ac:dyDescent="0.15">
      <c r="A934" s="21">
        <v>1.8203130000000001E-2</v>
      </c>
      <c r="B934" s="21">
        <f t="shared" si="28"/>
        <v>2.305076E-2</v>
      </c>
      <c r="D934">
        <f t="shared" si="29"/>
        <v>9.0867893081761011</v>
      </c>
      <c r="G934" s="21">
        <v>-2.889599E-2</v>
      </c>
      <c r="H934" s="21">
        <v>2.305076E-2</v>
      </c>
    </row>
    <row r="935" spans="1:8" x14ac:dyDescent="0.15">
      <c r="A935" s="21">
        <v>1.8222660000000002E-2</v>
      </c>
      <c r="B935" s="21">
        <f t="shared" si="28"/>
        <v>5.4136360000000001E-2</v>
      </c>
      <c r="D935">
        <f t="shared" si="29"/>
        <v>21.623955974842765</v>
      </c>
      <c r="G935" s="21">
        <v>-6.8764179999999994E-2</v>
      </c>
      <c r="H935" s="21">
        <v>5.4136360000000001E-2</v>
      </c>
    </row>
    <row r="936" spans="1:8" x14ac:dyDescent="0.15">
      <c r="A936" s="21">
        <v>1.8242189999999998E-2</v>
      </c>
      <c r="B936" s="21">
        <f t="shared" si="28"/>
        <v>8.4289849999999999E-2</v>
      </c>
      <c r="D936">
        <f t="shared" si="29"/>
        <v>33.729025157232705</v>
      </c>
      <c r="G936" s="21">
        <v>-0.1072583</v>
      </c>
      <c r="H936" s="21">
        <v>8.4289849999999999E-2</v>
      </c>
    </row>
    <row r="937" spans="1:8" x14ac:dyDescent="0.15">
      <c r="A937" s="21">
        <v>1.8261719999999999E-2</v>
      </c>
      <c r="B937" s="21">
        <f t="shared" si="28"/>
        <v>0.1122688</v>
      </c>
      <c r="D937">
        <f t="shared" si="29"/>
        <v>44.88770440251573</v>
      </c>
      <c r="G937" s="21">
        <v>-0.14274290000000001</v>
      </c>
      <c r="H937" s="21">
        <v>0.1122688</v>
      </c>
    </row>
    <row r="938" spans="1:8" x14ac:dyDescent="0.15">
      <c r="A938" s="21">
        <v>1.8281249999999999E-2</v>
      </c>
      <c r="B938" s="21">
        <f t="shared" si="28"/>
        <v>0.13936100000000001</v>
      </c>
      <c r="D938">
        <f t="shared" si="29"/>
        <v>55.896729559748422</v>
      </c>
      <c r="G938" s="21">
        <v>-0.17775160000000001</v>
      </c>
      <c r="H938" s="21">
        <v>0.13936100000000001</v>
      </c>
    </row>
    <row r="939" spans="1:8" x14ac:dyDescent="0.15">
      <c r="A939" s="21">
        <v>1.8300779999999999E-2</v>
      </c>
      <c r="B939" s="21">
        <f t="shared" si="28"/>
        <v>0.16482869999999999</v>
      </c>
      <c r="D939">
        <f t="shared" si="29"/>
        <v>66.167704402515724</v>
      </c>
      <c r="G939" s="21">
        <v>-0.2104133</v>
      </c>
      <c r="H939" s="21">
        <v>0.16482869999999999</v>
      </c>
    </row>
    <row r="940" spans="1:8" x14ac:dyDescent="0.15">
      <c r="A940" s="21">
        <v>1.8320309999999999E-2</v>
      </c>
      <c r="B940" s="21">
        <f t="shared" si="28"/>
        <v>0.18721119999999999</v>
      </c>
      <c r="D940">
        <f t="shared" si="29"/>
        <v>75.149748427672961</v>
      </c>
      <c r="G940" s="21">
        <v>-0.2389762</v>
      </c>
      <c r="H940" s="21">
        <v>0.18721119999999999</v>
      </c>
    </row>
    <row r="941" spans="1:8" x14ac:dyDescent="0.15">
      <c r="A941" s="21">
        <v>1.833984E-2</v>
      </c>
      <c r="B941" s="21">
        <f t="shared" si="28"/>
        <v>0.20723539999999999</v>
      </c>
      <c r="D941">
        <f t="shared" si="29"/>
        <v>83.239842767295585</v>
      </c>
      <c r="G941" s="21">
        <v>-0.26470270000000001</v>
      </c>
      <c r="H941" s="21">
        <v>0.20723539999999999</v>
      </c>
    </row>
    <row r="942" spans="1:8" x14ac:dyDescent="0.15">
      <c r="A942" s="21">
        <v>1.8359380000000002E-2</v>
      </c>
      <c r="B942" s="21">
        <f t="shared" si="28"/>
        <v>0.22324350000000001</v>
      </c>
      <c r="D942">
        <f t="shared" si="29"/>
        <v>89.637987421383627</v>
      </c>
      <c r="G942" s="21">
        <v>-0.28504879999999999</v>
      </c>
      <c r="H942" s="21">
        <v>0.22324350000000001</v>
      </c>
    </row>
    <row r="943" spans="1:8" x14ac:dyDescent="0.15">
      <c r="A943" s="21">
        <v>1.8378909999999998E-2</v>
      </c>
      <c r="B943" s="21">
        <f t="shared" si="28"/>
        <v>0.23537069999999999</v>
      </c>
      <c r="D943">
        <f t="shared" si="29"/>
        <v>94.675314465408803</v>
      </c>
      <c r="G943" s="21">
        <v>-0.30106749999999999</v>
      </c>
      <c r="H943" s="21">
        <v>0.23537069999999999</v>
      </c>
    </row>
    <row r="944" spans="1:8" x14ac:dyDescent="0.15">
      <c r="A944" s="21">
        <v>1.8398439999999999E-2</v>
      </c>
      <c r="B944" s="21">
        <f t="shared" si="28"/>
        <v>0.2455562</v>
      </c>
      <c r="D944">
        <f t="shared" si="29"/>
        <v>98.86040880503144</v>
      </c>
      <c r="G944" s="21">
        <v>-0.31437609999999999</v>
      </c>
      <c r="H944" s="21">
        <v>0.2455562</v>
      </c>
    </row>
    <row r="945" spans="1:8" x14ac:dyDescent="0.15">
      <c r="A945" s="21">
        <v>1.8417969999999999E-2</v>
      </c>
      <c r="B945" s="21">
        <f t="shared" si="28"/>
        <v>0.25179180000000001</v>
      </c>
      <c r="D945">
        <f t="shared" si="29"/>
        <v>101.31317610062894</v>
      </c>
      <c r="G945" s="21">
        <v>-0.32217590000000002</v>
      </c>
      <c r="H945" s="21">
        <v>0.25179180000000001</v>
      </c>
    </row>
    <row r="946" spans="1:8" x14ac:dyDescent="0.15">
      <c r="A946" s="21">
        <v>1.8437499999999999E-2</v>
      </c>
      <c r="B946" s="21">
        <f t="shared" si="28"/>
        <v>0.25404539999999998</v>
      </c>
      <c r="D946">
        <f t="shared" si="29"/>
        <v>102.29333333333332</v>
      </c>
      <c r="G946" s="21">
        <v>-0.32529279999999999</v>
      </c>
      <c r="H946" s="21">
        <v>0.25404539999999998</v>
      </c>
    </row>
    <row r="947" spans="1:8" x14ac:dyDescent="0.15">
      <c r="A947" s="21">
        <v>1.8457029999999999E-2</v>
      </c>
      <c r="B947" s="21">
        <f t="shared" si="28"/>
        <v>0.25288569999999999</v>
      </c>
      <c r="D947">
        <f t="shared" si="29"/>
        <v>101.83371069182388</v>
      </c>
      <c r="G947" s="21">
        <v>-0.32383119999999999</v>
      </c>
      <c r="H947" s="21">
        <v>0.25288569999999999</v>
      </c>
    </row>
    <row r="948" spans="1:8" x14ac:dyDescent="0.15">
      <c r="A948" s="21">
        <v>1.847656E-2</v>
      </c>
      <c r="B948" s="21">
        <f t="shared" si="28"/>
        <v>0.24688370000000001</v>
      </c>
      <c r="D948">
        <f t="shared" si="29"/>
        <v>99.485125786163522</v>
      </c>
      <c r="G948" s="21">
        <v>-0.3163627</v>
      </c>
      <c r="H948" s="21">
        <v>0.24688370000000001</v>
      </c>
    </row>
    <row r="949" spans="1:8" x14ac:dyDescent="0.15">
      <c r="A949" s="21">
        <v>1.849609E-2</v>
      </c>
      <c r="B949" s="21">
        <f t="shared" si="28"/>
        <v>0.2376114</v>
      </c>
      <c r="D949">
        <f t="shared" si="29"/>
        <v>95.87691823899371</v>
      </c>
      <c r="G949" s="21">
        <v>-0.30488860000000001</v>
      </c>
      <c r="H949" s="21">
        <v>0.2376114</v>
      </c>
    </row>
    <row r="950" spans="1:8" x14ac:dyDescent="0.15">
      <c r="A950" s="21">
        <v>1.8515630000000002E-2</v>
      </c>
      <c r="B950" s="21">
        <f t="shared" si="28"/>
        <v>0.22539110000000001</v>
      </c>
      <c r="D950">
        <f t="shared" si="29"/>
        <v>90.95355345911949</v>
      </c>
      <c r="G950" s="21">
        <v>-0.2892323</v>
      </c>
      <c r="H950" s="21">
        <v>0.22539110000000001</v>
      </c>
    </row>
    <row r="951" spans="1:8" x14ac:dyDescent="0.15">
      <c r="A951" s="21">
        <v>1.8535159999999998E-2</v>
      </c>
      <c r="B951" s="21">
        <f t="shared" si="28"/>
        <v>0.20955960000000001</v>
      </c>
      <c r="D951">
        <f t="shared" si="29"/>
        <v>84.605220125786161</v>
      </c>
      <c r="G951" s="21">
        <v>-0.26904460000000002</v>
      </c>
      <c r="H951" s="21">
        <v>0.20955960000000001</v>
      </c>
    </row>
    <row r="952" spans="1:8" x14ac:dyDescent="0.15">
      <c r="A952" s="21">
        <v>1.8554689999999999E-2</v>
      </c>
      <c r="B952" s="21">
        <f t="shared" si="28"/>
        <v>0.1910471</v>
      </c>
      <c r="D952">
        <f t="shared" si="29"/>
        <v>77.242232704402511</v>
      </c>
      <c r="G952" s="21">
        <v>-0.2456303</v>
      </c>
      <c r="H952" s="21">
        <v>0.1910471</v>
      </c>
    </row>
    <row r="953" spans="1:8" x14ac:dyDescent="0.15">
      <c r="A953" s="21">
        <v>1.8574219999999999E-2</v>
      </c>
      <c r="B953" s="21">
        <f t="shared" si="28"/>
        <v>0.16885040000000001</v>
      </c>
      <c r="D953">
        <f t="shared" si="29"/>
        <v>68.419874213836479</v>
      </c>
      <c r="G953" s="21">
        <v>-0.2175752</v>
      </c>
      <c r="H953" s="21">
        <v>0.16885040000000001</v>
      </c>
    </row>
    <row r="954" spans="1:8" x14ac:dyDescent="0.15">
      <c r="A954" s="21">
        <v>1.8593749999999999E-2</v>
      </c>
      <c r="B954" s="21">
        <f t="shared" si="28"/>
        <v>0.1433683</v>
      </c>
      <c r="D954">
        <f t="shared" si="29"/>
        <v>58.299559748427669</v>
      </c>
      <c r="G954" s="21">
        <v>-0.18539259999999999</v>
      </c>
      <c r="H954" s="21">
        <v>0.1433683</v>
      </c>
    </row>
    <row r="955" spans="1:8" x14ac:dyDescent="0.15">
      <c r="A955" s="21">
        <v>1.8613279999999999E-2</v>
      </c>
      <c r="B955" s="21">
        <f t="shared" si="28"/>
        <v>0.11637649999999999</v>
      </c>
      <c r="D955">
        <f t="shared" si="29"/>
        <v>47.558836477987427</v>
      </c>
      <c r="G955" s="21">
        <v>-0.15123710000000001</v>
      </c>
      <c r="H955" s="21">
        <v>0.11637649999999999</v>
      </c>
    </row>
    <row r="956" spans="1:8" x14ac:dyDescent="0.15">
      <c r="A956" s="21">
        <v>1.863281E-2</v>
      </c>
      <c r="B956" s="21">
        <f t="shared" si="28"/>
        <v>8.7638499999999994E-2</v>
      </c>
      <c r="D956">
        <f t="shared" si="29"/>
        <v>36.064685534591192</v>
      </c>
      <c r="G956" s="21">
        <v>-0.1146857</v>
      </c>
      <c r="H956" s="21">
        <v>8.7638499999999994E-2</v>
      </c>
    </row>
    <row r="957" spans="1:8" x14ac:dyDescent="0.15">
      <c r="A957" s="21">
        <v>1.865234E-2</v>
      </c>
      <c r="B957" s="21">
        <f t="shared" si="28"/>
        <v>5.7757040000000003E-2</v>
      </c>
      <c r="D957">
        <f t="shared" si="29"/>
        <v>24.118503144654088</v>
      </c>
      <c r="G957" s="21">
        <v>-7.6696840000000002E-2</v>
      </c>
      <c r="H957" s="21">
        <v>5.7757040000000003E-2</v>
      </c>
    </row>
    <row r="958" spans="1:8" x14ac:dyDescent="0.15">
      <c r="A958" s="21">
        <v>1.8671879999999998E-2</v>
      </c>
      <c r="B958" s="21">
        <f t="shared" si="28"/>
        <v>2.706008E-2</v>
      </c>
      <c r="D958">
        <f t="shared" si="29"/>
        <v>11.886864779874212</v>
      </c>
      <c r="G958" s="21">
        <v>-3.7800229999999997E-2</v>
      </c>
      <c r="H958" s="21">
        <v>2.706008E-2</v>
      </c>
    </row>
    <row r="959" spans="1:8" x14ac:dyDescent="0.15">
      <c r="A959" s="21">
        <v>1.8691409999999999E-2</v>
      </c>
      <c r="B959" s="21">
        <f t="shared" si="28"/>
        <v>-4.7711259999999997E-3</v>
      </c>
      <c r="D959">
        <f t="shared" si="29"/>
        <v>-0.86485786163522005</v>
      </c>
      <c r="G959" s="21">
        <v>2.7502479999999998E-3</v>
      </c>
      <c r="H959" s="21">
        <v>-4.7711259999999997E-3</v>
      </c>
    </row>
    <row r="960" spans="1:8" x14ac:dyDescent="0.15">
      <c r="A960" s="21">
        <v>1.8710939999999999E-2</v>
      </c>
      <c r="B960" s="21">
        <f t="shared" si="28"/>
        <v>-3.6092430000000002E-2</v>
      </c>
      <c r="D960">
        <f t="shared" si="29"/>
        <v>-13.400849056603773</v>
      </c>
      <c r="G960" s="21">
        <v>4.2614699999999998E-2</v>
      </c>
      <c r="H960" s="21">
        <v>-3.6092430000000002E-2</v>
      </c>
    </row>
    <row r="961" spans="1:8" x14ac:dyDescent="0.15">
      <c r="A961" s="21">
        <v>1.8730469999999999E-2</v>
      </c>
      <c r="B961" s="21">
        <f t="shared" si="28"/>
        <v>-6.6686960000000003E-2</v>
      </c>
      <c r="D961">
        <f t="shared" si="29"/>
        <v>-25.618110062893081</v>
      </c>
      <c r="G961" s="21">
        <v>8.1465590000000004E-2</v>
      </c>
      <c r="H961" s="21">
        <v>-6.6686960000000003E-2</v>
      </c>
    </row>
    <row r="962" spans="1:8" x14ac:dyDescent="0.15">
      <c r="A962" s="21">
        <v>1.8749999999999999E-2</v>
      </c>
      <c r="B962" s="21">
        <f t="shared" ref="B962:B1025" si="30">H962</f>
        <v>-9.6882889999999999E-2</v>
      </c>
      <c r="D962">
        <f t="shared" ref="D962:D1025" si="31">G962*-1000/3.18</f>
        <v>-37.742012578616347</v>
      </c>
      <c r="G962" s="21">
        <v>0.1200196</v>
      </c>
      <c r="H962" s="21">
        <v>-9.6882889999999999E-2</v>
      </c>
    </row>
    <row r="963" spans="1:8" x14ac:dyDescent="0.15">
      <c r="A963" s="21">
        <v>1.876953E-2</v>
      </c>
      <c r="B963" s="21">
        <f t="shared" si="30"/>
        <v>-0.1247452</v>
      </c>
      <c r="D963">
        <f t="shared" si="31"/>
        <v>-48.885723270440252</v>
      </c>
      <c r="G963" s="21">
        <v>0.1554566</v>
      </c>
      <c r="H963" s="21">
        <v>-0.1247452</v>
      </c>
    </row>
    <row r="964" spans="1:8" x14ac:dyDescent="0.15">
      <c r="A964" s="21">
        <v>1.878906E-2</v>
      </c>
      <c r="B964" s="21">
        <f t="shared" si="30"/>
        <v>-0.15031890000000001</v>
      </c>
      <c r="D964">
        <f t="shared" si="31"/>
        <v>-59.120345911949684</v>
      </c>
      <c r="G964" s="21">
        <v>0.18800269999999999</v>
      </c>
      <c r="H964" s="21">
        <v>-0.15031890000000001</v>
      </c>
    </row>
    <row r="965" spans="1:8" x14ac:dyDescent="0.15">
      <c r="A965" s="21">
        <v>1.880859E-2</v>
      </c>
      <c r="B965" s="21">
        <f t="shared" si="30"/>
        <v>-0.17449100000000001</v>
      </c>
      <c r="D965">
        <f t="shared" si="31"/>
        <v>-68.899402515723267</v>
      </c>
      <c r="G965" s="21">
        <v>0.21910009999999999</v>
      </c>
      <c r="H965" s="21">
        <v>-0.17449100000000001</v>
      </c>
    </row>
    <row r="966" spans="1:8" x14ac:dyDescent="0.15">
      <c r="A966" s="21">
        <v>1.8828129999999998E-2</v>
      </c>
      <c r="B966" s="21">
        <f t="shared" si="30"/>
        <v>-0.19610749999999999</v>
      </c>
      <c r="D966">
        <f t="shared" si="31"/>
        <v>-77.635314465408797</v>
      </c>
      <c r="G966" s="21">
        <v>0.2468803</v>
      </c>
      <c r="H966" s="21">
        <v>-0.19610749999999999</v>
      </c>
    </row>
    <row r="967" spans="1:8" x14ac:dyDescent="0.15">
      <c r="A967" s="21">
        <v>1.8847659999999999E-2</v>
      </c>
      <c r="B967" s="21">
        <f t="shared" si="30"/>
        <v>-0.2145001</v>
      </c>
      <c r="D967">
        <f t="shared" si="31"/>
        <v>-85.000251572327031</v>
      </c>
      <c r="G967" s="21">
        <v>0.27030080000000001</v>
      </c>
      <c r="H967" s="21">
        <v>-0.2145001</v>
      </c>
    </row>
    <row r="968" spans="1:8" x14ac:dyDescent="0.15">
      <c r="A968" s="21">
        <v>1.8867189999999999E-2</v>
      </c>
      <c r="B968" s="21">
        <f t="shared" si="30"/>
        <v>-0.2293231</v>
      </c>
      <c r="D968">
        <f t="shared" si="31"/>
        <v>-91.010440251572305</v>
      </c>
      <c r="G968" s="21">
        <v>0.28941319999999998</v>
      </c>
      <c r="H968" s="21">
        <v>-0.2293231</v>
      </c>
    </row>
    <row r="969" spans="1:8" x14ac:dyDescent="0.15">
      <c r="A969" s="21">
        <v>1.8886719999999999E-2</v>
      </c>
      <c r="B969" s="21">
        <f t="shared" si="30"/>
        <v>-0.24068210000000001</v>
      </c>
      <c r="D969">
        <f t="shared" si="31"/>
        <v>-95.7109748427673</v>
      </c>
      <c r="G969" s="21">
        <v>0.30436089999999999</v>
      </c>
      <c r="H969" s="21">
        <v>-0.24068210000000001</v>
      </c>
    </row>
    <row r="970" spans="1:8" x14ac:dyDescent="0.15">
      <c r="A970" s="21">
        <v>1.8906249999999999E-2</v>
      </c>
      <c r="B970" s="21">
        <f t="shared" si="30"/>
        <v>-0.24908549999999999</v>
      </c>
      <c r="D970">
        <f t="shared" si="31"/>
        <v>-99.119905660377356</v>
      </c>
      <c r="G970" s="21">
        <v>0.31520130000000002</v>
      </c>
      <c r="H970" s="21">
        <v>-0.24908549999999999</v>
      </c>
    </row>
    <row r="971" spans="1:8" x14ac:dyDescent="0.15">
      <c r="A971" s="21">
        <v>1.892578E-2</v>
      </c>
      <c r="B971" s="21">
        <f t="shared" si="30"/>
        <v>-0.25375730000000002</v>
      </c>
      <c r="D971">
        <f t="shared" si="31"/>
        <v>-101.05166666666668</v>
      </c>
      <c r="G971" s="21">
        <v>0.32134430000000003</v>
      </c>
      <c r="H971" s="21">
        <v>-0.25375730000000002</v>
      </c>
    </row>
    <row r="972" spans="1:8" x14ac:dyDescent="0.15">
      <c r="A972" s="21">
        <v>1.894531E-2</v>
      </c>
      <c r="B972" s="21">
        <f t="shared" si="30"/>
        <v>-0.25449139999999998</v>
      </c>
      <c r="D972">
        <f t="shared" si="31"/>
        <v>-101.47503144654088</v>
      </c>
      <c r="G972" s="21">
        <v>0.32269059999999999</v>
      </c>
      <c r="H972" s="21">
        <v>-0.25449139999999998</v>
      </c>
    </row>
    <row r="973" spans="1:8" x14ac:dyDescent="0.15">
      <c r="A973" s="21">
        <v>1.896484E-2</v>
      </c>
      <c r="B973" s="21">
        <f t="shared" si="30"/>
        <v>-0.25149450000000001</v>
      </c>
      <c r="D973">
        <f t="shared" si="31"/>
        <v>-100.38059748427673</v>
      </c>
      <c r="G973" s="21">
        <v>0.3192103</v>
      </c>
      <c r="H973" s="21">
        <v>-0.25149450000000001</v>
      </c>
    </row>
    <row r="974" spans="1:8" x14ac:dyDescent="0.15">
      <c r="A974" s="21">
        <v>1.8984379999999999E-2</v>
      </c>
      <c r="B974" s="21">
        <f t="shared" si="30"/>
        <v>-0.24437110000000001</v>
      </c>
      <c r="D974">
        <f t="shared" si="31"/>
        <v>-97.606320754716975</v>
      </c>
      <c r="G974" s="21">
        <v>0.3103881</v>
      </c>
      <c r="H974" s="21">
        <v>-0.24437110000000001</v>
      </c>
    </row>
    <row r="975" spans="1:8" x14ac:dyDescent="0.15">
      <c r="A975" s="21">
        <v>1.9003909999999999E-2</v>
      </c>
      <c r="B975" s="21">
        <f t="shared" si="30"/>
        <v>-0.2335293</v>
      </c>
      <c r="D975">
        <f t="shared" si="31"/>
        <v>-93.298679245283012</v>
      </c>
      <c r="G975" s="21">
        <v>0.2966898</v>
      </c>
      <c r="H975" s="21">
        <v>-0.2335293</v>
      </c>
    </row>
    <row r="976" spans="1:8" x14ac:dyDescent="0.15">
      <c r="A976" s="21">
        <v>1.9023439999999999E-2</v>
      </c>
      <c r="B976" s="21">
        <f t="shared" si="30"/>
        <v>-0.21964410000000001</v>
      </c>
      <c r="D976">
        <f t="shared" si="31"/>
        <v>-87.882075471698116</v>
      </c>
      <c r="G976" s="21">
        <v>0.27946500000000002</v>
      </c>
      <c r="H976" s="21">
        <v>-0.21964410000000001</v>
      </c>
    </row>
    <row r="977" spans="1:8" x14ac:dyDescent="0.15">
      <c r="A977" s="21">
        <v>1.9042969999999999E-2</v>
      </c>
      <c r="B977" s="21">
        <f t="shared" si="30"/>
        <v>-0.2030139</v>
      </c>
      <c r="D977">
        <f t="shared" si="31"/>
        <v>-81.289528301886804</v>
      </c>
      <c r="G977" s="21">
        <v>0.25850070000000003</v>
      </c>
      <c r="H977" s="21">
        <v>-0.2030139</v>
      </c>
    </row>
    <row r="978" spans="1:8" x14ac:dyDescent="0.15">
      <c r="A978" s="21">
        <v>1.90625E-2</v>
      </c>
      <c r="B978" s="21">
        <f t="shared" si="30"/>
        <v>-0.18291479999999999</v>
      </c>
      <c r="D978">
        <f t="shared" si="31"/>
        <v>-73.178553459119485</v>
      </c>
      <c r="G978" s="21">
        <v>0.23270779999999999</v>
      </c>
      <c r="H978" s="21">
        <v>-0.18291479999999999</v>
      </c>
    </row>
    <row r="979" spans="1:8" x14ac:dyDescent="0.15">
      <c r="A979" s="21">
        <v>1.908203E-2</v>
      </c>
      <c r="B979" s="21">
        <f t="shared" si="30"/>
        <v>-0.15915670000000001</v>
      </c>
      <c r="D979">
        <f t="shared" si="31"/>
        <v>-63.747484276729558</v>
      </c>
      <c r="G979" s="21">
        <v>0.20271700000000001</v>
      </c>
      <c r="H979" s="21">
        <v>-0.15915670000000001</v>
      </c>
    </row>
    <row r="980" spans="1:8" x14ac:dyDescent="0.15">
      <c r="A980" s="21">
        <v>1.910156E-2</v>
      </c>
      <c r="B980" s="21">
        <f t="shared" si="30"/>
        <v>-0.1333366</v>
      </c>
      <c r="D980">
        <f t="shared" si="31"/>
        <v>-53.512327044025149</v>
      </c>
      <c r="G980" s="21">
        <v>0.17016919999999999</v>
      </c>
      <c r="H980" s="21">
        <v>-0.1333366</v>
      </c>
    </row>
    <row r="981" spans="1:8" x14ac:dyDescent="0.15">
      <c r="A981" s="21">
        <v>1.912109E-2</v>
      </c>
      <c r="B981" s="21">
        <f t="shared" si="30"/>
        <v>-0.1055914</v>
      </c>
      <c r="D981">
        <f t="shared" si="31"/>
        <v>-42.449622641509436</v>
      </c>
      <c r="G981" s="21">
        <v>0.13498979999999999</v>
      </c>
      <c r="H981" s="21">
        <v>-0.1055914</v>
      </c>
    </row>
    <row r="982" spans="1:8" x14ac:dyDescent="0.15">
      <c r="A982" s="21">
        <v>1.9140629999999999E-2</v>
      </c>
      <c r="B982" s="21">
        <f t="shared" si="30"/>
        <v>-7.604089E-2</v>
      </c>
      <c r="D982">
        <f t="shared" si="31"/>
        <v>-30.619040880503142</v>
      </c>
      <c r="G982" s="21">
        <v>9.7368549999999998E-2</v>
      </c>
      <c r="H982" s="21">
        <v>-7.604089E-2</v>
      </c>
    </row>
    <row r="983" spans="1:8" x14ac:dyDescent="0.15">
      <c r="A983" s="21">
        <v>1.9160159999999999E-2</v>
      </c>
      <c r="B983" s="21">
        <f t="shared" si="30"/>
        <v>-4.6139039999999999E-2</v>
      </c>
      <c r="D983">
        <f t="shared" si="31"/>
        <v>-18.664761006289307</v>
      </c>
      <c r="G983" s="21">
        <v>5.9353940000000001E-2</v>
      </c>
      <c r="H983" s="21">
        <v>-4.6139039999999999E-2</v>
      </c>
    </row>
    <row r="984" spans="1:8" x14ac:dyDescent="0.15">
      <c r="A984" s="21">
        <v>1.9179689999999999E-2</v>
      </c>
      <c r="B984" s="21">
        <f t="shared" si="30"/>
        <v>-1.5282469999999999E-2</v>
      </c>
      <c r="D984">
        <f t="shared" si="31"/>
        <v>-6.2971289308176095</v>
      </c>
      <c r="G984" s="21">
        <v>2.002487E-2</v>
      </c>
      <c r="H984" s="21">
        <v>-1.5282469999999999E-2</v>
      </c>
    </row>
    <row r="985" spans="1:8" x14ac:dyDescent="0.15">
      <c r="A985" s="21">
        <v>1.9199219999999999E-2</v>
      </c>
      <c r="B985" s="21">
        <f t="shared" si="30"/>
        <v>1.6945189999999999E-2</v>
      </c>
      <c r="D985">
        <f t="shared" si="31"/>
        <v>6.7020188679245276</v>
      </c>
      <c r="G985" s="21">
        <v>-2.1312419999999999E-2</v>
      </c>
      <c r="H985" s="21">
        <v>1.6945189999999999E-2</v>
      </c>
    </row>
    <row r="986" spans="1:8" x14ac:dyDescent="0.15">
      <c r="A986" s="21">
        <v>1.921875E-2</v>
      </c>
      <c r="B986" s="21">
        <f t="shared" si="30"/>
        <v>4.8458080000000001E-2</v>
      </c>
      <c r="D986">
        <f t="shared" si="31"/>
        <v>19.286572327044023</v>
      </c>
      <c r="G986" s="21">
        <v>-6.1331299999999998E-2</v>
      </c>
      <c r="H986" s="21">
        <v>4.8458080000000001E-2</v>
      </c>
    </row>
    <row r="987" spans="1:8" x14ac:dyDescent="0.15">
      <c r="A987" s="21">
        <v>1.923828E-2</v>
      </c>
      <c r="B987" s="21">
        <f t="shared" si="30"/>
        <v>7.841919E-2</v>
      </c>
      <c r="D987">
        <f t="shared" si="31"/>
        <v>31.270915094339617</v>
      </c>
      <c r="G987" s="21">
        <v>-9.9441509999999997E-2</v>
      </c>
      <c r="H987" s="21">
        <v>7.841919E-2</v>
      </c>
    </row>
    <row r="988" spans="1:8" x14ac:dyDescent="0.15">
      <c r="A988" s="21">
        <v>1.925781E-2</v>
      </c>
      <c r="B988" s="21">
        <f t="shared" si="30"/>
        <v>0.10735409999999999</v>
      </c>
      <c r="D988">
        <f t="shared" si="31"/>
        <v>42.971698113207545</v>
      </c>
      <c r="G988" s="21">
        <v>-0.13664999999999999</v>
      </c>
      <c r="H988" s="21">
        <v>0.10735409999999999</v>
      </c>
    </row>
    <row r="989" spans="1:8" x14ac:dyDescent="0.15">
      <c r="A989" s="21">
        <v>1.927734E-2</v>
      </c>
      <c r="B989" s="21">
        <f t="shared" si="30"/>
        <v>0.13460610000000001</v>
      </c>
      <c r="D989">
        <f t="shared" si="31"/>
        <v>53.994968553459117</v>
      </c>
      <c r="G989" s="21">
        <v>-0.171704</v>
      </c>
      <c r="H989" s="21">
        <v>0.13460610000000001</v>
      </c>
    </row>
    <row r="990" spans="1:8" x14ac:dyDescent="0.15">
      <c r="A990" s="21">
        <v>1.9296879999999999E-2</v>
      </c>
      <c r="B990" s="21">
        <f t="shared" si="30"/>
        <v>0.15971250000000001</v>
      </c>
      <c r="D990">
        <f t="shared" si="31"/>
        <v>64.101666666666659</v>
      </c>
      <c r="G990" s="21">
        <v>-0.20384330000000001</v>
      </c>
      <c r="H990" s="21">
        <v>0.15971250000000001</v>
      </c>
    </row>
    <row r="991" spans="1:8" x14ac:dyDescent="0.15">
      <c r="A991" s="21">
        <v>1.9316409999999999E-2</v>
      </c>
      <c r="B991" s="21">
        <f t="shared" si="30"/>
        <v>0.18269560000000001</v>
      </c>
      <c r="D991">
        <f t="shared" si="31"/>
        <v>73.261698113207544</v>
      </c>
      <c r="G991" s="21">
        <v>-0.23297219999999999</v>
      </c>
      <c r="H991" s="21">
        <v>0.18269560000000001</v>
      </c>
    </row>
    <row r="992" spans="1:8" x14ac:dyDescent="0.15">
      <c r="A992" s="21">
        <v>1.9335939999999999E-2</v>
      </c>
      <c r="B992" s="21">
        <f t="shared" si="30"/>
        <v>0.20324449999999999</v>
      </c>
      <c r="D992">
        <f t="shared" si="31"/>
        <v>81.574779874213831</v>
      </c>
      <c r="G992" s="21">
        <v>-0.25940780000000002</v>
      </c>
      <c r="H992" s="21">
        <v>0.20324449999999999</v>
      </c>
    </row>
    <row r="993" spans="1:8" x14ac:dyDescent="0.15">
      <c r="A993" s="21">
        <v>1.935547E-2</v>
      </c>
      <c r="B993" s="21">
        <f t="shared" si="30"/>
        <v>0.2204807</v>
      </c>
      <c r="D993">
        <f t="shared" si="31"/>
        <v>88.639528301886784</v>
      </c>
      <c r="G993" s="21">
        <v>-0.2818737</v>
      </c>
      <c r="H993" s="21">
        <v>0.2204807</v>
      </c>
    </row>
    <row r="994" spans="1:8" x14ac:dyDescent="0.15">
      <c r="A994" s="21">
        <v>1.9375E-2</v>
      </c>
      <c r="B994" s="21">
        <f t="shared" si="30"/>
        <v>0.23344999999999999</v>
      </c>
      <c r="D994">
        <f t="shared" si="31"/>
        <v>93.870817610062872</v>
      </c>
      <c r="G994" s="21">
        <v>-0.29850919999999997</v>
      </c>
      <c r="H994" s="21">
        <v>0.23344999999999999</v>
      </c>
    </row>
    <row r="995" spans="1:8" x14ac:dyDescent="0.15">
      <c r="A995" s="21">
        <v>1.939453E-2</v>
      </c>
      <c r="B995" s="21">
        <f t="shared" si="30"/>
        <v>0.24344830000000001</v>
      </c>
      <c r="D995">
        <f t="shared" si="31"/>
        <v>98.00383647798742</v>
      </c>
      <c r="G995" s="21">
        <v>-0.31165219999999999</v>
      </c>
      <c r="H995" s="21">
        <v>0.24344830000000001</v>
      </c>
    </row>
    <row r="996" spans="1:8" x14ac:dyDescent="0.15">
      <c r="A996" s="21">
        <v>1.941406E-2</v>
      </c>
      <c r="B996" s="21">
        <f t="shared" si="30"/>
        <v>0.25076080000000001</v>
      </c>
      <c r="D996">
        <f t="shared" si="31"/>
        <v>101.04430817610063</v>
      </c>
      <c r="G996" s="21">
        <v>-0.32132090000000002</v>
      </c>
      <c r="H996" s="21">
        <v>0.25076080000000001</v>
      </c>
    </row>
    <row r="997" spans="1:8" x14ac:dyDescent="0.15">
      <c r="A997" s="21">
        <v>1.9433590000000001E-2</v>
      </c>
      <c r="B997" s="21">
        <f t="shared" si="30"/>
        <v>0.25355179999999999</v>
      </c>
      <c r="D997">
        <f t="shared" si="31"/>
        <v>102.08386792452829</v>
      </c>
      <c r="G997" s="21">
        <v>-0.32462669999999999</v>
      </c>
      <c r="H997" s="21">
        <v>0.25355179999999999</v>
      </c>
    </row>
    <row r="998" spans="1:8" x14ac:dyDescent="0.15">
      <c r="A998" s="21">
        <v>1.9453129999999999E-2</v>
      </c>
      <c r="B998" s="21">
        <f t="shared" si="30"/>
        <v>0.25261220000000001</v>
      </c>
      <c r="D998">
        <f t="shared" si="31"/>
        <v>101.7620754716981</v>
      </c>
      <c r="G998" s="21">
        <v>-0.32360339999999999</v>
      </c>
      <c r="H998" s="21">
        <v>0.25261220000000001</v>
      </c>
    </row>
    <row r="999" spans="1:8" x14ac:dyDescent="0.15">
      <c r="A999" s="21">
        <v>1.9472659999999999E-2</v>
      </c>
      <c r="B999" s="21">
        <f t="shared" si="30"/>
        <v>0.2482896</v>
      </c>
      <c r="D999">
        <f t="shared" si="31"/>
        <v>100.14738993710692</v>
      </c>
      <c r="G999" s="21">
        <v>-0.31846869999999999</v>
      </c>
      <c r="H999" s="21">
        <v>0.2482896</v>
      </c>
    </row>
    <row r="1000" spans="1:8" x14ac:dyDescent="0.15">
      <c r="A1000" s="21">
        <v>1.949219E-2</v>
      </c>
      <c r="B1000" s="21">
        <f t="shared" si="30"/>
        <v>0.23971439999999999</v>
      </c>
      <c r="D1000">
        <f t="shared" si="31"/>
        <v>96.706981132075455</v>
      </c>
      <c r="G1000" s="21">
        <v>-0.30752819999999997</v>
      </c>
      <c r="H1000" s="21">
        <v>0.23971439999999999</v>
      </c>
    </row>
    <row r="1001" spans="1:8" x14ac:dyDescent="0.15">
      <c r="A1001" s="21">
        <v>1.951172E-2</v>
      </c>
      <c r="B1001" s="21">
        <f t="shared" si="30"/>
        <v>0.227882</v>
      </c>
      <c r="D1001">
        <f t="shared" si="31"/>
        <v>92.016792452830188</v>
      </c>
      <c r="G1001" s="21">
        <v>-0.29261340000000002</v>
      </c>
      <c r="H1001" s="21">
        <v>0.227882</v>
      </c>
    </row>
    <row r="1002" spans="1:8" x14ac:dyDescent="0.15">
      <c r="A1002" s="21">
        <v>1.953125E-2</v>
      </c>
      <c r="B1002" s="21">
        <f t="shared" si="30"/>
        <v>0.21291969999999999</v>
      </c>
      <c r="D1002">
        <f t="shared" si="31"/>
        <v>86.03327044025157</v>
      </c>
      <c r="G1002" s="21">
        <v>-0.27358579999999999</v>
      </c>
      <c r="H1002" s="21">
        <v>0.21291969999999999</v>
      </c>
    </row>
    <row r="1003" spans="1:8" x14ac:dyDescent="0.15">
      <c r="A1003" s="21">
        <v>1.955078E-2</v>
      </c>
      <c r="B1003" s="21">
        <f t="shared" si="30"/>
        <v>0.1944708</v>
      </c>
      <c r="D1003">
        <f t="shared" si="31"/>
        <v>78.652830188679246</v>
      </c>
      <c r="G1003" s="21">
        <v>-0.250116</v>
      </c>
      <c r="H1003" s="21">
        <v>0.1944708</v>
      </c>
    </row>
    <row r="1004" spans="1:8" x14ac:dyDescent="0.15">
      <c r="A1004" s="21">
        <v>1.957031E-2</v>
      </c>
      <c r="B1004" s="21">
        <f t="shared" si="30"/>
        <v>0.17284379999999999</v>
      </c>
      <c r="D1004">
        <f t="shared" si="31"/>
        <v>70.09298742138364</v>
      </c>
      <c r="G1004" s="21">
        <v>-0.2228957</v>
      </c>
      <c r="H1004" s="21">
        <v>0.17284379999999999</v>
      </c>
    </row>
    <row r="1005" spans="1:8" x14ac:dyDescent="0.15">
      <c r="A1005" s="21">
        <v>1.9589840000000001E-2</v>
      </c>
      <c r="B1005" s="21">
        <f t="shared" si="30"/>
        <v>0.1481556</v>
      </c>
      <c r="D1005">
        <f t="shared" si="31"/>
        <v>60.246886792452834</v>
      </c>
      <c r="G1005" s="21">
        <v>-0.19158510000000001</v>
      </c>
      <c r="H1005" s="21">
        <v>0.1481556</v>
      </c>
    </row>
    <row r="1006" spans="1:8" x14ac:dyDescent="0.15">
      <c r="A1006" s="21">
        <v>1.9609379999999999E-2</v>
      </c>
      <c r="B1006" s="21">
        <f t="shared" si="30"/>
        <v>0.1214997</v>
      </c>
      <c r="D1006">
        <f t="shared" si="31"/>
        <v>49.698647798742144</v>
      </c>
      <c r="G1006" s="21">
        <v>-0.15804170000000001</v>
      </c>
      <c r="H1006" s="21">
        <v>0.1214997</v>
      </c>
    </row>
    <row r="1007" spans="1:8" x14ac:dyDescent="0.15">
      <c r="A1007" s="21">
        <v>1.9628909999999999E-2</v>
      </c>
      <c r="B1007" s="21">
        <f t="shared" si="30"/>
        <v>9.3654130000000002E-2</v>
      </c>
      <c r="D1007">
        <f t="shared" si="31"/>
        <v>38.61</v>
      </c>
      <c r="G1007" s="21">
        <v>-0.12277979999999999</v>
      </c>
      <c r="H1007" s="21">
        <v>9.3654130000000002E-2</v>
      </c>
    </row>
    <row r="1008" spans="1:8" x14ac:dyDescent="0.15">
      <c r="A1008" s="21">
        <v>1.964844E-2</v>
      </c>
      <c r="B1008" s="21">
        <f t="shared" si="30"/>
        <v>6.3714800000000002E-2</v>
      </c>
      <c r="D1008">
        <f t="shared" si="31"/>
        <v>26.481883647798739</v>
      </c>
      <c r="G1008" s="21">
        <v>-8.4212389999999998E-2</v>
      </c>
      <c r="H1008" s="21">
        <v>6.3714800000000002E-2</v>
      </c>
    </row>
    <row r="1009" spans="1:8" x14ac:dyDescent="0.15">
      <c r="A1009" s="21">
        <v>1.966797E-2</v>
      </c>
      <c r="B1009" s="21">
        <f t="shared" si="30"/>
        <v>3.2241930000000002E-2</v>
      </c>
      <c r="D1009">
        <f t="shared" si="31"/>
        <v>13.987031446540881</v>
      </c>
      <c r="G1009" s="21">
        <v>-4.4478759999999999E-2</v>
      </c>
      <c r="H1009" s="21">
        <v>3.2241930000000002E-2</v>
      </c>
    </row>
    <row r="1010" spans="1:8" x14ac:dyDescent="0.15">
      <c r="A1010" s="21">
        <v>1.96875E-2</v>
      </c>
      <c r="B1010" s="21">
        <f t="shared" si="30"/>
        <v>9.8879190000000002E-4</v>
      </c>
      <c r="D1010">
        <f t="shared" si="31"/>
        <v>1.6275783018867924</v>
      </c>
      <c r="G1010" s="21">
        <v>-5.1756989999999998E-3</v>
      </c>
      <c r="H1010" s="21">
        <v>9.8879190000000002E-4</v>
      </c>
    </row>
    <row r="1011" spans="1:8" x14ac:dyDescent="0.15">
      <c r="A1011" s="21">
        <v>1.970703E-2</v>
      </c>
      <c r="B1011" s="21">
        <f t="shared" si="30"/>
        <v>-3.0592459999999998E-2</v>
      </c>
      <c r="D1011">
        <f t="shared" si="31"/>
        <v>-11.096496855345913</v>
      </c>
      <c r="G1011" s="21">
        <v>3.5286860000000003E-2</v>
      </c>
      <c r="H1011" s="21">
        <v>-3.0592459999999998E-2</v>
      </c>
    </row>
    <row r="1012" spans="1:8" x14ac:dyDescent="0.15">
      <c r="A1012" s="21">
        <v>1.9726560000000001E-2</v>
      </c>
      <c r="B1012" s="21">
        <f t="shared" si="30"/>
        <v>-6.1734829999999997E-2</v>
      </c>
      <c r="D1012">
        <f t="shared" si="31"/>
        <v>-23.546591194968549</v>
      </c>
      <c r="G1012" s="21">
        <v>7.4878159999999999E-2</v>
      </c>
      <c r="H1012" s="21">
        <v>-6.1734829999999997E-2</v>
      </c>
    </row>
    <row r="1013" spans="1:8" x14ac:dyDescent="0.15">
      <c r="A1013" s="21">
        <v>1.9746090000000001E-2</v>
      </c>
      <c r="B1013" s="21">
        <f t="shared" si="30"/>
        <v>-9.0766760000000002E-2</v>
      </c>
      <c r="D1013">
        <f t="shared" si="31"/>
        <v>-35.123553459119492</v>
      </c>
      <c r="G1013" s="21">
        <v>0.1116929</v>
      </c>
      <c r="H1013" s="21">
        <v>-9.0766760000000002E-2</v>
      </c>
    </row>
    <row r="1014" spans="1:8" x14ac:dyDescent="0.15">
      <c r="A1014" s="21">
        <v>1.9765629999999999E-2</v>
      </c>
      <c r="B1014" s="21">
        <f t="shared" si="30"/>
        <v>-0.1191422</v>
      </c>
      <c r="D1014">
        <f t="shared" si="31"/>
        <v>-46.533427672955973</v>
      </c>
      <c r="G1014" s="21">
        <v>0.14797630000000001</v>
      </c>
      <c r="H1014" s="21">
        <v>-0.1191422</v>
      </c>
    </row>
    <row r="1015" spans="1:8" x14ac:dyDescent="0.15">
      <c r="A1015" s="21">
        <v>1.978516E-2</v>
      </c>
      <c r="B1015" s="21">
        <f t="shared" si="30"/>
        <v>-0.14633650000000001</v>
      </c>
      <c r="D1015">
        <f t="shared" si="31"/>
        <v>-57.47877358490566</v>
      </c>
      <c r="G1015" s="21">
        <v>0.18278249999999999</v>
      </c>
      <c r="H1015" s="21">
        <v>-0.14633650000000001</v>
      </c>
    </row>
    <row r="1016" spans="1:8" x14ac:dyDescent="0.15">
      <c r="A1016" s="21">
        <v>1.980469E-2</v>
      </c>
      <c r="B1016" s="21">
        <f t="shared" si="30"/>
        <v>-0.17070779999999999</v>
      </c>
      <c r="D1016">
        <f t="shared" si="31"/>
        <v>-67.302232704402513</v>
      </c>
      <c r="G1016" s="21">
        <v>0.21402109999999999</v>
      </c>
      <c r="H1016" s="21">
        <v>-0.17070779999999999</v>
      </c>
    </row>
    <row r="1017" spans="1:8" x14ac:dyDescent="0.15">
      <c r="A1017" s="21">
        <v>1.982422E-2</v>
      </c>
      <c r="B1017" s="21">
        <f t="shared" si="30"/>
        <v>-0.19277530000000001</v>
      </c>
      <c r="D1017">
        <f t="shared" si="31"/>
        <v>-76.155566037735852</v>
      </c>
      <c r="G1017" s="21">
        <v>0.24217469999999999</v>
      </c>
      <c r="H1017" s="21">
        <v>-0.19277530000000001</v>
      </c>
    </row>
    <row r="1018" spans="1:8" x14ac:dyDescent="0.15">
      <c r="A1018" s="21">
        <v>1.984375E-2</v>
      </c>
      <c r="B1018" s="21">
        <f t="shared" si="30"/>
        <v>-0.21171980000000001</v>
      </c>
      <c r="D1018">
        <f t="shared" si="31"/>
        <v>-83.800628930817609</v>
      </c>
      <c r="G1018" s="21">
        <v>0.266486</v>
      </c>
      <c r="H1018" s="21">
        <v>-0.21171980000000001</v>
      </c>
    </row>
    <row r="1019" spans="1:8" x14ac:dyDescent="0.15">
      <c r="A1019" s="21">
        <v>1.9863280000000001E-2</v>
      </c>
      <c r="B1019" s="21">
        <f t="shared" si="30"/>
        <v>-0.22696959999999999</v>
      </c>
      <c r="D1019">
        <f t="shared" si="31"/>
        <v>-90.027169811320761</v>
      </c>
      <c r="G1019" s="21">
        <v>0.2862864</v>
      </c>
      <c r="H1019" s="21">
        <v>-0.22696959999999999</v>
      </c>
    </row>
    <row r="1020" spans="1:8" x14ac:dyDescent="0.15">
      <c r="A1020" s="21">
        <v>1.9882810000000001E-2</v>
      </c>
      <c r="B1020" s="21">
        <f t="shared" si="30"/>
        <v>-0.23891999999999999</v>
      </c>
      <c r="D1020">
        <f t="shared" si="31"/>
        <v>-94.887295597484268</v>
      </c>
      <c r="G1020" s="21">
        <v>0.3017416</v>
      </c>
      <c r="H1020" s="21">
        <v>-0.23891999999999999</v>
      </c>
    </row>
    <row r="1021" spans="1:8" x14ac:dyDescent="0.15">
      <c r="A1021" s="21">
        <v>1.9902340000000001E-2</v>
      </c>
      <c r="B1021" s="21">
        <f t="shared" si="30"/>
        <v>-0.24786230000000001</v>
      </c>
      <c r="D1021">
        <f t="shared" si="31"/>
        <v>-98.593459119496842</v>
      </c>
      <c r="G1021" s="21">
        <v>0.31352720000000001</v>
      </c>
      <c r="H1021" s="21">
        <v>-0.24786230000000001</v>
      </c>
    </row>
    <row r="1022" spans="1:8" x14ac:dyDescent="0.15">
      <c r="A1022" s="21">
        <v>1.9921879999999999E-2</v>
      </c>
      <c r="B1022" s="21">
        <f t="shared" si="30"/>
        <v>-0.25388630000000001</v>
      </c>
      <c r="D1022">
        <f t="shared" si="31"/>
        <v>-101.13172955974842</v>
      </c>
      <c r="G1022" s="21">
        <v>0.32159890000000002</v>
      </c>
      <c r="H1022" s="21">
        <v>-0.25388630000000001</v>
      </c>
    </row>
    <row r="1023" spans="1:8" x14ac:dyDescent="0.15">
      <c r="A1023" s="21">
        <v>1.994141E-2</v>
      </c>
      <c r="B1023" s="21">
        <f t="shared" si="30"/>
        <v>-0.25534030000000002</v>
      </c>
      <c r="D1023">
        <f t="shared" si="31"/>
        <v>-101.71823899371068</v>
      </c>
      <c r="G1023" s="21">
        <v>0.32346399999999997</v>
      </c>
      <c r="H1023" s="21">
        <v>-0.25534030000000002</v>
      </c>
    </row>
    <row r="1024" spans="1:8" x14ac:dyDescent="0.15">
      <c r="A1024" s="21">
        <v>1.996094E-2</v>
      </c>
      <c r="B1024" s="21">
        <f t="shared" si="30"/>
        <v>-0.2524904</v>
      </c>
      <c r="D1024">
        <f t="shared" si="31"/>
        <v>-100.66364779874215</v>
      </c>
      <c r="G1024" s="21">
        <v>0.32011040000000002</v>
      </c>
      <c r="H1024" s="21">
        <v>-0.2524904</v>
      </c>
    </row>
    <row r="1025" spans="1:8" x14ac:dyDescent="0.15">
      <c r="A1025" s="21">
        <v>1.998047E-2</v>
      </c>
      <c r="B1025" s="21">
        <f t="shared" si="30"/>
        <v>-0.2465852</v>
      </c>
      <c r="D1025">
        <f t="shared" si="31"/>
        <v>-98.421981132075459</v>
      </c>
      <c r="G1025" s="21">
        <v>0.31298189999999998</v>
      </c>
      <c r="H1025" s="21">
        <v>-0.2465852</v>
      </c>
    </row>
    <row r="1026" spans="1:8" x14ac:dyDescent="0.15">
      <c r="A1026" s="21">
        <v>0.02</v>
      </c>
      <c r="B1026" s="21">
        <f t="shared" ref="B1026:B1089" si="32">H1026</f>
        <v>-0.23650789999999999</v>
      </c>
      <c r="D1026">
        <f t="shared" ref="D1026:D1089" si="33">G1026*-1000/3.18</f>
        <v>-94.420220125786145</v>
      </c>
      <c r="G1026" s="21">
        <v>0.30025629999999998</v>
      </c>
      <c r="H1026" s="21">
        <v>-0.23650789999999999</v>
      </c>
    </row>
    <row r="1027" spans="1:8" x14ac:dyDescent="0.15">
      <c r="A1027" s="21">
        <v>2.0019530000000001E-2</v>
      </c>
      <c r="B1027" s="21">
        <f t="shared" si="32"/>
        <v>-0.22311520000000001</v>
      </c>
      <c r="D1027">
        <f t="shared" si="33"/>
        <v>-89.163899371069178</v>
      </c>
      <c r="G1027" s="21">
        <v>0.28354119999999999</v>
      </c>
      <c r="H1027" s="21">
        <v>-0.22311520000000001</v>
      </c>
    </row>
    <row r="1028" spans="1:8" x14ac:dyDescent="0.15">
      <c r="A1028" s="21">
        <v>2.0039060000000001E-2</v>
      </c>
      <c r="B1028" s="21">
        <f t="shared" si="32"/>
        <v>-0.20720659999999999</v>
      </c>
      <c r="D1028">
        <f t="shared" si="33"/>
        <v>-82.839842767295593</v>
      </c>
      <c r="G1028" s="21">
        <v>0.26343070000000002</v>
      </c>
      <c r="H1028" s="21">
        <v>-0.20720659999999999</v>
      </c>
    </row>
    <row r="1029" spans="1:8" x14ac:dyDescent="0.15">
      <c r="A1029" s="21">
        <v>2.0058590000000001E-2</v>
      </c>
      <c r="B1029" s="21">
        <f t="shared" si="32"/>
        <v>-0.1874643</v>
      </c>
      <c r="D1029">
        <f t="shared" si="33"/>
        <v>-74.966792452830191</v>
      </c>
      <c r="G1029" s="21">
        <v>0.23839440000000001</v>
      </c>
      <c r="H1029" s="21">
        <v>-0.1874643</v>
      </c>
    </row>
    <row r="1030" spans="1:8" x14ac:dyDescent="0.15">
      <c r="A1030" s="21">
        <v>2.0078120000000001E-2</v>
      </c>
      <c r="B1030" s="21">
        <f t="shared" si="32"/>
        <v>-0.16448189999999999</v>
      </c>
      <c r="D1030">
        <f t="shared" si="33"/>
        <v>-65.844685534591193</v>
      </c>
      <c r="G1030" s="21">
        <v>0.20938609999999999</v>
      </c>
      <c r="H1030" s="21">
        <v>-0.16448189999999999</v>
      </c>
    </row>
    <row r="1031" spans="1:8" x14ac:dyDescent="0.15">
      <c r="A1031" s="21">
        <v>2.009766E-2</v>
      </c>
      <c r="B1031" s="21">
        <f t="shared" si="32"/>
        <v>-0.13899039999999999</v>
      </c>
      <c r="D1031">
        <f t="shared" si="33"/>
        <v>-55.649716981132066</v>
      </c>
      <c r="G1031" s="21">
        <v>0.17696609999999999</v>
      </c>
      <c r="H1031" s="21">
        <v>-0.13899039999999999</v>
      </c>
    </row>
    <row r="1032" spans="1:8" x14ac:dyDescent="0.15">
      <c r="A1032" s="21">
        <v>2.011719E-2</v>
      </c>
      <c r="B1032" s="21">
        <f t="shared" si="32"/>
        <v>-0.1113669</v>
      </c>
      <c r="D1032">
        <f t="shared" si="33"/>
        <v>-44.677515723270439</v>
      </c>
      <c r="G1032" s="21">
        <v>0.14207449999999999</v>
      </c>
      <c r="H1032" s="21">
        <v>-0.1113669</v>
      </c>
    </row>
    <row r="1033" spans="1:8" x14ac:dyDescent="0.15">
      <c r="A1033" s="21">
        <v>2.013672E-2</v>
      </c>
      <c r="B1033" s="21">
        <f t="shared" si="32"/>
        <v>-8.2580100000000004E-2</v>
      </c>
      <c r="D1033">
        <f t="shared" si="33"/>
        <v>-33.18191823899371</v>
      </c>
      <c r="G1033" s="21">
        <v>0.1055185</v>
      </c>
      <c r="H1033" s="21">
        <v>-8.2580100000000004E-2</v>
      </c>
    </row>
    <row r="1034" spans="1:8" x14ac:dyDescent="0.15">
      <c r="A1034" s="21">
        <v>2.0156250000000001E-2</v>
      </c>
      <c r="B1034" s="21">
        <f t="shared" si="32"/>
        <v>-5.2501619999999999E-2</v>
      </c>
      <c r="D1034">
        <f t="shared" si="33"/>
        <v>-21.081084905660372</v>
      </c>
      <c r="G1034" s="21">
        <v>6.7037849999999996E-2</v>
      </c>
      <c r="H1034" s="21">
        <v>-5.2501619999999999E-2</v>
      </c>
    </row>
    <row r="1035" spans="1:8" x14ac:dyDescent="0.15">
      <c r="A1035" s="21">
        <v>2.0175780000000001E-2</v>
      </c>
      <c r="B1035" s="21">
        <f t="shared" si="32"/>
        <v>-2.1213679999999999E-2</v>
      </c>
      <c r="D1035">
        <f t="shared" si="33"/>
        <v>-8.5552987421383655</v>
      </c>
      <c r="G1035" s="21">
        <v>2.720585E-2</v>
      </c>
      <c r="H1035" s="21">
        <v>-2.1213679999999999E-2</v>
      </c>
    </row>
    <row r="1036" spans="1:8" x14ac:dyDescent="0.15">
      <c r="A1036" s="21">
        <v>2.0195310000000001E-2</v>
      </c>
      <c r="B1036" s="21">
        <f t="shared" si="32"/>
        <v>1.051647E-2</v>
      </c>
      <c r="D1036">
        <f t="shared" si="33"/>
        <v>4.1175943396226415</v>
      </c>
      <c r="G1036" s="21">
        <v>-1.309395E-2</v>
      </c>
      <c r="H1036" s="21">
        <v>1.051647E-2</v>
      </c>
    </row>
    <row r="1037" spans="1:8" x14ac:dyDescent="0.15">
      <c r="A1037" s="21">
        <v>2.0214840000000001E-2</v>
      </c>
      <c r="B1037" s="21">
        <f t="shared" si="32"/>
        <v>4.2004159999999999E-2</v>
      </c>
      <c r="D1037">
        <f t="shared" si="33"/>
        <v>16.754213836477987</v>
      </c>
      <c r="G1037" s="21">
        <v>-5.3278399999999997E-2</v>
      </c>
      <c r="H1037" s="21">
        <v>4.2004159999999999E-2</v>
      </c>
    </row>
    <row r="1038" spans="1:8" x14ac:dyDescent="0.15">
      <c r="A1038" s="21">
        <v>2.0234370000000002E-2</v>
      </c>
      <c r="B1038" s="21">
        <f t="shared" si="32"/>
        <v>7.2555410000000001E-2</v>
      </c>
      <c r="D1038">
        <f t="shared" si="33"/>
        <v>29.072289308176096</v>
      </c>
      <c r="G1038" s="21">
        <v>-9.2449879999999998E-2</v>
      </c>
      <c r="H1038" s="21">
        <v>7.2555410000000001E-2</v>
      </c>
    </row>
    <row r="1039" spans="1:8" x14ac:dyDescent="0.15">
      <c r="A1039" s="21">
        <v>2.025391E-2</v>
      </c>
      <c r="B1039" s="21">
        <f t="shared" si="32"/>
        <v>0.1014647</v>
      </c>
      <c r="D1039">
        <f t="shared" si="33"/>
        <v>40.629402515723271</v>
      </c>
      <c r="G1039" s="21">
        <v>-0.1292015</v>
      </c>
      <c r="H1039" s="21">
        <v>0.1014647</v>
      </c>
    </row>
    <row r="1040" spans="1:8" x14ac:dyDescent="0.15">
      <c r="A1040" s="21">
        <v>2.027344E-2</v>
      </c>
      <c r="B1040" s="21">
        <f t="shared" si="32"/>
        <v>0.12878690000000001</v>
      </c>
      <c r="D1040">
        <f t="shared" si="33"/>
        <v>51.651761006289306</v>
      </c>
      <c r="G1040" s="21">
        <v>-0.1642526</v>
      </c>
      <c r="H1040" s="21">
        <v>0.12878690000000001</v>
      </c>
    </row>
    <row r="1041" spans="1:8" x14ac:dyDescent="0.15">
      <c r="A1041" s="21">
        <v>2.029297E-2</v>
      </c>
      <c r="B1041" s="21">
        <f t="shared" si="32"/>
        <v>0.1550648</v>
      </c>
      <c r="D1041">
        <f t="shared" si="33"/>
        <v>62.283710691823892</v>
      </c>
      <c r="G1041" s="21">
        <v>-0.19806219999999999</v>
      </c>
      <c r="H1041" s="21">
        <v>0.1550648</v>
      </c>
    </row>
    <row r="1042" spans="1:8" x14ac:dyDescent="0.15">
      <c r="A1042" s="21">
        <v>2.0312500000000001E-2</v>
      </c>
      <c r="B1042" s="21">
        <f t="shared" si="32"/>
        <v>0.1788583</v>
      </c>
      <c r="D1042">
        <f t="shared" si="33"/>
        <v>71.773553459119498</v>
      </c>
      <c r="G1042" s="21">
        <v>-0.2282399</v>
      </c>
      <c r="H1042" s="21">
        <v>0.1788583</v>
      </c>
    </row>
    <row r="1043" spans="1:8" x14ac:dyDescent="0.15">
      <c r="A1043" s="21">
        <v>2.0332030000000001E-2</v>
      </c>
      <c r="B1043" s="21">
        <f t="shared" si="32"/>
        <v>0.19940949999999999</v>
      </c>
      <c r="D1043">
        <f t="shared" si="33"/>
        <v>80.075345911949697</v>
      </c>
      <c r="G1043" s="21">
        <v>-0.25463960000000002</v>
      </c>
      <c r="H1043" s="21">
        <v>0.19940949999999999</v>
      </c>
    </row>
    <row r="1044" spans="1:8" x14ac:dyDescent="0.15">
      <c r="A1044" s="21">
        <v>2.0351560000000001E-2</v>
      </c>
      <c r="B1044" s="21">
        <f t="shared" si="32"/>
        <v>0.2173186</v>
      </c>
      <c r="D1044">
        <f t="shared" si="33"/>
        <v>87.356886792452826</v>
      </c>
      <c r="G1044" s="21">
        <v>-0.27779490000000001</v>
      </c>
      <c r="H1044" s="21">
        <v>0.2173186</v>
      </c>
    </row>
    <row r="1045" spans="1:8" x14ac:dyDescent="0.15">
      <c r="A1045" s="21">
        <v>2.0371090000000001E-2</v>
      </c>
      <c r="B1045" s="21">
        <f t="shared" si="32"/>
        <v>0.23137650000000001</v>
      </c>
      <c r="D1045">
        <f t="shared" si="33"/>
        <v>93.076289308176086</v>
      </c>
      <c r="G1045" s="21">
        <v>-0.29598259999999998</v>
      </c>
      <c r="H1045" s="21">
        <v>0.23137650000000001</v>
      </c>
    </row>
    <row r="1046" spans="1:8" x14ac:dyDescent="0.15">
      <c r="A1046" s="21">
        <v>2.0390620000000002E-2</v>
      </c>
      <c r="B1046" s="21">
        <f t="shared" si="32"/>
        <v>0.24171690000000001</v>
      </c>
      <c r="D1046">
        <f t="shared" si="33"/>
        <v>97.297232704402504</v>
      </c>
      <c r="G1046" s="21">
        <v>-0.30940519999999999</v>
      </c>
      <c r="H1046" s="21">
        <v>0.24171690000000001</v>
      </c>
    </row>
    <row r="1047" spans="1:8" x14ac:dyDescent="0.15">
      <c r="A1047" s="21">
        <v>2.041016E-2</v>
      </c>
      <c r="B1047" s="21">
        <f t="shared" si="32"/>
        <v>0.24947259999999999</v>
      </c>
      <c r="D1047">
        <f t="shared" si="33"/>
        <v>100.45264150943395</v>
      </c>
      <c r="G1047" s="21">
        <v>-0.31943939999999998</v>
      </c>
      <c r="H1047" s="21">
        <v>0.24947259999999999</v>
      </c>
    </row>
    <row r="1048" spans="1:8" x14ac:dyDescent="0.15">
      <c r="A1048" s="21">
        <v>2.042969E-2</v>
      </c>
      <c r="B1048" s="21">
        <f t="shared" si="32"/>
        <v>0.25368629999999998</v>
      </c>
      <c r="D1048">
        <f t="shared" si="33"/>
        <v>102.2041823899371</v>
      </c>
      <c r="G1048" s="21">
        <v>-0.3250093</v>
      </c>
      <c r="H1048" s="21">
        <v>0.25368629999999998</v>
      </c>
    </row>
    <row r="1049" spans="1:8" x14ac:dyDescent="0.15">
      <c r="A1049" s="21">
        <v>2.0449220000000001E-2</v>
      </c>
      <c r="B1049" s="21">
        <f t="shared" si="32"/>
        <v>0.25368230000000003</v>
      </c>
      <c r="D1049">
        <f t="shared" si="33"/>
        <v>102.1941823899371</v>
      </c>
      <c r="G1049" s="21">
        <v>-0.32497749999999997</v>
      </c>
      <c r="H1049" s="21">
        <v>0.25368230000000003</v>
      </c>
    </row>
    <row r="1050" spans="1:8" x14ac:dyDescent="0.15">
      <c r="A1050" s="21">
        <v>2.0468750000000001E-2</v>
      </c>
      <c r="B1050" s="21">
        <f t="shared" si="32"/>
        <v>0.24973860000000001</v>
      </c>
      <c r="D1050">
        <f t="shared" si="33"/>
        <v>100.64345911949685</v>
      </c>
      <c r="G1050" s="21">
        <v>-0.3200462</v>
      </c>
      <c r="H1050" s="21">
        <v>0.24973860000000001</v>
      </c>
    </row>
    <row r="1051" spans="1:8" x14ac:dyDescent="0.15">
      <c r="A1051" s="21">
        <v>2.0488280000000001E-2</v>
      </c>
      <c r="B1051" s="21">
        <f t="shared" si="32"/>
        <v>0.2419201</v>
      </c>
      <c r="D1051">
        <f t="shared" si="33"/>
        <v>97.6225786163522</v>
      </c>
      <c r="G1051" s="21">
        <v>-0.31043979999999999</v>
      </c>
      <c r="H1051" s="21">
        <v>0.2419201</v>
      </c>
    </row>
    <row r="1052" spans="1:8" x14ac:dyDescent="0.15">
      <c r="A1052" s="21">
        <v>2.0507810000000001E-2</v>
      </c>
      <c r="B1052" s="21">
        <f t="shared" si="32"/>
        <v>0.2305643</v>
      </c>
      <c r="D1052">
        <f t="shared" si="33"/>
        <v>93.080094339622647</v>
      </c>
      <c r="G1052" s="21">
        <v>-0.2959947</v>
      </c>
      <c r="H1052" s="21">
        <v>0.2305643</v>
      </c>
    </row>
    <row r="1053" spans="1:8" x14ac:dyDescent="0.15">
      <c r="A1053" s="21">
        <v>2.0527340000000002E-2</v>
      </c>
      <c r="B1053" s="21">
        <f t="shared" si="32"/>
        <v>0.21600359999999999</v>
      </c>
      <c r="D1053">
        <f t="shared" si="33"/>
        <v>87.224622641509427</v>
      </c>
      <c r="G1053" s="21">
        <v>-0.27737430000000002</v>
      </c>
      <c r="H1053" s="21">
        <v>0.21600359999999999</v>
      </c>
    </row>
    <row r="1054" spans="1:8" x14ac:dyDescent="0.15">
      <c r="A1054" s="21">
        <v>2.0546869999999998E-2</v>
      </c>
      <c r="B1054" s="21">
        <f t="shared" si="32"/>
        <v>0.19832910000000001</v>
      </c>
      <c r="D1054">
        <f t="shared" si="33"/>
        <v>80.257704402515714</v>
      </c>
      <c r="G1054" s="21">
        <v>-0.25521949999999999</v>
      </c>
      <c r="H1054" s="21">
        <v>0.19832910000000001</v>
      </c>
    </row>
    <row r="1055" spans="1:8" x14ac:dyDescent="0.15">
      <c r="A1055" s="21">
        <v>2.056641E-2</v>
      </c>
      <c r="B1055" s="21">
        <f t="shared" si="32"/>
        <v>0.17761569999999999</v>
      </c>
      <c r="D1055">
        <f t="shared" si="33"/>
        <v>72.017201257861629</v>
      </c>
      <c r="G1055" s="21">
        <v>-0.22901469999999999</v>
      </c>
      <c r="H1055" s="21">
        <v>0.17761569999999999</v>
      </c>
    </row>
    <row r="1056" spans="1:8" x14ac:dyDescent="0.15">
      <c r="A1056" s="21">
        <v>2.058594E-2</v>
      </c>
      <c r="B1056" s="21">
        <f t="shared" si="32"/>
        <v>0.15378230000000001</v>
      </c>
      <c r="D1056">
        <f t="shared" si="33"/>
        <v>62.460691823899367</v>
      </c>
      <c r="G1056" s="21">
        <v>-0.198625</v>
      </c>
      <c r="H1056" s="21">
        <v>0.15378230000000001</v>
      </c>
    </row>
    <row r="1057" spans="1:8" x14ac:dyDescent="0.15">
      <c r="A1057" s="21">
        <v>2.0605470000000001E-2</v>
      </c>
      <c r="B1057" s="21">
        <f t="shared" si="32"/>
        <v>0.1273427</v>
      </c>
      <c r="D1057">
        <f t="shared" si="33"/>
        <v>51.978679245283018</v>
      </c>
      <c r="G1057" s="21">
        <v>-0.1652922</v>
      </c>
      <c r="H1057" s="21">
        <v>0.1273427</v>
      </c>
    </row>
    <row r="1058" spans="1:8" x14ac:dyDescent="0.15">
      <c r="A1058" s="21">
        <v>2.0625000000000001E-2</v>
      </c>
      <c r="B1058" s="21">
        <f t="shared" si="32"/>
        <v>9.9102079999999995E-2</v>
      </c>
      <c r="D1058">
        <f t="shared" si="33"/>
        <v>40.74270440251572</v>
      </c>
      <c r="G1058" s="21">
        <v>-0.1295618</v>
      </c>
      <c r="H1058" s="21">
        <v>9.9102079999999995E-2</v>
      </c>
    </row>
    <row r="1059" spans="1:8" x14ac:dyDescent="0.15">
      <c r="A1059" s="21">
        <v>2.0644530000000001E-2</v>
      </c>
      <c r="B1059" s="21">
        <f t="shared" si="32"/>
        <v>6.9523890000000005E-2</v>
      </c>
      <c r="D1059">
        <f t="shared" si="33"/>
        <v>28.922761006289306</v>
      </c>
      <c r="G1059" s="21">
        <v>-9.1974379999999994E-2</v>
      </c>
      <c r="H1059" s="21">
        <v>6.9523890000000005E-2</v>
      </c>
    </row>
    <row r="1060" spans="1:8" x14ac:dyDescent="0.15">
      <c r="A1060" s="21">
        <v>2.0664060000000001E-2</v>
      </c>
      <c r="B1060" s="21">
        <f t="shared" si="32"/>
        <v>3.8938529999999999E-2</v>
      </c>
      <c r="D1060">
        <f t="shared" si="33"/>
        <v>16.682210691823897</v>
      </c>
      <c r="G1060" s="21">
        <v>-5.3049430000000002E-2</v>
      </c>
      <c r="H1060" s="21">
        <v>3.8938529999999999E-2</v>
      </c>
    </row>
    <row r="1061" spans="1:8" x14ac:dyDescent="0.15">
      <c r="A1061" s="21">
        <v>2.0683590000000002E-2</v>
      </c>
      <c r="B1061" s="21">
        <f t="shared" si="32"/>
        <v>7.6152019999999997E-3</v>
      </c>
      <c r="D1061">
        <f t="shared" si="33"/>
        <v>4.1080566037735844</v>
      </c>
      <c r="G1061" s="21">
        <v>-1.306362E-2</v>
      </c>
      <c r="H1061" s="21">
        <v>7.6152019999999997E-3</v>
      </c>
    </row>
    <row r="1062" spans="1:8" x14ac:dyDescent="0.15">
      <c r="A1062" s="21">
        <v>2.0703119999999998E-2</v>
      </c>
      <c r="B1062" s="21">
        <f t="shared" si="32"/>
        <v>-2.3861839999999999E-2</v>
      </c>
      <c r="D1062">
        <f t="shared" si="33"/>
        <v>-8.4337358490566032</v>
      </c>
      <c r="G1062" s="21">
        <v>2.6819280000000001E-2</v>
      </c>
      <c r="H1062" s="21">
        <v>-2.3861839999999999E-2</v>
      </c>
    </row>
    <row r="1063" spans="1:8" x14ac:dyDescent="0.15">
      <c r="A1063" s="21">
        <v>2.072266E-2</v>
      </c>
      <c r="B1063" s="21">
        <f t="shared" si="32"/>
        <v>-5.4992430000000002E-2</v>
      </c>
      <c r="D1063">
        <f t="shared" si="33"/>
        <v>-20.881886792452828</v>
      </c>
      <c r="G1063" s="21">
        <v>6.6404400000000002E-2</v>
      </c>
      <c r="H1063" s="21">
        <v>-5.4992430000000002E-2</v>
      </c>
    </row>
    <row r="1064" spans="1:8" x14ac:dyDescent="0.15">
      <c r="A1064" s="21">
        <v>2.0742190000000001E-2</v>
      </c>
      <c r="B1064" s="21">
        <f t="shared" si="32"/>
        <v>-8.5205920000000004E-2</v>
      </c>
      <c r="D1064">
        <f t="shared" si="33"/>
        <v>-33.035125786163519</v>
      </c>
      <c r="G1064" s="21">
        <v>0.1050517</v>
      </c>
      <c r="H1064" s="21">
        <v>-8.5205920000000004E-2</v>
      </c>
    </row>
    <row r="1065" spans="1:8" x14ac:dyDescent="0.15">
      <c r="A1065" s="21">
        <v>2.0761720000000001E-2</v>
      </c>
      <c r="B1065" s="21">
        <f t="shared" si="32"/>
        <v>-0.113833</v>
      </c>
      <c r="D1065">
        <f t="shared" si="33"/>
        <v>-44.479339622641504</v>
      </c>
      <c r="G1065" s="21">
        <v>0.1414443</v>
      </c>
      <c r="H1065" s="21">
        <v>-0.113833</v>
      </c>
    </row>
    <row r="1066" spans="1:8" x14ac:dyDescent="0.15">
      <c r="A1066" s="21">
        <v>2.0781250000000001E-2</v>
      </c>
      <c r="B1066" s="21">
        <f t="shared" si="32"/>
        <v>-0.1407786</v>
      </c>
      <c r="D1066">
        <f t="shared" si="33"/>
        <v>-55.288364779874215</v>
      </c>
      <c r="G1066" s="21">
        <v>0.175817</v>
      </c>
      <c r="H1066" s="21">
        <v>-0.1407786</v>
      </c>
    </row>
    <row r="1067" spans="1:8" x14ac:dyDescent="0.15">
      <c r="A1067" s="21">
        <v>2.0800780000000001E-2</v>
      </c>
      <c r="B1067" s="21">
        <f t="shared" si="32"/>
        <v>-0.16569030000000001</v>
      </c>
      <c r="D1067">
        <f t="shared" si="33"/>
        <v>-65.272798742138363</v>
      </c>
      <c r="G1067" s="21">
        <v>0.20756749999999999</v>
      </c>
      <c r="H1067" s="21">
        <v>-0.16569030000000001</v>
      </c>
    </row>
    <row r="1068" spans="1:8" x14ac:dyDescent="0.15">
      <c r="A1068" s="21">
        <v>2.0820310000000002E-2</v>
      </c>
      <c r="B1068" s="21">
        <f t="shared" si="32"/>
        <v>-0.18814520000000001</v>
      </c>
      <c r="D1068">
        <f t="shared" si="33"/>
        <v>-74.347389937106911</v>
      </c>
      <c r="G1068" s="21">
        <v>0.23642469999999999</v>
      </c>
      <c r="H1068" s="21">
        <v>-0.18814520000000001</v>
      </c>
    </row>
    <row r="1069" spans="1:8" x14ac:dyDescent="0.15">
      <c r="A1069" s="21">
        <v>2.0839839999999998E-2</v>
      </c>
      <c r="B1069" s="21">
        <f t="shared" si="32"/>
        <v>-0.20785870000000001</v>
      </c>
      <c r="D1069">
        <f t="shared" si="33"/>
        <v>-82.359842767295589</v>
      </c>
      <c r="G1069" s="21">
        <v>0.26190429999999998</v>
      </c>
      <c r="H1069" s="21">
        <v>-0.20785870000000001</v>
      </c>
    </row>
    <row r="1070" spans="1:8" x14ac:dyDescent="0.15">
      <c r="A1070" s="21">
        <v>2.0859369999999999E-2</v>
      </c>
      <c r="B1070" s="21">
        <f t="shared" si="32"/>
        <v>-0.22394720000000001</v>
      </c>
      <c r="D1070">
        <f t="shared" si="33"/>
        <v>-88.78301886792454</v>
      </c>
      <c r="G1070" s="21">
        <v>0.28233000000000003</v>
      </c>
      <c r="H1070" s="21">
        <v>-0.22394720000000001</v>
      </c>
    </row>
    <row r="1071" spans="1:8" x14ac:dyDescent="0.15">
      <c r="A1071" s="21">
        <v>2.0878910000000001E-2</v>
      </c>
      <c r="B1071" s="21">
        <f t="shared" si="32"/>
        <v>-0.2368053</v>
      </c>
      <c r="D1071">
        <f t="shared" si="33"/>
        <v>-94.125471698113202</v>
      </c>
      <c r="G1071" s="21">
        <v>0.299319</v>
      </c>
      <c r="H1071" s="21">
        <v>-0.2368053</v>
      </c>
    </row>
    <row r="1072" spans="1:8" x14ac:dyDescent="0.15">
      <c r="A1072" s="21">
        <v>2.0898440000000001E-2</v>
      </c>
      <c r="B1072" s="21">
        <f t="shared" si="32"/>
        <v>-0.24677489999999999</v>
      </c>
      <c r="D1072">
        <f t="shared" si="33"/>
        <v>-98.27685534591194</v>
      </c>
      <c r="G1072" s="21">
        <v>0.31252039999999998</v>
      </c>
      <c r="H1072" s="21">
        <v>-0.24677489999999999</v>
      </c>
    </row>
    <row r="1073" spans="1:8" x14ac:dyDescent="0.15">
      <c r="A1073" s="21">
        <v>2.0917970000000001E-2</v>
      </c>
      <c r="B1073" s="21">
        <f t="shared" si="32"/>
        <v>-0.25232660000000001</v>
      </c>
      <c r="D1073">
        <f t="shared" si="33"/>
        <v>-100.45553459119496</v>
      </c>
      <c r="G1073" s="21">
        <v>0.31944860000000003</v>
      </c>
      <c r="H1073" s="21">
        <v>-0.25232660000000001</v>
      </c>
    </row>
    <row r="1074" spans="1:8" x14ac:dyDescent="0.15">
      <c r="A1074" s="21">
        <v>2.0937500000000001E-2</v>
      </c>
      <c r="B1074" s="21">
        <f t="shared" si="32"/>
        <v>-0.25429180000000001</v>
      </c>
      <c r="D1074">
        <f t="shared" si="33"/>
        <v>-101.39597484276729</v>
      </c>
      <c r="G1074" s="21">
        <v>0.32243919999999998</v>
      </c>
      <c r="H1074" s="21">
        <v>-0.25429180000000001</v>
      </c>
    </row>
    <row r="1075" spans="1:8" x14ac:dyDescent="0.15">
      <c r="A1075" s="21">
        <v>2.0957030000000001E-2</v>
      </c>
      <c r="B1075" s="21">
        <f t="shared" si="32"/>
        <v>-0.25330439999999999</v>
      </c>
      <c r="D1075">
        <f t="shared" si="33"/>
        <v>-101.11544025157232</v>
      </c>
      <c r="G1075" s="21">
        <v>0.32154709999999997</v>
      </c>
      <c r="H1075" s="21">
        <v>-0.25330439999999999</v>
      </c>
    </row>
    <row r="1076" spans="1:8" x14ac:dyDescent="0.15">
      <c r="A1076" s="21">
        <v>2.0976560000000002E-2</v>
      </c>
      <c r="B1076" s="21">
        <f t="shared" si="32"/>
        <v>-0.24759970000000001</v>
      </c>
      <c r="D1076">
        <f t="shared" si="33"/>
        <v>-98.887767295597484</v>
      </c>
      <c r="G1076" s="21">
        <v>0.3144631</v>
      </c>
      <c r="H1076" s="21">
        <v>-0.24759970000000001</v>
      </c>
    </row>
    <row r="1077" spans="1:8" x14ac:dyDescent="0.15">
      <c r="A1077" s="21">
        <v>2.0996089999999999E-2</v>
      </c>
      <c r="B1077" s="21">
        <f t="shared" si="32"/>
        <v>-0.23833550000000001</v>
      </c>
      <c r="D1077">
        <f t="shared" si="33"/>
        <v>-95.299433962264132</v>
      </c>
      <c r="G1077" s="21">
        <v>0.30305219999999999</v>
      </c>
      <c r="H1077" s="21">
        <v>-0.23833550000000001</v>
      </c>
    </row>
    <row r="1078" spans="1:8" x14ac:dyDescent="0.15">
      <c r="A1078" s="21">
        <v>2.1015619999999999E-2</v>
      </c>
      <c r="B1078" s="21">
        <f t="shared" si="32"/>
        <v>-0.22613659999999999</v>
      </c>
      <c r="D1078">
        <f t="shared" si="33"/>
        <v>-90.450754716981123</v>
      </c>
      <c r="G1078" s="21">
        <v>0.28763339999999998</v>
      </c>
      <c r="H1078" s="21">
        <v>-0.22613659999999999</v>
      </c>
    </row>
    <row r="1079" spans="1:8" x14ac:dyDescent="0.15">
      <c r="A1079" s="21">
        <v>2.1035160000000001E-2</v>
      </c>
      <c r="B1079" s="21">
        <f t="shared" si="32"/>
        <v>-0.21016940000000001</v>
      </c>
      <c r="D1079">
        <f t="shared" si="33"/>
        <v>-84.137232704402521</v>
      </c>
      <c r="G1079" s="21">
        <v>0.26755640000000003</v>
      </c>
      <c r="H1079" s="21">
        <v>-0.21016940000000001</v>
      </c>
    </row>
    <row r="1080" spans="1:8" x14ac:dyDescent="0.15">
      <c r="A1080" s="21">
        <v>2.1054690000000001E-2</v>
      </c>
      <c r="B1080" s="21">
        <f t="shared" si="32"/>
        <v>-0.19126080000000001</v>
      </c>
      <c r="D1080">
        <f t="shared" si="33"/>
        <v>-76.608018867924528</v>
      </c>
      <c r="G1080" s="21">
        <v>0.24361350000000001</v>
      </c>
      <c r="H1080" s="21">
        <v>-0.19126080000000001</v>
      </c>
    </row>
    <row r="1081" spans="1:8" x14ac:dyDescent="0.15">
      <c r="A1081" s="21">
        <v>2.1074220000000001E-2</v>
      </c>
      <c r="B1081" s="21">
        <f t="shared" si="32"/>
        <v>-0.16888719999999999</v>
      </c>
      <c r="D1081">
        <f t="shared" si="33"/>
        <v>-67.622452830188678</v>
      </c>
      <c r="G1081" s="21">
        <v>0.21503939999999999</v>
      </c>
      <c r="H1081" s="21">
        <v>-0.16888719999999999</v>
      </c>
    </row>
    <row r="1082" spans="1:8" x14ac:dyDescent="0.15">
      <c r="A1082" s="21">
        <v>2.1093750000000001E-2</v>
      </c>
      <c r="B1082" s="21">
        <f t="shared" si="32"/>
        <v>-0.1436733</v>
      </c>
      <c r="D1082">
        <f t="shared" si="33"/>
        <v>-57.673899371069183</v>
      </c>
      <c r="G1082" s="21">
        <v>0.18340300000000001</v>
      </c>
      <c r="H1082" s="21">
        <v>-0.1436733</v>
      </c>
    </row>
    <row r="1083" spans="1:8" x14ac:dyDescent="0.15">
      <c r="A1083" s="21">
        <v>2.1113280000000002E-2</v>
      </c>
      <c r="B1083" s="21">
        <f t="shared" si="32"/>
        <v>-0.1170571</v>
      </c>
      <c r="D1083">
        <f t="shared" si="33"/>
        <v>-47.10569182389937</v>
      </c>
      <c r="G1083" s="21">
        <v>0.14979609999999999</v>
      </c>
      <c r="H1083" s="21">
        <v>-0.1170571</v>
      </c>
    </row>
    <row r="1084" spans="1:8" x14ac:dyDescent="0.15">
      <c r="A1084" s="21">
        <v>2.1132809999999998E-2</v>
      </c>
      <c r="B1084" s="21">
        <f t="shared" si="32"/>
        <v>-8.8365410000000005E-2</v>
      </c>
      <c r="D1084">
        <f t="shared" si="33"/>
        <v>-35.509811320754714</v>
      </c>
      <c r="G1084" s="21">
        <v>0.1129212</v>
      </c>
      <c r="H1084" s="21">
        <v>-8.8365410000000005E-2</v>
      </c>
    </row>
    <row r="1085" spans="1:8" x14ac:dyDescent="0.15">
      <c r="A1085" s="21">
        <v>2.1152339999999999E-2</v>
      </c>
      <c r="B1085" s="21">
        <f t="shared" si="32"/>
        <v>-5.8325710000000003E-2</v>
      </c>
      <c r="D1085">
        <f t="shared" si="33"/>
        <v>-23.527924528301888</v>
      </c>
      <c r="G1085" s="21">
        <v>7.4818800000000005E-2</v>
      </c>
      <c r="H1085" s="21">
        <v>-5.8325710000000003E-2</v>
      </c>
    </row>
    <row r="1086" spans="1:8" x14ac:dyDescent="0.15">
      <c r="A1086" s="21">
        <v>2.1171869999999999E-2</v>
      </c>
      <c r="B1086" s="21">
        <f t="shared" si="32"/>
        <v>-2.7464010000000001E-2</v>
      </c>
      <c r="D1086">
        <f t="shared" si="33"/>
        <v>-11.266430817610063</v>
      </c>
      <c r="G1086" s="21">
        <v>3.5827249999999998E-2</v>
      </c>
      <c r="H1086" s="21">
        <v>-2.7464010000000001E-2</v>
      </c>
    </row>
    <row r="1087" spans="1:8" x14ac:dyDescent="0.15">
      <c r="A1087" s="21">
        <v>2.1191410000000001E-2</v>
      </c>
      <c r="B1087" s="21">
        <f t="shared" si="32"/>
        <v>4.8380460000000004E-3</v>
      </c>
      <c r="D1087">
        <f t="shared" si="33"/>
        <v>1.7402355345911948</v>
      </c>
      <c r="G1087" s="21">
        <v>-5.5339489999999998E-3</v>
      </c>
      <c r="H1087" s="21">
        <v>4.8380460000000004E-3</v>
      </c>
    </row>
    <row r="1088" spans="1:8" x14ac:dyDescent="0.15">
      <c r="A1088" s="21">
        <v>2.1210940000000001E-2</v>
      </c>
      <c r="B1088" s="21">
        <f t="shared" si="32"/>
        <v>3.6603539999999997E-2</v>
      </c>
      <c r="D1088">
        <f t="shared" si="33"/>
        <v>14.493100628930817</v>
      </c>
      <c r="G1088" s="21">
        <v>-4.608806E-2</v>
      </c>
      <c r="H1088" s="21">
        <v>3.6603539999999997E-2</v>
      </c>
    </row>
    <row r="1089" spans="1:8" x14ac:dyDescent="0.15">
      <c r="A1089" s="21">
        <v>2.1230470000000001E-2</v>
      </c>
      <c r="B1089" s="21">
        <f t="shared" si="32"/>
        <v>6.6520179999999998E-2</v>
      </c>
      <c r="D1089">
        <f t="shared" si="33"/>
        <v>26.457135220125785</v>
      </c>
      <c r="G1089" s="21">
        <v>-8.4133689999999997E-2</v>
      </c>
      <c r="H1089" s="21">
        <v>6.6520179999999998E-2</v>
      </c>
    </row>
    <row r="1090" spans="1:8" x14ac:dyDescent="0.15">
      <c r="A1090" s="21">
        <v>2.1250000000000002E-2</v>
      </c>
      <c r="B1090" s="21">
        <f t="shared" ref="B1090:B1153" si="34">H1090</f>
        <v>9.5728750000000001E-2</v>
      </c>
      <c r="D1090">
        <f t="shared" ref="D1090:D1153" si="35">G1090*-1000/3.18</f>
        <v>38.212327044025159</v>
      </c>
      <c r="G1090" s="21">
        <v>-0.1215152</v>
      </c>
      <c r="H1090" s="21">
        <v>9.5728750000000001E-2</v>
      </c>
    </row>
    <row r="1091" spans="1:8" x14ac:dyDescent="0.15">
      <c r="A1091" s="21">
        <v>2.1269529999999998E-2</v>
      </c>
      <c r="B1091" s="21">
        <f t="shared" si="34"/>
        <v>0.1238853</v>
      </c>
      <c r="D1091">
        <f t="shared" si="35"/>
        <v>49.556729559748419</v>
      </c>
      <c r="G1091" s="21">
        <v>-0.15759039999999999</v>
      </c>
      <c r="H1091" s="21">
        <v>0.1238853</v>
      </c>
    </row>
    <row r="1092" spans="1:8" x14ac:dyDescent="0.15">
      <c r="A1092" s="21">
        <v>2.1289059999999999E-2</v>
      </c>
      <c r="B1092" s="21">
        <f t="shared" si="34"/>
        <v>0.1504221</v>
      </c>
      <c r="D1092">
        <f t="shared" si="35"/>
        <v>60.233553459119491</v>
      </c>
      <c r="G1092" s="21">
        <v>-0.19154270000000001</v>
      </c>
      <c r="H1092" s="21">
        <v>0.1504221</v>
      </c>
    </row>
    <row r="1093" spans="1:8" x14ac:dyDescent="0.15">
      <c r="A1093" s="21">
        <v>2.1308589999999999E-2</v>
      </c>
      <c r="B1093" s="21">
        <f t="shared" si="34"/>
        <v>0.1748451</v>
      </c>
      <c r="D1093">
        <f t="shared" si="35"/>
        <v>70.064748427672953</v>
      </c>
      <c r="G1093" s="21">
        <v>-0.2228059</v>
      </c>
      <c r="H1093" s="21">
        <v>0.1748451</v>
      </c>
    </row>
    <row r="1094" spans="1:8" x14ac:dyDescent="0.15">
      <c r="A1094" s="21">
        <v>2.1328119999999999E-2</v>
      </c>
      <c r="B1094" s="21">
        <f t="shared" si="34"/>
        <v>0.1961098</v>
      </c>
      <c r="D1094">
        <f t="shared" si="35"/>
        <v>78.671069182389928</v>
      </c>
      <c r="G1094" s="21">
        <v>-0.25017400000000001</v>
      </c>
      <c r="H1094" s="21">
        <v>0.1961098</v>
      </c>
    </row>
    <row r="1095" spans="1:8" x14ac:dyDescent="0.15">
      <c r="A1095" s="21">
        <v>2.1347660000000001E-2</v>
      </c>
      <c r="B1095" s="21">
        <f t="shared" si="34"/>
        <v>0.21431459999999999</v>
      </c>
      <c r="D1095">
        <f t="shared" si="35"/>
        <v>86.060786163521996</v>
      </c>
      <c r="G1095" s="21">
        <v>-0.27367330000000001</v>
      </c>
      <c r="H1095" s="21">
        <v>0.21431459999999999</v>
      </c>
    </row>
    <row r="1096" spans="1:8" x14ac:dyDescent="0.15">
      <c r="A1096" s="21">
        <v>2.1367190000000001E-2</v>
      </c>
      <c r="B1096" s="21">
        <f t="shared" si="34"/>
        <v>0.22858590000000001</v>
      </c>
      <c r="D1096">
        <f t="shared" si="35"/>
        <v>91.789968553459104</v>
      </c>
      <c r="G1096" s="21">
        <v>-0.29189209999999999</v>
      </c>
      <c r="H1096" s="21">
        <v>0.22858590000000001</v>
      </c>
    </row>
    <row r="1097" spans="1:8" x14ac:dyDescent="0.15">
      <c r="A1097" s="21">
        <v>2.1386720000000001E-2</v>
      </c>
      <c r="B1097" s="21">
        <f t="shared" si="34"/>
        <v>0.23949599999999999</v>
      </c>
      <c r="D1097">
        <f t="shared" si="35"/>
        <v>96.27301886792452</v>
      </c>
      <c r="G1097" s="21">
        <v>-0.30614819999999998</v>
      </c>
      <c r="H1097" s="21">
        <v>0.23949599999999999</v>
      </c>
    </row>
    <row r="1098" spans="1:8" x14ac:dyDescent="0.15">
      <c r="A1098" s="21">
        <v>2.1406250000000002E-2</v>
      </c>
      <c r="B1098" s="21">
        <f t="shared" si="34"/>
        <v>0.2488496</v>
      </c>
      <c r="D1098">
        <f t="shared" si="35"/>
        <v>100.23317610062894</v>
      </c>
      <c r="G1098" s="21">
        <v>-0.31874150000000001</v>
      </c>
      <c r="H1098" s="21">
        <v>0.2488496</v>
      </c>
    </row>
    <row r="1099" spans="1:8" x14ac:dyDescent="0.15">
      <c r="A1099" s="21">
        <v>2.1425779999999998E-2</v>
      </c>
      <c r="B1099" s="21">
        <f t="shared" si="34"/>
        <v>0.25418200000000002</v>
      </c>
      <c r="D1099">
        <f t="shared" si="35"/>
        <v>102.30883647798743</v>
      </c>
      <c r="G1099" s="21">
        <v>-0.32534210000000002</v>
      </c>
      <c r="H1099" s="21">
        <v>0.25418200000000002</v>
      </c>
    </row>
    <row r="1100" spans="1:8" x14ac:dyDescent="0.15">
      <c r="A1100" s="21">
        <v>2.1445309999999999E-2</v>
      </c>
      <c r="B1100" s="21">
        <f t="shared" si="34"/>
        <v>0.25431769999999998</v>
      </c>
      <c r="D1100">
        <f t="shared" si="35"/>
        <v>102.28691823899371</v>
      </c>
      <c r="G1100" s="21">
        <v>-0.32527240000000002</v>
      </c>
      <c r="H1100" s="21">
        <v>0.25431769999999998</v>
      </c>
    </row>
    <row r="1101" spans="1:8" x14ac:dyDescent="0.15">
      <c r="A1101" s="21">
        <v>2.1464839999999999E-2</v>
      </c>
      <c r="B1101" s="21">
        <f t="shared" si="34"/>
        <v>0.25094050000000001</v>
      </c>
      <c r="D1101">
        <f t="shared" si="35"/>
        <v>101.12012578616353</v>
      </c>
      <c r="G1101" s="21">
        <v>-0.32156200000000001</v>
      </c>
      <c r="H1101" s="21">
        <v>0.25094050000000001</v>
      </c>
    </row>
    <row r="1102" spans="1:8" x14ac:dyDescent="0.15">
      <c r="A1102" s="21">
        <v>2.1484380000000001E-2</v>
      </c>
      <c r="B1102" s="21">
        <f t="shared" si="34"/>
        <v>0.24360509999999999</v>
      </c>
      <c r="D1102">
        <f t="shared" si="35"/>
        <v>98.210188679245277</v>
      </c>
      <c r="G1102" s="21">
        <v>-0.31230839999999999</v>
      </c>
      <c r="H1102" s="21">
        <v>0.24360509999999999</v>
      </c>
    </row>
    <row r="1103" spans="1:8" x14ac:dyDescent="0.15">
      <c r="A1103" s="21">
        <v>2.1503910000000001E-2</v>
      </c>
      <c r="B1103" s="21">
        <f t="shared" si="34"/>
        <v>0.23298430000000001</v>
      </c>
      <c r="D1103">
        <f t="shared" si="35"/>
        <v>93.916572327044022</v>
      </c>
      <c r="G1103" s="21">
        <v>-0.2986547</v>
      </c>
      <c r="H1103" s="21">
        <v>0.23298430000000001</v>
      </c>
    </row>
    <row r="1104" spans="1:8" x14ac:dyDescent="0.15">
      <c r="A1104" s="21">
        <v>2.1523440000000001E-2</v>
      </c>
      <c r="B1104" s="21">
        <f t="shared" si="34"/>
        <v>0.22012699999999999</v>
      </c>
      <c r="D1104">
        <f t="shared" si="35"/>
        <v>88.790880503144649</v>
      </c>
      <c r="G1104" s="21">
        <v>-0.28235500000000002</v>
      </c>
      <c r="H1104" s="21">
        <v>0.22012699999999999</v>
      </c>
    </row>
    <row r="1105" spans="1:8" x14ac:dyDescent="0.15">
      <c r="A1105" s="21">
        <v>2.1542970000000002E-2</v>
      </c>
      <c r="B1105" s="21">
        <f t="shared" si="34"/>
        <v>0.20340829999999999</v>
      </c>
      <c r="D1105">
        <f t="shared" si="35"/>
        <v>82.086855345911943</v>
      </c>
      <c r="G1105" s="21">
        <v>-0.2610362</v>
      </c>
      <c r="H1105" s="21">
        <v>0.20340829999999999</v>
      </c>
    </row>
    <row r="1106" spans="1:8" x14ac:dyDescent="0.15">
      <c r="A1106" s="21">
        <v>2.1562499999999998E-2</v>
      </c>
      <c r="B1106" s="21">
        <f t="shared" si="34"/>
        <v>0.1825368</v>
      </c>
      <c r="D1106">
        <f t="shared" si="35"/>
        <v>73.869874213836482</v>
      </c>
      <c r="G1106" s="21">
        <v>-0.23490620000000001</v>
      </c>
      <c r="H1106" s="21">
        <v>0.1825368</v>
      </c>
    </row>
    <row r="1107" spans="1:8" x14ac:dyDescent="0.15">
      <c r="A1107" s="21">
        <v>2.1582029999999999E-2</v>
      </c>
      <c r="B1107" s="21">
        <f t="shared" si="34"/>
        <v>0.1587876</v>
      </c>
      <c r="D1107">
        <f t="shared" si="35"/>
        <v>64.378773584905659</v>
      </c>
      <c r="G1107" s="21">
        <v>-0.2047245</v>
      </c>
      <c r="H1107" s="21">
        <v>0.1587876</v>
      </c>
    </row>
    <row r="1108" spans="1:8" x14ac:dyDescent="0.15">
      <c r="A1108" s="21">
        <v>2.1601559999999999E-2</v>
      </c>
      <c r="B1108" s="21">
        <f t="shared" si="34"/>
        <v>0.1326669</v>
      </c>
      <c r="D1108">
        <f t="shared" si="35"/>
        <v>53.957295597484269</v>
      </c>
      <c r="G1108" s="21">
        <v>-0.17158419999999999</v>
      </c>
      <c r="H1108" s="21">
        <v>0.1326669</v>
      </c>
    </row>
    <row r="1109" spans="1:8" x14ac:dyDescent="0.15">
      <c r="A1109" s="21">
        <v>2.1621089999999999E-2</v>
      </c>
      <c r="B1109" s="21">
        <f t="shared" si="34"/>
        <v>0.10516109999999999</v>
      </c>
      <c r="D1109">
        <f t="shared" si="35"/>
        <v>43.154213836477986</v>
      </c>
      <c r="G1109" s="21">
        <v>-0.1372304</v>
      </c>
      <c r="H1109" s="21">
        <v>0.10516109999999999</v>
      </c>
    </row>
    <row r="1110" spans="1:8" x14ac:dyDescent="0.15">
      <c r="A1110" s="21">
        <v>2.1640630000000001E-2</v>
      </c>
      <c r="B1110" s="21">
        <f t="shared" si="34"/>
        <v>7.6352749999999997E-2</v>
      </c>
      <c r="D1110">
        <f t="shared" si="35"/>
        <v>31.591226415094336</v>
      </c>
      <c r="G1110" s="21">
        <v>-0.1004601</v>
      </c>
      <c r="H1110" s="21">
        <v>7.6352749999999997E-2</v>
      </c>
    </row>
    <row r="1111" spans="1:8" x14ac:dyDescent="0.15">
      <c r="A1111" s="21">
        <v>2.1660160000000001E-2</v>
      </c>
      <c r="B1111" s="21">
        <f t="shared" si="34"/>
        <v>4.5676580000000001E-2</v>
      </c>
      <c r="D1111">
        <f t="shared" si="35"/>
        <v>19.295789308176101</v>
      </c>
      <c r="G1111" s="21">
        <v>-6.1360610000000003E-2</v>
      </c>
      <c r="H1111" s="21">
        <v>4.5676580000000001E-2</v>
      </c>
    </row>
    <row r="1112" spans="1:8" x14ac:dyDescent="0.15">
      <c r="A1112" s="21">
        <v>2.1679690000000001E-2</v>
      </c>
      <c r="B1112" s="21">
        <f t="shared" si="34"/>
        <v>1.439291E-2</v>
      </c>
      <c r="D1112">
        <f t="shared" si="35"/>
        <v>6.8561540880503138</v>
      </c>
      <c r="G1112" s="21">
        <v>-2.180257E-2</v>
      </c>
      <c r="H1112" s="21">
        <v>1.439291E-2</v>
      </c>
    </row>
    <row r="1113" spans="1:8" x14ac:dyDescent="0.15">
      <c r="A1113" s="21">
        <v>2.1699220000000002E-2</v>
      </c>
      <c r="B1113" s="21">
        <f t="shared" si="34"/>
        <v>-1.7235279999999999E-2</v>
      </c>
      <c r="D1113">
        <f t="shared" si="35"/>
        <v>-5.7955440251572332</v>
      </c>
      <c r="G1113" s="21">
        <v>1.8429830000000001E-2</v>
      </c>
      <c r="H1113" s="21">
        <v>-1.7235279999999999E-2</v>
      </c>
    </row>
    <row r="1114" spans="1:8" x14ac:dyDescent="0.15">
      <c r="A1114" s="21">
        <v>2.1718749999999998E-2</v>
      </c>
      <c r="B1114" s="21">
        <f t="shared" si="34"/>
        <v>-4.912619E-2</v>
      </c>
      <c r="D1114">
        <f t="shared" si="35"/>
        <v>-18.538883647798741</v>
      </c>
      <c r="G1114" s="21">
        <v>5.8953650000000003E-2</v>
      </c>
      <c r="H1114" s="21">
        <v>-4.912619E-2</v>
      </c>
    </row>
    <row r="1115" spans="1:8" x14ac:dyDescent="0.15">
      <c r="A1115" s="21">
        <v>2.1738279999999999E-2</v>
      </c>
      <c r="B1115" s="21">
        <f t="shared" si="34"/>
        <v>-7.9386639999999994E-2</v>
      </c>
      <c r="D1115">
        <f t="shared" si="35"/>
        <v>-30.65622327044025</v>
      </c>
      <c r="G1115" s="21">
        <v>9.7486790000000004E-2</v>
      </c>
      <c r="H1115" s="21">
        <v>-7.9386639999999994E-2</v>
      </c>
    </row>
    <row r="1116" spans="1:8" x14ac:dyDescent="0.15">
      <c r="A1116" s="21">
        <v>2.1757809999999999E-2</v>
      </c>
      <c r="B1116" s="21">
        <f t="shared" si="34"/>
        <v>-0.1077245</v>
      </c>
      <c r="D1116">
        <f t="shared" si="35"/>
        <v>-41.99267295597484</v>
      </c>
      <c r="G1116" s="21">
        <v>0.13353670000000001</v>
      </c>
      <c r="H1116" s="21">
        <v>-0.1077245</v>
      </c>
    </row>
    <row r="1117" spans="1:8" x14ac:dyDescent="0.15">
      <c r="A1117" s="21">
        <v>2.1777339999999999E-2</v>
      </c>
      <c r="B1117" s="21">
        <f t="shared" si="34"/>
        <v>-0.13477990000000001</v>
      </c>
      <c r="D1117">
        <f t="shared" si="35"/>
        <v>-52.876729559748426</v>
      </c>
      <c r="G1117" s="21">
        <v>0.16814799999999999</v>
      </c>
      <c r="H1117" s="21">
        <v>-0.13477990000000001</v>
      </c>
    </row>
    <row r="1118" spans="1:8" x14ac:dyDescent="0.15">
      <c r="A1118" s="21">
        <v>2.1796880000000001E-2</v>
      </c>
      <c r="B1118" s="21">
        <f t="shared" si="34"/>
        <v>-0.16017509999999999</v>
      </c>
      <c r="D1118">
        <f t="shared" si="35"/>
        <v>-63.130125786163525</v>
      </c>
      <c r="G1118" s="21">
        <v>0.20075380000000001</v>
      </c>
      <c r="H1118" s="21">
        <v>-0.16017509999999999</v>
      </c>
    </row>
    <row r="1119" spans="1:8" x14ac:dyDescent="0.15">
      <c r="A1119" s="21">
        <v>2.1816410000000001E-2</v>
      </c>
      <c r="B1119" s="21">
        <f t="shared" si="34"/>
        <v>-0.1834557</v>
      </c>
      <c r="D1119">
        <f t="shared" si="35"/>
        <v>-72.504622641509442</v>
      </c>
      <c r="G1119" s="21">
        <v>0.23056470000000001</v>
      </c>
      <c r="H1119" s="21">
        <v>-0.1834557</v>
      </c>
    </row>
    <row r="1120" spans="1:8" x14ac:dyDescent="0.15">
      <c r="A1120" s="21">
        <v>2.1835940000000002E-2</v>
      </c>
      <c r="B1120" s="21">
        <f t="shared" si="34"/>
        <v>-0.20420730000000001</v>
      </c>
      <c r="D1120">
        <f t="shared" si="35"/>
        <v>-80.878270440251569</v>
      </c>
      <c r="G1120" s="21">
        <v>0.2571929</v>
      </c>
      <c r="H1120" s="21">
        <v>-0.20420730000000001</v>
      </c>
    </row>
    <row r="1121" spans="1:8" x14ac:dyDescent="0.15">
      <c r="A1121" s="21">
        <v>2.1855469999999998E-2</v>
      </c>
      <c r="B1121" s="21">
        <f t="shared" si="34"/>
        <v>-0.22128529999999999</v>
      </c>
      <c r="D1121">
        <f t="shared" si="35"/>
        <v>-87.739213836477973</v>
      </c>
      <c r="G1121" s="21">
        <v>0.2790107</v>
      </c>
      <c r="H1121" s="21">
        <v>-0.22128529999999999</v>
      </c>
    </row>
    <row r="1122" spans="1:8" x14ac:dyDescent="0.15">
      <c r="A1122" s="21">
        <v>2.1874999999999999E-2</v>
      </c>
      <c r="B1122" s="21">
        <f t="shared" si="34"/>
        <v>-0.23399909999999999</v>
      </c>
      <c r="D1122">
        <f t="shared" si="35"/>
        <v>-92.934842767295592</v>
      </c>
      <c r="G1122" s="21">
        <v>0.29553279999999998</v>
      </c>
      <c r="H1122" s="21">
        <v>-0.23399909999999999</v>
      </c>
    </row>
    <row r="1123" spans="1:8" x14ac:dyDescent="0.15">
      <c r="A1123" s="21">
        <v>2.1894529999999999E-2</v>
      </c>
      <c r="B1123" s="21">
        <f t="shared" si="34"/>
        <v>-0.2435843</v>
      </c>
      <c r="D1123">
        <f t="shared" si="35"/>
        <v>-96.923962264150944</v>
      </c>
      <c r="G1123" s="21">
        <v>0.3082182</v>
      </c>
      <c r="H1123" s="21">
        <v>-0.2435843</v>
      </c>
    </row>
    <row r="1124" spans="1:8" x14ac:dyDescent="0.15">
      <c r="A1124" s="21">
        <v>2.1914059999999999E-2</v>
      </c>
      <c r="B1124" s="21">
        <f t="shared" si="34"/>
        <v>-0.25066820000000001</v>
      </c>
      <c r="D1124">
        <f t="shared" si="35"/>
        <v>-99.868459119496848</v>
      </c>
      <c r="G1124" s="21">
        <v>0.31758170000000002</v>
      </c>
      <c r="H1124" s="21">
        <v>-0.25066820000000001</v>
      </c>
    </row>
    <row r="1125" spans="1:8" x14ac:dyDescent="0.15">
      <c r="A1125" s="21">
        <v>2.1933589999999999E-2</v>
      </c>
      <c r="B1125" s="21">
        <f t="shared" si="34"/>
        <v>-0.25416030000000001</v>
      </c>
      <c r="D1125">
        <f t="shared" si="35"/>
        <v>-101.32792452830186</v>
      </c>
      <c r="G1125" s="21">
        <v>0.32222279999999998</v>
      </c>
      <c r="H1125" s="21">
        <v>-0.25416030000000001</v>
      </c>
    </row>
    <row r="1126" spans="1:8" x14ac:dyDescent="0.15">
      <c r="A1126" s="21">
        <v>2.1953130000000001E-2</v>
      </c>
      <c r="B1126" s="21">
        <f t="shared" si="34"/>
        <v>-0.25358920000000001</v>
      </c>
      <c r="D1126">
        <f t="shared" si="35"/>
        <v>-101.11845911949685</v>
      </c>
      <c r="G1126" s="21">
        <v>0.32155669999999997</v>
      </c>
      <c r="H1126" s="21">
        <v>-0.25358920000000001</v>
      </c>
    </row>
    <row r="1127" spans="1:8" x14ac:dyDescent="0.15">
      <c r="A1127" s="21">
        <v>2.1972660000000001E-2</v>
      </c>
      <c r="B1127" s="21">
        <f t="shared" si="34"/>
        <v>-0.2488139</v>
      </c>
      <c r="D1127">
        <f t="shared" si="35"/>
        <v>-99.352861635220108</v>
      </c>
      <c r="G1127" s="21">
        <v>0.3159421</v>
      </c>
      <c r="H1127" s="21">
        <v>-0.2488139</v>
      </c>
    </row>
    <row r="1128" spans="1:8" x14ac:dyDescent="0.15">
      <c r="A1128" s="21">
        <v>2.1992189999999998E-2</v>
      </c>
      <c r="B1128" s="21">
        <f t="shared" si="34"/>
        <v>-0.23978720000000001</v>
      </c>
      <c r="D1128">
        <f t="shared" si="35"/>
        <v>-95.855471698113206</v>
      </c>
      <c r="G1128" s="21">
        <v>0.30482039999999999</v>
      </c>
      <c r="H1128" s="21">
        <v>-0.23978720000000001</v>
      </c>
    </row>
    <row r="1129" spans="1:8" x14ac:dyDescent="0.15">
      <c r="A1129" s="21">
        <v>2.2011719999999999E-2</v>
      </c>
      <c r="B1129" s="21">
        <f t="shared" si="34"/>
        <v>-0.22767689999999999</v>
      </c>
      <c r="D1129">
        <f t="shared" si="35"/>
        <v>-91.037421383647796</v>
      </c>
      <c r="G1129" s="21">
        <v>0.28949900000000001</v>
      </c>
      <c r="H1129" s="21">
        <v>-0.22767689999999999</v>
      </c>
    </row>
    <row r="1130" spans="1:8" x14ac:dyDescent="0.15">
      <c r="A1130" s="21">
        <v>2.2031249999999999E-2</v>
      </c>
      <c r="B1130" s="21">
        <f t="shared" si="34"/>
        <v>-0.21299609999999999</v>
      </c>
      <c r="D1130">
        <f t="shared" si="35"/>
        <v>-85.179371069182395</v>
      </c>
      <c r="G1130" s="21">
        <v>0.27087040000000001</v>
      </c>
      <c r="H1130" s="21">
        <v>-0.21299609999999999</v>
      </c>
    </row>
    <row r="1131" spans="1:8" x14ac:dyDescent="0.15">
      <c r="A1131" s="21">
        <v>2.2050779999999999E-2</v>
      </c>
      <c r="B1131" s="21">
        <f t="shared" si="34"/>
        <v>-0.1951783</v>
      </c>
      <c r="D1131">
        <f t="shared" si="35"/>
        <v>-78.02993710691824</v>
      </c>
      <c r="G1131" s="21">
        <v>0.2481352</v>
      </c>
      <c r="H1131" s="21">
        <v>-0.1951783</v>
      </c>
    </row>
    <row r="1132" spans="1:8" x14ac:dyDescent="0.15">
      <c r="A1132" s="21">
        <v>2.2070309999999999E-2</v>
      </c>
      <c r="B1132" s="21">
        <f t="shared" si="34"/>
        <v>-0.1737966</v>
      </c>
      <c r="D1132">
        <f t="shared" si="35"/>
        <v>-69.546949685534585</v>
      </c>
      <c r="G1132" s="21">
        <v>0.2211593</v>
      </c>
      <c r="H1132" s="21">
        <v>-0.1737966</v>
      </c>
    </row>
    <row r="1133" spans="1:8" x14ac:dyDescent="0.15">
      <c r="A1133" s="21">
        <v>2.2089839999999999E-2</v>
      </c>
      <c r="B1133" s="21">
        <f t="shared" si="34"/>
        <v>-0.1487368</v>
      </c>
      <c r="D1133">
        <f t="shared" si="35"/>
        <v>-59.55119496855346</v>
      </c>
      <c r="G1133" s="21">
        <v>0.18937280000000001</v>
      </c>
      <c r="H1133" s="21">
        <v>-0.1487368</v>
      </c>
    </row>
    <row r="1134" spans="1:8" x14ac:dyDescent="0.15">
      <c r="A1134" s="21">
        <v>2.2109380000000001E-2</v>
      </c>
      <c r="B1134" s="21">
        <f t="shared" si="34"/>
        <v>-0.1218026</v>
      </c>
      <c r="D1134">
        <f t="shared" si="35"/>
        <v>-48.859433962264156</v>
      </c>
      <c r="G1134" s="21">
        <v>0.15537300000000001</v>
      </c>
      <c r="H1134" s="21">
        <v>-0.1218026</v>
      </c>
    </row>
    <row r="1135" spans="1:8" x14ac:dyDescent="0.15">
      <c r="A1135" s="21">
        <v>2.2128910000000002E-2</v>
      </c>
      <c r="B1135" s="21">
        <f t="shared" si="34"/>
        <v>-9.3967469999999997E-2</v>
      </c>
      <c r="D1135">
        <f t="shared" si="35"/>
        <v>-37.808081761006285</v>
      </c>
      <c r="G1135" s="21">
        <v>0.12022969999999999</v>
      </c>
      <c r="H1135" s="21">
        <v>-9.3967469999999997E-2</v>
      </c>
    </row>
    <row r="1136" spans="1:8" x14ac:dyDescent="0.15">
      <c r="A1136" s="21">
        <v>2.2148439999999998E-2</v>
      </c>
      <c r="B1136" s="21">
        <f t="shared" si="34"/>
        <v>-6.40656E-2</v>
      </c>
      <c r="D1136">
        <f t="shared" si="35"/>
        <v>-25.731588050314461</v>
      </c>
      <c r="G1136" s="21">
        <v>8.1826449999999995E-2</v>
      </c>
      <c r="H1136" s="21">
        <v>-6.40656E-2</v>
      </c>
    </row>
    <row r="1137" spans="1:8" x14ac:dyDescent="0.15">
      <c r="A1137" s="21">
        <v>2.2167969999999999E-2</v>
      </c>
      <c r="B1137" s="21">
        <f t="shared" si="34"/>
        <v>-3.3150239999999997E-2</v>
      </c>
      <c r="D1137">
        <f t="shared" si="35"/>
        <v>-13.426971698113208</v>
      </c>
      <c r="G1137" s="21">
        <v>4.2697770000000003E-2</v>
      </c>
      <c r="H1137" s="21">
        <v>-3.3150239999999997E-2</v>
      </c>
    </row>
    <row r="1138" spans="1:8" x14ac:dyDescent="0.15">
      <c r="A1138" s="21">
        <v>2.2187499999999999E-2</v>
      </c>
      <c r="B1138" s="21">
        <f t="shared" si="34"/>
        <v>-1.8447450000000001E-3</v>
      </c>
      <c r="D1138">
        <f t="shared" si="35"/>
        <v>-0.93948018867924532</v>
      </c>
      <c r="G1138" s="21">
        <v>2.9875470000000001E-3</v>
      </c>
      <c r="H1138" s="21">
        <v>-1.8447450000000001E-3</v>
      </c>
    </row>
    <row r="1139" spans="1:8" x14ac:dyDescent="0.15">
      <c r="A1139" s="21">
        <v>2.2207029999999999E-2</v>
      </c>
      <c r="B1139" s="21">
        <f t="shared" si="34"/>
        <v>3.0137460000000001E-2</v>
      </c>
      <c r="D1139">
        <f t="shared" si="35"/>
        <v>11.980081761006289</v>
      </c>
      <c r="G1139" s="21">
        <v>-3.8096659999999997E-2</v>
      </c>
      <c r="H1139" s="21">
        <v>3.0137460000000001E-2</v>
      </c>
    </row>
    <row r="1140" spans="1:8" x14ac:dyDescent="0.15">
      <c r="A1140" s="21">
        <v>2.2226559999999999E-2</v>
      </c>
      <c r="B1140" s="21">
        <f t="shared" si="34"/>
        <v>6.0823679999999998E-2</v>
      </c>
      <c r="D1140">
        <f t="shared" si="35"/>
        <v>24.247330188679243</v>
      </c>
      <c r="G1140" s="21">
        <v>-7.7106510000000003E-2</v>
      </c>
      <c r="H1140" s="21">
        <v>6.0823679999999998E-2</v>
      </c>
    </row>
    <row r="1141" spans="1:8" x14ac:dyDescent="0.15">
      <c r="A1141" s="21">
        <v>2.224609E-2</v>
      </c>
      <c r="B1141" s="21">
        <f t="shared" si="34"/>
        <v>9.0367959999999997E-2</v>
      </c>
      <c r="D1141">
        <f t="shared" si="35"/>
        <v>36.140974842767292</v>
      </c>
      <c r="G1141" s="21">
        <v>-0.1149283</v>
      </c>
      <c r="H1141" s="21">
        <v>9.0367959999999997E-2</v>
      </c>
    </row>
    <row r="1142" spans="1:8" x14ac:dyDescent="0.15">
      <c r="A1142" s="21">
        <v>2.2265630000000002E-2</v>
      </c>
      <c r="B1142" s="21">
        <f t="shared" si="34"/>
        <v>0.1189933</v>
      </c>
      <c r="D1142">
        <f t="shared" si="35"/>
        <v>47.647389937106915</v>
      </c>
      <c r="G1142" s="21">
        <v>-0.15151870000000001</v>
      </c>
      <c r="H1142" s="21">
        <v>0.1189933</v>
      </c>
    </row>
    <row r="1143" spans="1:8" x14ac:dyDescent="0.15">
      <c r="A1143" s="21">
        <v>2.2285159999999998E-2</v>
      </c>
      <c r="B1143" s="21">
        <f t="shared" si="34"/>
        <v>0.14507</v>
      </c>
      <c r="D1143">
        <f t="shared" si="35"/>
        <v>58.12292452830188</v>
      </c>
      <c r="G1143" s="21">
        <v>-0.18483089999999999</v>
      </c>
      <c r="H1143" s="21">
        <v>0.14507</v>
      </c>
    </row>
    <row r="1144" spans="1:8" x14ac:dyDescent="0.15">
      <c r="A1144" s="21">
        <v>2.2304689999999999E-2</v>
      </c>
      <c r="B1144" s="21">
        <f t="shared" si="34"/>
        <v>0.16976050000000001</v>
      </c>
      <c r="D1144">
        <f t="shared" si="35"/>
        <v>68.217893081761005</v>
      </c>
      <c r="G1144" s="21">
        <v>-0.21693290000000001</v>
      </c>
      <c r="H1144" s="21">
        <v>0.16976050000000001</v>
      </c>
    </row>
    <row r="1145" spans="1:8" x14ac:dyDescent="0.15">
      <c r="A1145" s="21">
        <v>2.2324219999999999E-2</v>
      </c>
      <c r="B1145" s="21">
        <f t="shared" si="34"/>
        <v>0.19210579999999999</v>
      </c>
      <c r="D1145">
        <f t="shared" si="35"/>
        <v>77.208867924528306</v>
      </c>
      <c r="G1145" s="21">
        <v>-0.2455242</v>
      </c>
      <c r="H1145" s="21">
        <v>0.19210579999999999</v>
      </c>
    </row>
    <row r="1146" spans="1:8" x14ac:dyDescent="0.15">
      <c r="A1146" s="21">
        <v>2.2343749999999999E-2</v>
      </c>
      <c r="B1146" s="21">
        <f t="shared" si="34"/>
        <v>0.21046680000000001</v>
      </c>
      <c r="D1146">
        <f t="shared" si="35"/>
        <v>84.563081761006288</v>
      </c>
      <c r="G1146" s="21">
        <v>-0.2689106</v>
      </c>
      <c r="H1146" s="21">
        <v>0.21046680000000001</v>
      </c>
    </row>
    <row r="1147" spans="1:8" x14ac:dyDescent="0.15">
      <c r="A1147" s="21">
        <v>2.2363279999999999E-2</v>
      </c>
      <c r="B1147" s="21">
        <f t="shared" si="34"/>
        <v>0.22652910000000001</v>
      </c>
      <c r="D1147">
        <f t="shared" si="35"/>
        <v>91.138836477987425</v>
      </c>
      <c r="G1147" s="21">
        <v>-0.28982150000000001</v>
      </c>
      <c r="H1147" s="21">
        <v>0.22652910000000001</v>
      </c>
    </row>
    <row r="1148" spans="1:8" x14ac:dyDescent="0.15">
      <c r="A1148" s="21">
        <v>2.238281E-2</v>
      </c>
      <c r="B1148" s="21">
        <f t="shared" si="34"/>
        <v>0.23870069999999999</v>
      </c>
      <c r="D1148">
        <f t="shared" si="35"/>
        <v>96.046100628930816</v>
      </c>
      <c r="G1148" s="21">
        <v>-0.30542659999999999</v>
      </c>
      <c r="H1148" s="21">
        <v>0.23870069999999999</v>
      </c>
    </row>
    <row r="1149" spans="1:8" x14ac:dyDescent="0.15">
      <c r="A1149" s="21">
        <v>2.240234E-2</v>
      </c>
      <c r="B1149" s="21">
        <f t="shared" si="34"/>
        <v>0.24672160000000001</v>
      </c>
      <c r="D1149">
        <f t="shared" si="35"/>
        <v>99.320911949685538</v>
      </c>
      <c r="G1149" s="21">
        <v>-0.31584050000000002</v>
      </c>
      <c r="H1149" s="21">
        <v>0.24672160000000001</v>
      </c>
    </row>
    <row r="1150" spans="1:8" x14ac:dyDescent="0.15">
      <c r="A1150" s="21">
        <v>2.2421880000000002E-2</v>
      </c>
      <c r="B1150" s="21">
        <f t="shared" si="34"/>
        <v>0.2527085</v>
      </c>
      <c r="D1150">
        <f t="shared" si="35"/>
        <v>101.87342767295597</v>
      </c>
      <c r="G1150" s="21">
        <v>-0.32395750000000001</v>
      </c>
      <c r="H1150" s="21">
        <v>0.2527085</v>
      </c>
    </row>
    <row r="1151" spans="1:8" x14ac:dyDescent="0.15">
      <c r="A1151" s="21">
        <v>2.2441409999999998E-2</v>
      </c>
      <c r="B1151" s="21">
        <f t="shared" si="34"/>
        <v>0.25448880000000002</v>
      </c>
      <c r="D1151">
        <f t="shared" si="35"/>
        <v>102.5354716981132</v>
      </c>
      <c r="G1151" s="21">
        <v>-0.32606279999999999</v>
      </c>
      <c r="H1151" s="21">
        <v>0.25448880000000002</v>
      </c>
    </row>
    <row r="1152" spans="1:8" x14ac:dyDescent="0.15">
      <c r="A1152" s="21">
        <v>2.2460939999999999E-2</v>
      </c>
      <c r="B1152" s="21">
        <f t="shared" si="34"/>
        <v>0.2517355</v>
      </c>
      <c r="D1152">
        <f t="shared" si="35"/>
        <v>101.3873899371069</v>
      </c>
      <c r="G1152" s="21">
        <v>-0.32241189999999997</v>
      </c>
      <c r="H1152" s="21">
        <v>0.2517355</v>
      </c>
    </row>
    <row r="1153" spans="1:8" x14ac:dyDescent="0.15">
      <c r="A1153" s="21">
        <v>2.2480469999999999E-2</v>
      </c>
      <c r="B1153" s="21">
        <f t="shared" si="34"/>
        <v>0.24588599999999999</v>
      </c>
      <c r="D1153">
        <f t="shared" si="35"/>
        <v>99.171886792452824</v>
      </c>
      <c r="G1153" s="21">
        <v>-0.3153666</v>
      </c>
      <c r="H1153" s="21">
        <v>0.24588599999999999</v>
      </c>
    </row>
    <row r="1154" spans="1:8" x14ac:dyDescent="0.15">
      <c r="A1154" s="21">
        <v>2.2499999999999999E-2</v>
      </c>
      <c r="B1154" s="21">
        <f t="shared" ref="B1154:B1217" si="36">H1154</f>
        <v>0.2359396</v>
      </c>
      <c r="D1154">
        <f t="shared" ref="D1154:D1217" si="37">G1154*-1000/3.18</f>
        <v>95.212861635220122</v>
      </c>
      <c r="G1154" s="21">
        <v>-0.30277690000000002</v>
      </c>
      <c r="H1154" s="21">
        <v>0.2359396</v>
      </c>
    </row>
    <row r="1155" spans="1:8" x14ac:dyDescent="0.15">
      <c r="A1155" s="21">
        <v>2.2519529999999999E-2</v>
      </c>
      <c r="B1155" s="21">
        <f t="shared" si="36"/>
        <v>0.22252330000000001</v>
      </c>
      <c r="D1155">
        <f t="shared" si="37"/>
        <v>89.860534591194963</v>
      </c>
      <c r="G1155" s="21">
        <v>-0.28575650000000002</v>
      </c>
      <c r="H1155" s="21">
        <v>0.22252330000000001</v>
      </c>
    </row>
    <row r="1156" spans="1:8" x14ac:dyDescent="0.15">
      <c r="A1156" s="21">
        <v>2.253906E-2</v>
      </c>
      <c r="B1156" s="21">
        <f t="shared" si="36"/>
        <v>0.2063516</v>
      </c>
      <c r="D1156">
        <f t="shared" si="37"/>
        <v>83.465157232704414</v>
      </c>
      <c r="G1156" s="21">
        <v>-0.26541920000000002</v>
      </c>
      <c r="H1156" s="21">
        <v>0.2063516</v>
      </c>
    </row>
    <row r="1157" spans="1:8" x14ac:dyDescent="0.15">
      <c r="A1157" s="21">
        <v>2.255859E-2</v>
      </c>
      <c r="B1157" s="21">
        <f t="shared" si="36"/>
        <v>0.18655469999999999</v>
      </c>
      <c r="D1157">
        <f t="shared" si="37"/>
        <v>75.563459119496855</v>
      </c>
      <c r="G1157" s="21">
        <v>-0.2402918</v>
      </c>
      <c r="H1157" s="21">
        <v>0.18655469999999999</v>
      </c>
    </row>
    <row r="1158" spans="1:8" x14ac:dyDescent="0.15">
      <c r="A1158" s="21">
        <v>2.2578129999999998E-2</v>
      </c>
      <c r="B1158" s="21">
        <f t="shared" si="36"/>
        <v>0.16376009999999999</v>
      </c>
      <c r="D1158">
        <f t="shared" si="37"/>
        <v>66.489685534591189</v>
      </c>
      <c r="G1158" s="21">
        <v>-0.21143719999999999</v>
      </c>
      <c r="H1158" s="21">
        <v>0.16376009999999999</v>
      </c>
    </row>
    <row r="1159" spans="1:8" x14ac:dyDescent="0.15">
      <c r="A1159" s="21">
        <v>2.2597659999999999E-2</v>
      </c>
      <c r="B1159" s="21">
        <f t="shared" si="36"/>
        <v>0.1384195</v>
      </c>
      <c r="D1159">
        <f t="shared" si="37"/>
        <v>56.390345911949673</v>
      </c>
      <c r="G1159" s="21">
        <v>-0.17932129999999999</v>
      </c>
      <c r="H1159" s="21">
        <v>0.1384195</v>
      </c>
    </row>
    <row r="1160" spans="1:8" x14ac:dyDescent="0.15">
      <c r="A1160" s="21">
        <v>2.2617189999999999E-2</v>
      </c>
      <c r="B1160" s="21">
        <f t="shared" si="36"/>
        <v>0.1108147</v>
      </c>
      <c r="D1160">
        <f t="shared" si="37"/>
        <v>45.36474842767295</v>
      </c>
      <c r="G1160" s="21">
        <v>-0.1442599</v>
      </c>
      <c r="H1160" s="21">
        <v>0.1108147</v>
      </c>
    </row>
    <row r="1161" spans="1:8" x14ac:dyDescent="0.15">
      <c r="A1161" s="21">
        <v>2.2636719999999999E-2</v>
      </c>
      <c r="B1161" s="21">
        <f t="shared" si="36"/>
        <v>8.2290849999999999E-2</v>
      </c>
      <c r="D1161">
        <f t="shared" si="37"/>
        <v>34.049811320754714</v>
      </c>
      <c r="G1161" s="21">
        <v>-0.1082784</v>
      </c>
      <c r="H1161" s="21">
        <v>8.2290849999999999E-2</v>
      </c>
    </row>
    <row r="1162" spans="1:8" x14ac:dyDescent="0.15">
      <c r="A1162" s="21">
        <v>2.2656249999999999E-2</v>
      </c>
      <c r="B1162" s="21">
        <f t="shared" si="36"/>
        <v>5.2018099999999998E-2</v>
      </c>
      <c r="D1162">
        <f t="shared" si="37"/>
        <v>21.957128930817611</v>
      </c>
      <c r="G1162" s="21">
        <v>-6.9823670000000004E-2</v>
      </c>
      <c r="H1162" s="21">
        <v>5.2018099999999998E-2</v>
      </c>
    </row>
    <row r="1163" spans="1:8" x14ac:dyDescent="0.15">
      <c r="A1163" s="21">
        <v>2.267578E-2</v>
      </c>
      <c r="B1163" s="21">
        <f t="shared" si="36"/>
        <v>2.0073279999999999E-2</v>
      </c>
      <c r="D1163">
        <f t="shared" si="37"/>
        <v>9.1432389937106926</v>
      </c>
      <c r="G1163" s="21">
        <v>-2.9075500000000001E-2</v>
      </c>
      <c r="H1163" s="21">
        <v>2.0073279999999999E-2</v>
      </c>
    </row>
    <row r="1164" spans="1:8" x14ac:dyDescent="0.15">
      <c r="A1164" s="21">
        <v>2.269531E-2</v>
      </c>
      <c r="B1164" s="21">
        <f t="shared" si="36"/>
        <v>-1.116193E-2</v>
      </c>
      <c r="D1164">
        <f t="shared" si="37"/>
        <v>-3.2300251572327046</v>
      </c>
      <c r="G1164" s="21">
        <v>1.0271479999999999E-2</v>
      </c>
      <c r="H1164" s="21">
        <v>-1.116193E-2</v>
      </c>
    </row>
    <row r="1165" spans="1:8" x14ac:dyDescent="0.15">
      <c r="A1165" s="21">
        <v>2.271484E-2</v>
      </c>
      <c r="B1165" s="21">
        <f t="shared" si="36"/>
        <v>-4.2187710000000003E-2</v>
      </c>
      <c r="D1165">
        <f t="shared" si="37"/>
        <v>-15.633946540880503</v>
      </c>
      <c r="G1165" s="21">
        <v>4.9715950000000002E-2</v>
      </c>
      <c r="H1165" s="21">
        <v>-4.2187710000000003E-2</v>
      </c>
    </row>
    <row r="1166" spans="1:8" x14ac:dyDescent="0.15">
      <c r="A1166" s="21">
        <v>2.2734379999999998E-2</v>
      </c>
      <c r="B1166" s="21">
        <f t="shared" si="36"/>
        <v>-7.3110410000000001E-2</v>
      </c>
      <c r="D1166">
        <f t="shared" si="37"/>
        <v>-28.130959119496854</v>
      </c>
      <c r="G1166" s="21">
        <v>8.9456450000000007E-2</v>
      </c>
      <c r="H1166" s="21">
        <v>-7.3110410000000001E-2</v>
      </c>
    </row>
    <row r="1167" spans="1:8" x14ac:dyDescent="0.15">
      <c r="A1167" s="21">
        <v>2.2753909999999999E-2</v>
      </c>
      <c r="B1167" s="21">
        <f t="shared" si="36"/>
        <v>-0.10213949999999999</v>
      </c>
      <c r="D1167">
        <f t="shared" si="37"/>
        <v>-39.69204402515723</v>
      </c>
      <c r="G1167" s="21">
        <v>0.12622069999999999</v>
      </c>
      <c r="H1167" s="21">
        <v>-0.10213949999999999</v>
      </c>
    </row>
    <row r="1168" spans="1:8" x14ac:dyDescent="0.15">
      <c r="A1168" s="21">
        <v>2.2773439999999999E-2</v>
      </c>
      <c r="B1168" s="21">
        <f t="shared" si="36"/>
        <v>-0.12964590000000001</v>
      </c>
      <c r="D1168">
        <f t="shared" si="37"/>
        <v>-50.694716981132075</v>
      </c>
      <c r="G1168" s="21">
        <v>0.1612092</v>
      </c>
      <c r="H1168" s="21">
        <v>-0.12964590000000001</v>
      </c>
    </row>
    <row r="1169" spans="1:8" x14ac:dyDescent="0.15">
      <c r="A1169" s="21">
        <v>2.2792969999999999E-2</v>
      </c>
      <c r="B1169" s="21">
        <f t="shared" si="36"/>
        <v>-0.1556071</v>
      </c>
      <c r="D1169">
        <f t="shared" si="37"/>
        <v>-61.195597484276725</v>
      </c>
      <c r="G1169" s="21">
        <v>0.194602</v>
      </c>
      <c r="H1169" s="21">
        <v>-0.1556071</v>
      </c>
    </row>
    <row r="1170" spans="1:8" x14ac:dyDescent="0.15">
      <c r="A1170" s="21">
        <v>2.2812499999999999E-2</v>
      </c>
      <c r="B1170" s="21">
        <f t="shared" si="36"/>
        <v>-0.17890349999999999</v>
      </c>
      <c r="D1170">
        <f t="shared" si="37"/>
        <v>-70.559654088050308</v>
      </c>
      <c r="G1170" s="21">
        <v>0.22437969999999999</v>
      </c>
      <c r="H1170" s="21">
        <v>-0.17890349999999999</v>
      </c>
    </row>
    <row r="1171" spans="1:8" x14ac:dyDescent="0.15">
      <c r="A1171" s="21">
        <v>2.283203E-2</v>
      </c>
      <c r="B1171" s="21">
        <f t="shared" si="36"/>
        <v>-0.1998925</v>
      </c>
      <c r="D1171">
        <f t="shared" si="37"/>
        <v>-79.04003144654088</v>
      </c>
      <c r="G1171" s="21">
        <v>0.2513473</v>
      </c>
      <c r="H1171" s="21">
        <v>-0.1998925</v>
      </c>
    </row>
    <row r="1172" spans="1:8" x14ac:dyDescent="0.15">
      <c r="A1172" s="21">
        <v>2.285156E-2</v>
      </c>
      <c r="B1172" s="21">
        <f t="shared" si="36"/>
        <v>-0.21769949999999999</v>
      </c>
      <c r="D1172">
        <f t="shared" si="37"/>
        <v>-86.19987421383648</v>
      </c>
      <c r="G1172" s="21">
        <v>0.27411560000000001</v>
      </c>
      <c r="H1172" s="21">
        <v>-0.21769949999999999</v>
      </c>
    </row>
    <row r="1173" spans="1:8" x14ac:dyDescent="0.15">
      <c r="A1173" s="21">
        <v>2.287109E-2</v>
      </c>
      <c r="B1173" s="21">
        <f t="shared" si="36"/>
        <v>-0.23136519999999999</v>
      </c>
      <c r="D1173">
        <f t="shared" si="37"/>
        <v>-91.757358490566034</v>
      </c>
      <c r="G1173" s="21">
        <v>0.2917884</v>
      </c>
      <c r="H1173" s="21">
        <v>-0.23136519999999999</v>
      </c>
    </row>
    <row r="1174" spans="1:8" x14ac:dyDescent="0.15">
      <c r="A1174" s="21">
        <v>2.2890629999999999E-2</v>
      </c>
      <c r="B1174" s="21">
        <f t="shared" si="36"/>
        <v>-0.2422609</v>
      </c>
      <c r="D1174">
        <f t="shared" si="37"/>
        <v>-96.372075471698096</v>
      </c>
      <c r="G1174" s="21">
        <v>0.30646319999999999</v>
      </c>
      <c r="H1174" s="21">
        <v>-0.2422609</v>
      </c>
    </row>
    <row r="1175" spans="1:8" x14ac:dyDescent="0.15">
      <c r="A1175" s="21">
        <v>2.2910159999999999E-2</v>
      </c>
      <c r="B1175" s="21">
        <f t="shared" si="36"/>
        <v>-0.2496652</v>
      </c>
      <c r="D1175">
        <f t="shared" si="37"/>
        <v>-99.403993710691836</v>
      </c>
      <c r="G1175" s="21">
        <v>0.31610470000000002</v>
      </c>
      <c r="H1175" s="21">
        <v>-0.2496652</v>
      </c>
    </row>
    <row r="1176" spans="1:8" x14ac:dyDescent="0.15">
      <c r="A1176" s="21">
        <v>2.2929689999999999E-2</v>
      </c>
      <c r="B1176" s="21">
        <f t="shared" si="36"/>
        <v>-0.25306410000000001</v>
      </c>
      <c r="D1176">
        <f t="shared" si="37"/>
        <v>-100.79449685534591</v>
      </c>
      <c r="G1176" s="21">
        <v>0.32052649999999999</v>
      </c>
      <c r="H1176" s="21">
        <v>-0.25306410000000001</v>
      </c>
    </row>
    <row r="1177" spans="1:8" x14ac:dyDescent="0.15">
      <c r="A1177" s="21">
        <v>2.2949219999999999E-2</v>
      </c>
      <c r="B1177" s="21">
        <f t="shared" si="36"/>
        <v>-0.25376330000000002</v>
      </c>
      <c r="D1177">
        <f t="shared" si="37"/>
        <v>-101.25481132075471</v>
      </c>
      <c r="G1177" s="21">
        <v>0.32199030000000001</v>
      </c>
      <c r="H1177" s="21">
        <v>-0.25376330000000002</v>
      </c>
    </row>
    <row r="1178" spans="1:8" x14ac:dyDescent="0.15">
      <c r="A1178" s="21">
        <v>2.296875E-2</v>
      </c>
      <c r="B1178" s="21">
        <f t="shared" si="36"/>
        <v>-0.25010959999999999</v>
      </c>
      <c r="D1178">
        <f t="shared" si="37"/>
        <v>-99.83088050314467</v>
      </c>
      <c r="G1178" s="21">
        <v>0.31746220000000003</v>
      </c>
      <c r="H1178" s="21">
        <v>-0.25010959999999999</v>
      </c>
    </row>
    <row r="1179" spans="1:8" x14ac:dyDescent="0.15">
      <c r="A1179" s="21">
        <v>2.298828E-2</v>
      </c>
      <c r="B1179" s="21">
        <f t="shared" si="36"/>
        <v>-0.2415938</v>
      </c>
      <c r="D1179">
        <f t="shared" si="37"/>
        <v>-96.431666666666658</v>
      </c>
      <c r="G1179" s="21">
        <v>0.3066527</v>
      </c>
      <c r="H1179" s="21">
        <v>-0.2415938</v>
      </c>
    </row>
    <row r="1180" spans="1:8" x14ac:dyDescent="0.15">
      <c r="A1180" s="21">
        <v>2.300781E-2</v>
      </c>
      <c r="B1180" s="21">
        <f t="shared" si="36"/>
        <v>-0.23025699999999999</v>
      </c>
      <c r="D1180">
        <f t="shared" si="37"/>
        <v>-92.059811320754719</v>
      </c>
      <c r="G1180" s="21">
        <v>0.29275020000000002</v>
      </c>
      <c r="H1180" s="21">
        <v>-0.23025699999999999</v>
      </c>
    </row>
    <row r="1181" spans="1:8" x14ac:dyDescent="0.15">
      <c r="A1181" s="21">
        <v>2.302734E-2</v>
      </c>
      <c r="B1181" s="21">
        <f t="shared" si="36"/>
        <v>-0.2159877</v>
      </c>
      <c r="D1181">
        <f t="shared" si="37"/>
        <v>-86.406006289308166</v>
      </c>
      <c r="G1181" s="21">
        <v>0.27477109999999999</v>
      </c>
      <c r="H1181" s="21">
        <v>-0.2159877</v>
      </c>
    </row>
    <row r="1182" spans="1:8" x14ac:dyDescent="0.15">
      <c r="A1182" s="21">
        <v>2.3046879999999999E-2</v>
      </c>
      <c r="B1182" s="21">
        <f t="shared" si="36"/>
        <v>-0.1983173</v>
      </c>
      <c r="D1182">
        <f t="shared" si="37"/>
        <v>-79.302327044025148</v>
      </c>
      <c r="G1182" s="21">
        <v>0.2521814</v>
      </c>
      <c r="H1182" s="21">
        <v>-0.1983173</v>
      </c>
    </row>
    <row r="1183" spans="1:8" x14ac:dyDescent="0.15">
      <c r="A1183" s="21">
        <v>2.3066409999999999E-2</v>
      </c>
      <c r="B1183" s="21">
        <f t="shared" si="36"/>
        <v>-0.1777262</v>
      </c>
      <c r="D1183">
        <f t="shared" si="37"/>
        <v>-71.122704402515723</v>
      </c>
      <c r="G1183" s="21">
        <v>0.22617019999999999</v>
      </c>
      <c r="H1183" s="21">
        <v>-0.1777262</v>
      </c>
    </row>
    <row r="1184" spans="1:8" x14ac:dyDescent="0.15">
      <c r="A1184" s="21">
        <v>2.3085939999999999E-2</v>
      </c>
      <c r="B1184" s="21">
        <f t="shared" si="36"/>
        <v>-0.15375710000000001</v>
      </c>
      <c r="D1184">
        <f t="shared" si="37"/>
        <v>-61.559842767295592</v>
      </c>
      <c r="G1184" s="21">
        <v>0.1957603</v>
      </c>
      <c r="H1184" s="21">
        <v>-0.15375710000000001</v>
      </c>
    </row>
    <row r="1185" spans="1:8" x14ac:dyDescent="0.15">
      <c r="A1185" s="21">
        <v>2.3105469999999999E-2</v>
      </c>
      <c r="B1185" s="21">
        <f t="shared" si="36"/>
        <v>-0.12670319999999999</v>
      </c>
      <c r="D1185">
        <f t="shared" si="37"/>
        <v>-50.81858490566038</v>
      </c>
      <c r="G1185" s="21">
        <v>0.1616031</v>
      </c>
      <c r="H1185" s="21">
        <v>-0.12670319999999999</v>
      </c>
    </row>
    <row r="1186" spans="1:8" x14ac:dyDescent="0.15">
      <c r="A1186" s="21">
        <v>2.3125E-2</v>
      </c>
      <c r="B1186" s="21">
        <f t="shared" si="36"/>
        <v>-9.8678130000000003E-2</v>
      </c>
      <c r="D1186">
        <f t="shared" si="37"/>
        <v>-39.709371069182382</v>
      </c>
      <c r="G1186" s="21">
        <v>0.12627579999999999</v>
      </c>
      <c r="H1186" s="21">
        <v>-9.8678130000000003E-2</v>
      </c>
    </row>
    <row r="1187" spans="1:8" x14ac:dyDescent="0.15">
      <c r="A1187" s="21">
        <v>2.314453E-2</v>
      </c>
      <c r="B1187" s="21">
        <f t="shared" si="36"/>
        <v>-6.9733290000000003E-2</v>
      </c>
      <c r="D1187">
        <f t="shared" si="37"/>
        <v>-28.0283679245283</v>
      </c>
      <c r="G1187" s="21">
        <v>8.9130210000000001E-2</v>
      </c>
      <c r="H1187" s="21">
        <v>-6.9733290000000003E-2</v>
      </c>
    </row>
    <row r="1188" spans="1:8" x14ac:dyDescent="0.15">
      <c r="A1188" s="21">
        <v>2.316406E-2</v>
      </c>
      <c r="B1188" s="21">
        <f t="shared" si="36"/>
        <v>-3.8983499999999997E-2</v>
      </c>
      <c r="D1188">
        <f t="shared" si="37"/>
        <v>-15.706864779874213</v>
      </c>
      <c r="G1188" s="21">
        <v>4.9947829999999999E-2</v>
      </c>
      <c r="H1188" s="21">
        <v>-3.8983499999999997E-2</v>
      </c>
    </row>
    <row r="1189" spans="1:8" x14ac:dyDescent="0.15">
      <c r="A1189" s="21">
        <v>2.318359E-2</v>
      </c>
      <c r="B1189" s="21">
        <f t="shared" si="36"/>
        <v>-7.5222420000000002E-3</v>
      </c>
      <c r="D1189">
        <f t="shared" si="37"/>
        <v>-3.2018522012578616</v>
      </c>
      <c r="G1189" s="21">
        <v>1.0181890000000001E-2</v>
      </c>
      <c r="H1189" s="21">
        <v>-7.5222420000000002E-3</v>
      </c>
    </row>
    <row r="1190" spans="1:8" x14ac:dyDescent="0.15">
      <c r="A1190" s="21">
        <v>2.3203129999999999E-2</v>
      </c>
      <c r="B1190" s="21">
        <f t="shared" si="36"/>
        <v>2.45153E-2</v>
      </c>
      <c r="D1190">
        <f t="shared" si="37"/>
        <v>9.6797861635220119</v>
      </c>
      <c r="G1190" s="21">
        <v>-3.0781719999999999E-2</v>
      </c>
      <c r="H1190" s="21">
        <v>2.45153E-2</v>
      </c>
    </row>
    <row r="1191" spans="1:8" x14ac:dyDescent="0.15">
      <c r="A1191" s="21">
        <v>2.3222659999999999E-2</v>
      </c>
      <c r="B1191" s="21">
        <f t="shared" si="36"/>
        <v>5.6040159999999999E-2</v>
      </c>
      <c r="D1191">
        <f t="shared" si="37"/>
        <v>22.290150943396227</v>
      </c>
      <c r="G1191" s="21">
        <v>-7.0882680000000003E-2</v>
      </c>
      <c r="H1191" s="21">
        <v>5.6040159999999999E-2</v>
      </c>
    </row>
    <row r="1192" spans="1:8" x14ac:dyDescent="0.15">
      <c r="A1192" s="21">
        <v>2.3242189999999999E-2</v>
      </c>
      <c r="B1192" s="21">
        <f t="shared" si="36"/>
        <v>8.5180420000000007E-2</v>
      </c>
      <c r="D1192">
        <f t="shared" si="37"/>
        <v>33.958679245283015</v>
      </c>
      <c r="G1192" s="21">
        <v>-0.1079886</v>
      </c>
      <c r="H1192" s="21">
        <v>8.5180420000000007E-2</v>
      </c>
    </row>
    <row r="1193" spans="1:8" x14ac:dyDescent="0.15">
      <c r="A1193" s="21">
        <v>2.326172E-2</v>
      </c>
      <c r="B1193" s="21">
        <f t="shared" si="36"/>
        <v>0.1133194</v>
      </c>
      <c r="D1193">
        <f t="shared" si="37"/>
        <v>45.390943396226412</v>
      </c>
      <c r="G1193" s="21">
        <v>-0.1443432</v>
      </c>
      <c r="H1193" s="21">
        <v>0.1133194</v>
      </c>
    </row>
    <row r="1194" spans="1:8" x14ac:dyDescent="0.15">
      <c r="A1194" s="21">
        <v>2.328125E-2</v>
      </c>
      <c r="B1194" s="21">
        <f t="shared" si="36"/>
        <v>0.1406762</v>
      </c>
      <c r="D1194">
        <f t="shared" si="37"/>
        <v>56.40339622641509</v>
      </c>
      <c r="G1194" s="21">
        <v>-0.17936279999999999</v>
      </c>
      <c r="H1194" s="21">
        <v>0.1406762</v>
      </c>
    </row>
    <row r="1195" spans="1:8" x14ac:dyDescent="0.15">
      <c r="A1195" s="21">
        <v>2.330078E-2</v>
      </c>
      <c r="B1195" s="21">
        <f t="shared" si="36"/>
        <v>0.16576060000000001</v>
      </c>
      <c r="D1195">
        <f t="shared" si="37"/>
        <v>66.406572327044017</v>
      </c>
      <c r="G1195" s="21">
        <v>-0.2111729</v>
      </c>
      <c r="H1195" s="21">
        <v>0.16576060000000001</v>
      </c>
    </row>
    <row r="1196" spans="1:8" x14ac:dyDescent="0.15">
      <c r="A1196" s="21">
        <v>2.332031E-2</v>
      </c>
      <c r="B1196" s="21">
        <f t="shared" si="36"/>
        <v>0.18863440000000001</v>
      </c>
      <c r="D1196">
        <f t="shared" si="37"/>
        <v>75.673805031446534</v>
      </c>
      <c r="G1196" s="21">
        <v>-0.24064269999999999</v>
      </c>
      <c r="H1196" s="21">
        <v>0.18863440000000001</v>
      </c>
    </row>
    <row r="1197" spans="1:8" x14ac:dyDescent="0.15">
      <c r="A1197" s="21">
        <v>2.3339840000000001E-2</v>
      </c>
      <c r="B1197" s="21">
        <f t="shared" si="36"/>
        <v>0.20820859999999999</v>
      </c>
      <c r="D1197">
        <f t="shared" si="37"/>
        <v>83.630723270440242</v>
      </c>
      <c r="G1197" s="21">
        <v>-0.26594570000000001</v>
      </c>
      <c r="H1197" s="21">
        <v>0.20820859999999999</v>
      </c>
    </row>
    <row r="1198" spans="1:8" x14ac:dyDescent="0.15">
      <c r="A1198" s="21">
        <v>2.3359379999999999E-2</v>
      </c>
      <c r="B1198" s="21">
        <f t="shared" si="36"/>
        <v>0.22355349999999999</v>
      </c>
      <c r="D1198">
        <f t="shared" si="37"/>
        <v>89.83273584905659</v>
      </c>
      <c r="G1198" s="21">
        <v>-0.28566809999999998</v>
      </c>
      <c r="H1198" s="21">
        <v>0.22355349999999999</v>
      </c>
    </row>
    <row r="1199" spans="1:8" x14ac:dyDescent="0.15">
      <c r="A1199" s="21">
        <v>2.3378909999999999E-2</v>
      </c>
      <c r="B1199" s="21">
        <f t="shared" si="36"/>
        <v>0.2361975</v>
      </c>
      <c r="D1199">
        <f t="shared" si="37"/>
        <v>95.011163522012566</v>
      </c>
      <c r="G1199" s="21">
        <v>-0.3021355</v>
      </c>
      <c r="H1199" s="21">
        <v>0.2361975</v>
      </c>
    </row>
    <row r="1200" spans="1:8" x14ac:dyDescent="0.15">
      <c r="A1200" s="21">
        <v>2.339844E-2</v>
      </c>
      <c r="B1200" s="21">
        <f t="shared" si="36"/>
        <v>0.24638289999999999</v>
      </c>
      <c r="D1200">
        <f t="shared" si="37"/>
        <v>99.10864779874214</v>
      </c>
      <c r="G1200" s="21">
        <v>-0.31516549999999999</v>
      </c>
      <c r="H1200" s="21">
        <v>0.24638289999999999</v>
      </c>
    </row>
    <row r="1201" spans="1:8" x14ac:dyDescent="0.15">
      <c r="A1201" s="21">
        <v>2.341797E-2</v>
      </c>
      <c r="B1201" s="21">
        <f t="shared" si="36"/>
        <v>0.25281439999999999</v>
      </c>
      <c r="D1201">
        <f t="shared" si="37"/>
        <v>101.72955974842766</v>
      </c>
      <c r="G1201" s="21">
        <v>-0.32350000000000001</v>
      </c>
      <c r="H1201" s="21">
        <v>0.25281439999999999</v>
      </c>
    </row>
    <row r="1202" spans="1:8" x14ac:dyDescent="0.15">
      <c r="A1202" s="21">
        <v>2.34375E-2</v>
      </c>
      <c r="B1202" s="21">
        <f t="shared" si="36"/>
        <v>0.25508069999999999</v>
      </c>
      <c r="D1202">
        <f t="shared" si="37"/>
        <v>102.72786163522012</v>
      </c>
      <c r="G1202" s="21">
        <v>-0.32667459999999998</v>
      </c>
      <c r="H1202" s="21">
        <v>0.25508069999999999</v>
      </c>
    </row>
    <row r="1203" spans="1:8" x14ac:dyDescent="0.15">
      <c r="A1203" s="21">
        <v>2.345703E-2</v>
      </c>
      <c r="B1203" s="21">
        <f t="shared" si="36"/>
        <v>0.25314249999999999</v>
      </c>
      <c r="D1203">
        <f t="shared" si="37"/>
        <v>101.95742138364778</v>
      </c>
      <c r="G1203" s="21">
        <v>-0.32422459999999997</v>
      </c>
      <c r="H1203" s="21">
        <v>0.25314249999999999</v>
      </c>
    </row>
    <row r="1204" spans="1:8" x14ac:dyDescent="0.15">
      <c r="A1204" s="21">
        <v>2.347656E-2</v>
      </c>
      <c r="B1204" s="21">
        <f t="shared" si="36"/>
        <v>0.24755550000000001</v>
      </c>
      <c r="D1204">
        <f t="shared" si="37"/>
        <v>99.792075471698112</v>
      </c>
      <c r="G1204" s="21">
        <v>-0.31733879999999998</v>
      </c>
      <c r="H1204" s="21">
        <v>0.24755550000000001</v>
      </c>
    </row>
    <row r="1205" spans="1:8" x14ac:dyDescent="0.15">
      <c r="A1205" s="21">
        <v>2.3496090000000001E-2</v>
      </c>
      <c r="B1205" s="21">
        <f t="shared" si="36"/>
        <v>0.23850350000000001</v>
      </c>
      <c r="D1205">
        <f t="shared" si="37"/>
        <v>96.180503144654097</v>
      </c>
      <c r="G1205" s="21">
        <v>-0.30585400000000001</v>
      </c>
      <c r="H1205" s="21">
        <v>0.23850350000000001</v>
      </c>
    </row>
    <row r="1206" spans="1:8" x14ac:dyDescent="0.15">
      <c r="A1206" s="21">
        <v>2.3515629999999999E-2</v>
      </c>
      <c r="B1206" s="21">
        <f t="shared" si="36"/>
        <v>0.22575970000000001</v>
      </c>
      <c r="D1206">
        <f t="shared" si="37"/>
        <v>91.083427672955978</v>
      </c>
      <c r="G1206" s="21">
        <v>-0.28964529999999999</v>
      </c>
      <c r="H1206" s="21">
        <v>0.22575970000000001</v>
      </c>
    </row>
    <row r="1207" spans="1:8" x14ac:dyDescent="0.15">
      <c r="A1207" s="21">
        <v>2.3535159999999999E-2</v>
      </c>
      <c r="B1207" s="21">
        <f t="shared" si="36"/>
        <v>0.21043970000000001</v>
      </c>
      <c r="D1207">
        <f t="shared" si="37"/>
        <v>85.013616352201254</v>
      </c>
      <c r="G1207" s="21">
        <v>-0.27034330000000001</v>
      </c>
      <c r="H1207" s="21">
        <v>0.21043970000000001</v>
      </c>
    </row>
    <row r="1208" spans="1:8" x14ac:dyDescent="0.15">
      <c r="A1208" s="21">
        <v>2.355469E-2</v>
      </c>
      <c r="B1208" s="21">
        <f t="shared" si="36"/>
        <v>0.1919353</v>
      </c>
      <c r="D1208">
        <f t="shared" si="37"/>
        <v>77.606226415094341</v>
      </c>
      <c r="G1208" s="21">
        <v>-0.2467878</v>
      </c>
      <c r="H1208" s="21">
        <v>0.1919353</v>
      </c>
    </row>
    <row r="1209" spans="1:8" x14ac:dyDescent="0.15">
      <c r="A1209" s="21">
        <v>2.357422E-2</v>
      </c>
      <c r="B1209" s="21">
        <f t="shared" si="36"/>
        <v>0.16919629999999999</v>
      </c>
      <c r="D1209">
        <f t="shared" si="37"/>
        <v>68.522484276729557</v>
      </c>
      <c r="G1209" s="21">
        <v>-0.2179015</v>
      </c>
      <c r="H1209" s="21">
        <v>0.16919629999999999</v>
      </c>
    </row>
    <row r="1210" spans="1:8" x14ac:dyDescent="0.15">
      <c r="A1210" s="21">
        <v>2.359375E-2</v>
      </c>
      <c r="B1210" s="21">
        <f t="shared" si="36"/>
        <v>0.14407729999999999</v>
      </c>
      <c r="D1210">
        <f t="shared" si="37"/>
        <v>58.547295597484272</v>
      </c>
      <c r="G1210" s="21">
        <v>-0.1861804</v>
      </c>
      <c r="H1210" s="21">
        <v>0.14407729999999999</v>
      </c>
    </row>
    <row r="1211" spans="1:8" x14ac:dyDescent="0.15">
      <c r="A1211" s="21">
        <v>2.361328E-2</v>
      </c>
      <c r="B1211" s="21">
        <f t="shared" si="36"/>
        <v>0.1170191</v>
      </c>
      <c r="D1211">
        <f t="shared" si="37"/>
        <v>47.798144654088048</v>
      </c>
      <c r="G1211" s="21">
        <v>-0.1519981</v>
      </c>
      <c r="H1211" s="21">
        <v>0.1170191</v>
      </c>
    </row>
    <row r="1212" spans="1:8" x14ac:dyDescent="0.15">
      <c r="A1212" s="21">
        <v>2.3632810000000001E-2</v>
      </c>
      <c r="B1212" s="21">
        <f t="shared" si="36"/>
        <v>8.7877410000000003E-2</v>
      </c>
      <c r="D1212">
        <f t="shared" si="37"/>
        <v>36.130314465408802</v>
      </c>
      <c r="G1212" s="21">
        <v>-0.11489439999999999</v>
      </c>
      <c r="H1212" s="21">
        <v>8.7877410000000003E-2</v>
      </c>
    </row>
    <row r="1213" spans="1:8" x14ac:dyDescent="0.15">
      <c r="A1213" s="21">
        <v>2.3652340000000001E-2</v>
      </c>
      <c r="B1213" s="21">
        <f t="shared" si="36"/>
        <v>5.8197510000000001E-2</v>
      </c>
      <c r="D1213">
        <f t="shared" si="37"/>
        <v>24.281940251572326</v>
      </c>
      <c r="G1213" s="21">
        <v>-7.7216569999999998E-2</v>
      </c>
      <c r="H1213" s="21">
        <v>5.8197510000000001E-2</v>
      </c>
    </row>
    <row r="1214" spans="1:8" x14ac:dyDescent="0.15">
      <c r="A1214" s="21">
        <v>2.3671879999999999E-2</v>
      </c>
      <c r="B1214" s="21">
        <f t="shared" si="36"/>
        <v>2.760959E-2</v>
      </c>
      <c r="D1214">
        <f t="shared" si="37"/>
        <v>12.081364779874214</v>
      </c>
      <c r="G1214" s="21">
        <v>-3.841874E-2</v>
      </c>
      <c r="H1214" s="21">
        <v>2.760959E-2</v>
      </c>
    </row>
    <row r="1215" spans="1:8" x14ac:dyDescent="0.15">
      <c r="A1215" s="21">
        <v>2.369141E-2</v>
      </c>
      <c r="B1215" s="21">
        <f t="shared" si="36"/>
        <v>-4.2203500000000003E-3</v>
      </c>
      <c r="D1215">
        <f t="shared" si="37"/>
        <v>-0.65346509433962252</v>
      </c>
      <c r="G1215" s="21">
        <v>2.078019E-3</v>
      </c>
      <c r="H1215" s="21">
        <v>-4.2203500000000003E-3</v>
      </c>
    </row>
    <row r="1216" spans="1:8" x14ac:dyDescent="0.15">
      <c r="A1216" s="21">
        <v>2.371094E-2</v>
      </c>
      <c r="B1216" s="21">
        <f t="shared" si="36"/>
        <v>-3.5838719999999998E-2</v>
      </c>
      <c r="D1216">
        <f t="shared" si="37"/>
        <v>-13.238128930817609</v>
      </c>
      <c r="G1216" s="21">
        <v>4.2097250000000003E-2</v>
      </c>
      <c r="H1216" s="21">
        <v>-3.5838719999999998E-2</v>
      </c>
    </row>
    <row r="1217" spans="1:8" x14ac:dyDescent="0.15">
      <c r="A1217" s="21">
        <v>2.373047E-2</v>
      </c>
      <c r="B1217" s="21">
        <f t="shared" si="36"/>
        <v>-6.6804150000000007E-2</v>
      </c>
      <c r="D1217">
        <f t="shared" si="37"/>
        <v>-25.635682389937102</v>
      </c>
      <c r="G1217" s="21">
        <v>8.1521469999999999E-2</v>
      </c>
      <c r="H1217" s="21">
        <v>-6.6804150000000007E-2</v>
      </c>
    </row>
    <row r="1218" spans="1:8" x14ac:dyDescent="0.15">
      <c r="A1218" s="21">
        <v>2.375E-2</v>
      </c>
      <c r="B1218" s="21">
        <f t="shared" ref="B1218:B1281" si="38">H1218</f>
        <v>-9.6486569999999994E-2</v>
      </c>
      <c r="D1218">
        <f t="shared" ref="D1218:D1281" si="39">G1218*-1000/3.18</f>
        <v>-37.50522012578616</v>
      </c>
      <c r="G1218" s="21">
        <v>0.1192666</v>
      </c>
      <c r="H1218" s="21">
        <v>-9.6486569999999994E-2</v>
      </c>
    </row>
    <row r="1219" spans="1:8" x14ac:dyDescent="0.15">
      <c r="A1219" s="21">
        <v>2.3769530000000001E-2</v>
      </c>
      <c r="B1219" s="21">
        <f t="shared" si="38"/>
        <v>-0.12399350000000001</v>
      </c>
      <c r="D1219">
        <f t="shared" si="39"/>
        <v>-48.54437106918239</v>
      </c>
      <c r="G1219" s="21">
        <v>0.15437110000000001</v>
      </c>
      <c r="H1219" s="21">
        <v>-0.12399350000000001</v>
      </c>
    </row>
    <row r="1220" spans="1:8" x14ac:dyDescent="0.15">
      <c r="A1220" s="21">
        <v>2.3789060000000001E-2</v>
      </c>
      <c r="B1220" s="21">
        <f t="shared" si="38"/>
        <v>-0.15003320000000001</v>
      </c>
      <c r="D1220">
        <f t="shared" si="39"/>
        <v>-59.086635220125785</v>
      </c>
      <c r="G1220" s="21">
        <v>0.18789549999999999</v>
      </c>
      <c r="H1220" s="21">
        <v>-0.15003320000000001</v>
      </c>
    </row>
    <row r="1221" spans="1:8" x14ac:dyDescent="0.15">
      <c r="A1221" s="21">
        <v>2.3808590000000001E-2</v>
      </c>
      <c r="B1221" s="21">
        <f t="shared" si="38"/>
        <v>-0.17415130000000001</v>
      </c>
      <c r="D1221">
        <f t="shared" si="39"/>
        <v>-68.715849056603773</v>
      </c>
      <c r="G1221" s="21">
        <v>0.2185164</v>
      </c>
      <c r="H1221" s="21">
        <v>-0.17415130000000001</v>
      </c>
    </row>
    <row r="1222" spans="1:8" x14ac:dyDescent="0.15">
      <c r="A1222" s="21">
        <v>2.3828129999999999E-2</v>
      </c>
      <c r="B1222" s="21">
        <f t="shared" si="38"/>
        <v>-0.19566420000000001</v>
      </c>
      <c r="D1222">
        <f t="shared" si="39"/>
        <v>-77.393238993710682</v>
      </c>
      <c r="G1222" s="21">
        <v>0.24611050000000001</v>
      </c>
      <c r="H1222" s="21">
        <v>-0.19566420000000001</v>
      </c>
    </row>
    <row r="1223" spans="1:8" x14ac:dyDescent="0.15">
      <c r="A1223" s="21">
        <v>2.384766E-2</v>
      </c>
      <c r="B1223" s="21">
        <f t="shared" si="38"/>
        <v>-0.21461569999999999</v>
      </c>
      <c r="D1223">
        <f t="shared" si="39"/>
        <v>-85.051163522012573</v>
      </c>
      <c r="G1223" s="21">
        <v>0.2704627</v>
      </c>
      <c r="H1223" s="21">
        <v>-0.21461569999999999</v>
      </c>
    </row>
    <row r="1224" spans="1:8" x14ac:dyDescent="0.15">
      <c r="A1224" s="21">
        <v>2.386719E-2</v>
      </c>
      <c r="B1224" s="21">
        <f t="shared" si="38"/>
        <v>-0.22909199999999999</v>
      </c>
      <c r="D1224">
        <f t="shared" si="39"/>
        <v>-90.859371069182387</v>
      </c>
      <c r="G1224" s="21">
        <v>0.28893279999999999</v>
      </c>
      <c r="H1224" s="21">
        <v>-0.22909199999999999</v>
      </c>
    </row>
    <row r="1225" spans="1:8" x14ac:dyDescent="0.15">
      <c r="A1225" s="21">
        <v>2.388672E-2</v>
      </c>
      <c r="B1225" s="21">
        <f t="shared" si="38"/>
        <v>-0.23990710000000001</v>
      </c>
      <c r="D1225">
        <f t="shared" si="39"/>
        <v>-95.433301886792464</v>
      </c>
      <c r="G1225" s="21">
        <v>0.30347790000000002</v>
      </c>
      <c r="H1225" s="21">
        <v>-0.23990710000000001</v>
      </c>
    </row>
    <row r="1226" spans="1:8" x14ac:dyDescent="0.15">
      <c r="A1226" s="21">
        <v>2.390625E-2</v>
      </c>
      <c r="B1226" s="21">
        <f t="shared" si="38"/>
        <v>-0.24851960000000001</v>
      </c>
      <c r="D1226">
        <f t="shared" si="39"/>
        <v>-99.000786163522008</v>
      </c>
      <c r="G1226" s="21">
        <v>0.31482250000000001</v>
      </c>
      <c r="H1226" s="21">
        <v>-0.24851960000000001</v>
      </c>
    </row>
    <row r="1227" spans="1:8" x14ac:dyDescent="0.15">
      <c r="A1227" s="21">
        <v>2.3925780000000001E-2</v>
      </c>
      <c r="B1227" s="21">
        <f t="shared" si="38"/>
        <v>-0.25285049999999998</v>
      </c>
      <c r="D1227">
        <f t="shared" si="39"/>
        <v>-100.74968553459119</v>
      </c>
      <c r="G1227" s="21">
        <v>0.320384</v>
      </c>
      <c r="H1227" s="21">
        <v>-0.25285049999999998</v>
      </c>
    </row>
    <row r="1228" spans="1:8" x14ac:dyDescent="0.15">
      <c r="A1228" s="21">
        <v>2.3945310000000001E-2</v>
      </c>
      <c r="B1228" s="21">
        <f t="shared" si="38"/>
        <v>-0.2535965</v>
      </c>
      <c r="D1228">
        <f t="shared" si="39"/>
        <v>-101.21323899371068</v>
      </c>
      <c r="G1228" s="21">
        <v>0.32185809999999998</v>
      </c>
      <c r="H1228" s="21">
        <v>-0.2535965</v>
      </c>
    </row>
    <row r="1229" spans="1:8" x14ac:dyDescent="0.15">
      <c r="A1229" s="21">
        <v>2.3964840000000001E-2</v>
      </c>
      <c r="B1229" s="21">
        <f t="shared" si="38"/>
        <v>-0.25101099999999998</v>
      </c>
      <c r="D1229">
        <f t="shared" si="39"/>
        <v>-100.25050314465409</v>
      </c>
      <c r="G1229" s="21">
        <v>0.31879659999999999</v>
      </c>
      <c r="H1229" s="21">
        <v>-0.25101099999999998</v>
      </c>
    </row>
    <row r="1230" spans="1:8" x14ac:dyDescent="0.15">
      <c r="A1230" s="21">
        <v>2.398438E-2</v>
      </c>
      <c r="B1230" s="21">
        <f t="shared" si="38"/>
        <v>-0.24359349999999999</v>
      </c>
      <c r="D1230">
        <f t="shared" si="39"/>
        <v>-97.355534591194967</v>
      </c>
      <c r="G1230" s="21">
        <v>0.30959059999999999</v>
      </c>
      <c r="H1230" s="21">
        <v>-0.24359349999999999</v>
      </c>
    </row>
    <row r="1231" spans="1:8" x14ac:dyDescent="0.15">
      <c r="A1231" s="21">
        <v>2.400391E-2</v>
      </c>
      <c r="B1231" s="21">
        <f t="shared" si="38"/>
        <v>-0.2328519</v>
      </c>
      <c r="D1231">
        <f t="shared" si="39"/>
        <v>-93.151226415094342</v>
      </c>
      <c r="G1231" s="21">
        <v>0.29622090000000001</v>
      </c>
      <c r="H1231" s="21">
        <v>-0.2328519</v>
      </c>
    </row>
    <row r="1232" spans="1:8" x14ac:dyDescent="0.15">
      <c r="A1232" s="21">
        <v>2.402344E-2</v>
      </c>
      <c r="B1232" s="21">
        <f t="shared" si="38"/>
        <v>-0.21921869999999999</v>
      </c>
      <c r="D1232">
        <f t="shared" si="39"/>
        <v>-87.714371069182377</v>
      </c>
      <c r="G1232" s="21">
        <v>0.2789317</v>
      </c>
      <c r="H1232" s="21">
        <v>-0.21921869999999999</v>
      </c>
    </row>
    <row r="1233" spans="1:8" x14ac:dyDescent="0.15">
      <c r="A1233" s="21">
        <v>2.404297E-2</v>
      </c>
      <c r="B1233" s="21">
        <f t="shared" si="38"/>
        <v>-0.202153</v>
      </c>
      <c r="D1233">
        <f t="shared" si="39"/>
        <v>-80.914371069182366</v>
      </c>
      <c r="G1233" s="21">
        <v>0.25730769999999997</v>
      </c>
      <c r="H1233" s="21">
        <v>-0.202153</v>
      </c>
    </row>
    <row r="1234" spans="1:8" x14ac:dyDescent="0.15">
      <c r="A1234" s="21">
        <v>2.4062500000000001E-2</v>
      </c>
      <c r="B1234" s="21">
        <f t="shared" si="38"/>
        <v>-0.18190429999999999</v>
      </c>
      <c r="D1234">
        <f t="shared" si="39"/>
        <v>-72.833081761006284</v>
      </c>
      <c r="G1234" s="21">
        <v>0.23160919999999999</v>
      </c>
      <c r="H1234" s="21">
        <v>-0.18190429999999999</v>
      </c>
    </row>
    <row r="1235" spans="1:8" x14ac:dyDescent="0.15">
      <c r="A1235" s="21">
        <v>2.4082030000000001E-2</v>
      </c>
      <c r="B1235" s="21">
        <f t="shared" si="38"/>
        <v>-0.15848860000000001</v>
      </c>
      <c r="D1235">
        <f t="shared" si="39"/>
        <v>-63.53223270440251</v>
      </c>
      <c r="G1235" s="21">
        <v>0.2020325</v>
      </c>
      <c r="H1235" s="21">
        <v>-0.15848860000000001</v>
      </c>
    </row>
    <row r="1236" spans="1:8" x14ac:dyDescent="0.15">
      <c r="A1236" s="21">
        <v>2.4101560000000001E-2</v>
      </c>
      <c r="B1236" s="21">
        <f t="shared" si="38"/>
        <v>-0.13276550000000001</v>
      </c>
      <c r="D1236">
        <f t="shared" si="39"/>
        <v>-53.296949685534585</v>
      </c>
      <c r="G1236" s="21">
        <v>0.1694843</v>
      </c>
      <c r="H1236" s="21">
        <v>-0.13276550000000001</v>
      </c>
    </row>
    <row r="1237" spans="1:8" x14ac:dyDescent="0.15">
      <c r="A1237" s="21">
        <v>2.4121090000000001E-2</v>
      </c>
      <c r="B1237" s="21">
        <f t="shared" si="38"/>
        <v>-0.1051692</v>
      </c>
      <c r="D1237">
        <f t="shared" si="39"/>
        <v>-42.233773584905656</v>
      </c>
      <c r="G1237" s="21">
        <v>0.13430339999999999</v>
      </c>
      <c r="H1237" s="21">
        <v>-0.1051692</v>
      </c>
    </row>
    <row r="1238" spans="1:8" x14ac:dyDescent="0.15">
      <c r="A1238" s="21">
        <v>2.4140620000000002E-2</v>
      </c>
      <c r="B1238" s="21">
        <f t="shared" si="38"/>
        <v>-7.5509119999999999E-2</v>
      </c>
      <c r="D1238">
        <f t="shared" si="39"/>
        <v>-30.378987421383648</v>
      </c>
      <c r="G1238" s="21">
        <v>9.6605179999999999E-2</v>
      </c>
      <c r="H1238" s="21">
        <v>-7.5509119999999999E-2</v>
      </c>
    </row>
    <row r="1239" spans="1:8" x14ac:dyDescent="0.15">
      <c r="A1239" s="21">
        <v>2.416016E-2</v>
      </c>
      <c r="B1239" s="21">
        <f t="shared" si="38"/>
        <v>-4.4892130000000002E-2</v>
      </c>
      <c r="D1239">
        <f t="shared" si="39"/>
        <v>-18.18546540880503</v>
      </c>
      <c r="G1239" s="21">
        <v>5.7829779999999997E-2</v>
      </c>
      <c r="H1239" s="21">
        <v>-4.4892130000000002E-2</v>
      </c>
    </row>
    <row r="1240" spans="1:8" x14ac:dyDescent="0.15">
      <c r="A1240" s="21">
        <v>2.417969E-2</v>
      </c>
      <c r="B1240" s="21">
        <f t="shared" si="38"/>
        <v>-1.392815E-2</v>
      </c>
      <c r="D1240">
        <f t="shared" si="39"/>
        <v>-5.8153647798742139</v>
      </c>
      <c r="G1240" s="21">
        <v>1.849286E-2</v>
      </c>
      <c r="H1240" s="21">
        <v>-1.392815E-2</v>
      </c>
    </row>
    <row r="1241" spans="1:8" x14ac:dyDescent="0.15">
      <c r="A1241" s="21">
        <v>2.419922E-2</v>
      </c>
      <c r="B1241" s="21">
        <f t="shared" si="38"/>
        <v>1.7908130000000001E-2</v>
      </c>
      <c r="D1241">
        <f t="shared" si="39"/>
        <v>6.9996289308176101</v>
      </c>
      <c r="G1241" s="21">
        <v>-2.2258819999999999E-2</v>
      </c>
      <c r="H1241" s="21">
        <v>1.7908130000000001E-2</v>
      </c>
    </row>
    <row r="1242" spans="1:8" x14ac:dyDescent="0.15">
      <c r="A1242" s="21">
        <v>2.4218750000000001E-2</v>
      </c>
      <c r="B1242" s="21">
        <f t="shared" si="38"/>
        <v>4.9219039999999999E-2</v>
      </c>
      <c r="D1242">
        <f t="shared" si="39"/>
        <v>19.549845911949685</v>
      </c>
      <c r="G1242" s="21">
        <v>-6.2168510000000003E-2</v>
      </c>
      <c r="H1242" s="21">
        <v>4.9219039999999999E-2</v>
      </c>
    </row>
    <row r="1243" spans="1:8" x14ac:dyDescent="0.15">
      <c r="A1243" s="21">
        <v>2.4238280000000001E-2</v>
      </c>
      <c r="B1243" s="21">
        <f t="shared" si="38"/>
        <v>7.9088649999999996E-2</v>
      </c>
      <c r="D1243">
        <f t="shared" si="39"/>
        <v>31.447830188679241</v>
      </c>
      <c r="G1243" s="21">
        <v>-0.1000041</v>
      </c>
      <c r="H1243" s="21">
        <v>7.9088649999999996E-2</v>
      </c>
    </row>
    <row r="1244" spans="1:8" x14ac:dyDescent="0.15">
      <c r="A1244" s="21">
        <v>2.4257810000000001E-2</v>
      </c>
      <c r="B1244" s="21">
        <f t="shared" si="38"/>
        <v>0.1082999</v>
      </c>
      <c r="D1244">
        <f t="shared" si="39"/>
        <v>43.245660377358497</v>
      </c>
      <c r="G1244" s="21">
        <v>-0.13752120000000001</v>
      </c>
      <c r="H1244" s="21">
        <v>0.1082999</v>
      </c>
    </row>
    <row r="1245" spans="1:8" x14ac:dyDescent="0.15">
      <c r="A1245" s="21">
        <v>2.4277340000000001E-2</v>
      </c>
      <c r="B1245" s="21">
        <f t="shared" si="38"/>
        <v>0.1359312</v>
      </c>
      <c r="D1245">
        <f t="shared" si="39"/>
        <v>54.43817610062893</v>
      </c>
      <c r="G1245" s="21">
        <v>-0.1731134</v>
      </c>
      <c r="H1245" s="21">
        <v>0.1359312</v>
      </c>
    </row>
    <row r="1246" spans="1:8" x14ac:dyDescent="0.15">
      <c r="A1246" s="21">
        <v>2.4296870000000002E-2</v>
      </c>
      <c r="B1246" s="21">
        <f t="shared" si="38"/>
        <v>0.1610963</v>
      </c>
      <c r="D1246">
        <f t="shared" si="39"/>
        <v>64.540660377358492</v>
      </c>
      <c r="G1246" s="21">
        <v>-0.20523930000000001</v>
      </c>
      <c r="H1246" s="21">
        <v>0.1610963</v>
      </c>
    </row>
    <row r="1247" spans="1:8" x14ac:dyDescent="0.15">
      <c r="A1247" s="21">
        <v>2.431641E-2</v>
      </c>
      <c r="B1247" s="21">
        <f t="shared" si="38"/>
        <v>0.1838997</v>
      </c>
      <c r="D1247">
        <f t="shared" si="39"/>
        <v>73.750251572327045</v>
      </c>
      <c r="G1247" s="21">
        <v>-0.23452580000000001</v>
      </c>
      <c r="H1247" s="21">
        <v>0.1838997</v>
      </c>
    </row>
    <row r="1248" spans="1:8" x14ac:dyDescent="0.15">
      <c r="A1248" s="21">
        <v>2.433594E-2</v>
      </c>
      <c r="B1248" s="21">
        <f t="shared" si="38"/>
        <v>0.20399809999999999</v>
      </c>
      <c r="D1248">
        <f t="shared" si="39"/>
        <v>81.869433962264139</v>
      </c>
      <c r="G1248" s="21">
        <v>-0.26034479999999999</v>
      </c>
      <c r="H1248" s="21">
        <v>0.20399809999999999</v>
      </c>
    </row>
    <row r="1249" spans="1:8" x14ac:dyDescent="0.15">
      <c r="A1249" s="21">
        <v>2.4355470000000001E-2</v>
      </c>
      <c r="B1249" s="21">
        <f t="shared" si="38"/>
        <v>0.2207923</v>
      </c>
      <c r="D1249">
        <f t="shared" si="39"/>
        <v>88.695597484276732</v>
      </c>
      <c r="G1249" s="21">
        <v>-0.28205200000000002</v>
      </c>
      <c r="H1249" s="21">
        <v>0.2207923</v>
      </c>
    </row>
    <row r="1250" spans="1:8" x14ac:dyDescent="0.15">
      <c r="A1250" s="21">
        <v>2.4375000000000001E-2</v>
      </c>
      <c r="B1250" s="21">
        <f t="shared" si="38"/>
        <v>0.23430100000000001</v>
      </c>
      <c r="D1250">
        <f t="shared" si="39"/>
        <v>94.268081761006272</v>
      </c>
      <c r="G1250" s="21">
        <v>-0.2997725</v>
      </c>
      <c r="H1250" s="21">
        <v>0.23430100000000001</v>
      </c>
    </row>
    <row r="1251" spans="1:8" x14ac:dyDescent="0.15">
      <c r="A1251" s="21">
        <v>2.4394530000000001E-2</v>
      </c>
      <c r="B1251" s="21">
        <f t="shared" si="38"/>
        <v>0.24496280000000001</v>
      </c>
      <c r="D1251">
        <f t="shared" si="39"/>
        <v>98.599622641509441</v>
      </c>
      <c r="G1251" s="21">
        <v>-0.31354680000000001</v>
      </c>
      <c r="H1251" s="21">
        <v>0.24496280000000001</v>
      </c>
    </row>
    <row r="1252" spans="1:8" x14ac:dyDescent="0.15">
      <c r="A1252" s="21">
        <v>2.4414060000000001E-2</v>
      </c>
      <c r="B1252" s="21">
        <f t="shared" si="38"/>
        <v>0.25187900000000002</v>
      </c>
      <c r="D1252">
        <f t="shared" si="39"/>
        <v>101.3811320754717</v>
      </c>
      <c r="G1252" s="21">
        <v>-0.32239200000000001</v>
      </c>
      <c r="H1252" s="21">
        <v>0.25187900000000002</v>
      </c>
    </row>
    <row r="1253" spans="1:8" x14ac:dyDescent="0.15">
      <c r="A1253" s="21">
        <v>2.4433590000000002E-2</v>
      </c>
      <c r="B1253" s="21">
        <f t="shared" si="38"/>
        <v>0.25463160000000001</v>
      </c>
      <c r="D1253">
        <f t="shared" si="39"/>
        <v>102.51493710691824</v>
      </c>
      <c r="G1253" s="21">
        <v>-0.3259975</v>
      </c>
      <c r="H1253" s="21">
        <v>0.25463160000000001</v>
      </c>
    </row>
    <row r="1254" spans="1:8" x14ac:dyDescent="0.15">
      <c r="A1254" s="21">
        <v>2.4453119999999998E-2</v>
      </c>
      <c r="B1254" s="21">
        <f t="shared" si="38"/>
        <v>0.25388490000000002</v>
      </c>
      <c r="D1254">
        <f t="shared" si="39"/>
        <v>102.23698113207547</v>
      </c>
      <c r="G1254" s="21">
        <v>-0.3251136</v>
      </c>
      <c r="H1254" s="21">
        <v>0.25388490000000002</v>
      </c>
    </row>
    <row r="1255" spans="1:8" x14ac:dyDescent="0.15">
      <c r="A1255" s="21">
        <v>2.447266E-2</v>
      </c>
      <c r="B1255" s="21">
        <f t="shared" si="38"/>
        <v>0.24911249999999999</v>
      </c>
      <c r="D1255">
        <f t="shared" si="39"/>
        <v>100.38597484276728</v>
      </c>
      <c r="G1255" s="21">
        <v>-0.31922739999999999</v>
      </c>
      <c r="H1255" s="21">
        <v>0.24911249999999999</v>
      </c>
    </row>
    <row r="1256" spans="1:8" x14ac:dyDescent="0.15">
      <c r="A1256" s="21">
        <v>2.449219E-2</v>
      </c>
      <c r="B1256" s="21">
        <f t="shared" si="38"/>
        <v>0.24061250000000001</v>
      </c>
      <c r="D1256">
        <f t="shared" si="39"/>
        <v>97.066320754716983</v>
      </c>
      <c r="G1256" s="21">
        <v>-0.30867090000000003</v>
      </c>
      <c r="H1256" s="21">
        <v>0.24061250000000001</v>
      </c>
    </row>
    <row r="1257" spans="1:8" x14ac:dyDescent="0.15">
      <c r="A1257" s="21">
        <v>2.4511720000000001E-2</v>
      </c>
      <c r="B1257" s="21">
        <f t="shared" si="38"/>
        <v>0.22924649999999999</v>
      </c>
      <c r="D1257">
        <f t="shared" si="39"/>
        <v>92.529308176100628</v>
      </c>
      <c r="G1257" s="21">
        <v>-0.29424319999999998</v>
      </c>
      <c r="H1257" s="21">
        <v>0.22924649999999999</v>
      </c>
    </row>
    <row r="1258" spans="1:8" x14ac:dyDescent="0.15">
      <c r="A1258" s="21">
        <v>2.4531250000000001E-2</v>
      </c>
      <c r="B1258" s="21">
        <f t="shared" si="38"/>
        <v>0.2142539</v>
      </c>
      <c r="D1258">
        <f t="shared" si="39"/>
        <v>86.495849056603774</v>
      </c>
      <c r="G1258" s="21">
        <v>-0.27505679999999999</v>
      </c>
      <c r="H1258" s="21">
        <v>0.2142539</v>
      </c>
    </row>
    <row r="1259" spans="1:8" x14ac:dyDescent="0.15">
      <c r="A1259" s="21">
        <v>2.4550780000000001E-2</v>
      </c>
      <c r="B1259" s="21">
        <f t="shared" si="38"/>
        <v>0.19566359999999999</v>
      </c>
      <c r="D1259">
        <f t="shared" si="39"/>
        <v>79.103993710691825</v>
      </c>
      <c r="G1259" s="21">
        <v>-0.25155070000000002</v>
      </c>
      <c r="H1259" s="21">
        <v>0.19566359999999999</v>
      </c>
    </row>
    <row r="1260" spans="1:8" x14ac:dyDescent="0.15">
      <c r="A1260" s="21">
        <v>2.4570310000000001E-2</v>
      </c>
      <c r="B1260" s="21">
        <f t="shared" si="38"/>
        <v>0.17397299999999999</v>
      </c>
      <c r="D1260">
        <f t="shared" si="39"/>
        <v>70.51201257861635</v>
      </c>
      <c r="G1260" s="21">
        <v>-0.22422819999999999</v>
      </c>
      <c r="H1260" s="21">
        <v>0.17397299999999999</v>
      </c>
    </row>
    <row r="1261" spans="1:8" x14ac:dyDescent="0.15">
      <c r="A1261" s="21">
        <v>2.4589840000000002E-2</v>
      </c>
      <c r="B1261" s="21">
        <f t="shared" si="38"/>
        <v>0.14915030000000001</v>
      </c>
      <c r="D1261">
        <f t="shared" si="39"/>
        <v>60.609465408805029</v>
      </c>
      <c r="G1261" s="21">
        <v>-0.1927381</v>
      </c>
      <c r="H1261" s="21">
        <v>0.14915030000000001</v>
      </c>
    </row>
    <row r="1262" spans="1:8" x14ac:dyDescent="0.15">
      <c r="A1262" s="21">
        <v>2.4609369999999998E-2</v>
      </c>
      <c r="B1262" s="21">
        <f t="shared" si="38"/>
        <v>0.12255439999999999</v>
      </c>
      <c r="D1262">
        <f t="shared" si="39"/>
        <v>50.03084905660377</v>
      </c>
      <c r="G1262" s="21">
        <v>-0.15909809999999999</v>
      </c>
      <c r="H1262" s="21">
        <v>0.12255439999999999</v>
      </c>
    </row>
    <row r="1263" spans="1:8" x14ac:dyDescent="0.15">
      <c r="A1263" s="21">
        <v>2.462891E-2</v>
      </c>
      <c r="B1263" s="21">
        <f t="shared" si="38"/>
        <v>9.4593440000000001E-2</v>
      </c>
      <c r="D1263">
        <f t="shared" si="39"/>
        <v>38.894339622641503</v>
      </c>
      <c r="G1263" s="21">
        <v>-0.123684</v>
      </c>
      <c r="H1263" s="21">
        <v>9.4593440000000001E-2</v>
      </c>
    </row>
    <row r="1264" spans="1:8" x14ac:dyDescent="0.15">
      <c r="A1264" s="21">
        <v>2.4648440000000001E-2</v>
      </c>
      <c r="B1264" s="21">
        <f t="shared" si="38"/>
        <v>6.4779000000000003E-2</v>
      </c>
      <c r="D1264">
        <f t="shared" si="39"/>
        <v>26.990295597484273</v>
      </c>
      <c r="G1264" s="21">
        <v>-8.5829139999999998E-2</v>
      </c>
      <c r="H1264" s="21">
        <v>6.4779000000000003E-2</v>
      </c>
    </row>
    <row r="1265" spans="1:8" x14ac:dyDescent="0.15">
      <c r="A1265" s="21">
        <v>2.4667970000000001E-2</v>
      </c>
      <c r="B1265" s="21">
        <f t="shared" si="38"/>
        <v>3.393057E-2</v>
      </c>
      <c r="D1265">
        <f t="shared" si="39"/>
        <v>14.690899371069181</v>
      </c>
      <c r="G1265" s="21">
        <v>-4.6717059999999998E-2</v>
      </c>
      <c r="H1265" s="21">
        <v>3.393057E-2</v>
      </c>
    </row>
    <row r="1266" spans="1:8" x14ac:dyDescent="0.15">
      <c r="A1266" s="21">
        <v>2.4687500000000001E-2</v>
      </c>
      <c r="B1266" s="21">
        <f t="shared" si="38"/>
        <v>2.1547179999999999E-3</v>
      </c>
      <c r="D1266">
        <f t="shared" si="39"/>
        <v>1.9413654088050312</v>
      </c>
      <c r="G1266" s="21">
        <v>-6.1735419999999997E-3</v>
      </c>
      <c r="H1266" s="21">
        <v>2.1547179999999999E-3</v>
      </c>
    </row>
    <row r="1267" spans="1:8" x14ac:dyDescent="0.15">
      <c r="A1267" s="21">
        <v>2.4707030000000001E-2</v>
      </c>
      <c r="B1267" s="21">
        <f t="shared" si="38"/>
        <v>-2.9652560000000001E-2</v>
      </c>
      <c r="D1267">
        <f t="shared" si="39"/>
        <v>-10.736512578616352</v>
      </c>
      <c r="G1267" s="21">
        <v>3.4142110000000003E-2</v>
      </c>
      <c r="H1267" s="21">
        <v>-2.9652560000000001E-2</v>
      </c>
    </row>
    <row r="1268" spans="1:8" x14ac:dyDescent="0.15">
      <c r="A1268" s="21">
        <v>2.4726560000000002E-2</v>
      </c>
      <c r="B1268" s="21">
        <f t="shared" si="38"/>
        <v>-6.0198359999999999E-2</v>
      </c>
      <c r="D1268">
        <f t="shared" si="39"/>
        <v>-22.898465408805031</v>
      </c>
      <c r="G1268" s="21">
        <v>7.2817119999999999E-2</v>
      </c>
      <c r="H1268" s="21">
        <v>-6.0198359999999999E-2</v>
      </c>
    </row>
    <row r="1269" spans="1:8" x14ac:dyDescent="0.15">
      <c r="A1269" s="21">
        <v>2.4746089999999998E-2</v>
      </c>
      <c r="B1269" s="21">
        <f t="shared" si="38"/>
        <v>-8.9846570000000001E-2</v>
      </c>
      <c r="D1269">
        <f t="shared" si="39"/>
        <v>-34.870974842767289</v>
      </c>
      <c r="G1269" s="21">
        <v>0.11088969999999999</v>
      </c>
      <c r="H1269" s="21">
        <v>-8.9846570000000001E-2</v>
      </c>
    </row>
    <row r="1270" spans="1:8" x14ac:dyDescent="0.15">
      <c r="A1270" s="21">
        <v>2.4765619999999999E-2</v>
      </c>
      <c r="B1270" s="21">
        <f t="shared" si="38"/>
        <v>-0.1180988</v>
      </c>
      <c r="D1270">
        <f t="shared" si="39"/>
        <v>-46.185880503144652</v>
      </c>
      <c r="G1270" s="21">
        <v>0.1468711</v>
      </c>
      <c r="H1270" s="21">
        <v>-0.1180988</v>
      </c>
    </row>
    <row r="1271" spans="1:8" x14ac:dyDescent="0.15">
      <c r="A1271" s="21">
        <v>2.4785160000000001E-2</v>
      </c>
      <c r="B1271" s="21">
        <f t="shared" si="38"/>
        <v>-0.1445379</v>
      </c>
      <c r="D1271">
        <f t="shared" si="39"/>
        <v>-56.779276729559747</v>
      </c>
      <c r="G1271" s="21">
        <v>0.1805581</v>
      </c>
      <c r="H1271" s="21">
        <v>-0.1445379</v>
      </c>
    </row>
    <row r="1272" spans="1:8" x14ac:dyDescent="0.15">
      <c r="A1272" s="21">
        <v>2.4804690000000001E-2</v>
      </c>
      <c r="B1272" s="21">
        <f t="shared" si="38"/>
        <v>-0.16923160000000001</v>
      </c>
      <c r="D1272">
        <f t="shared" si="39"/>
        <v>-66.760974842767297</v>
      </c>
      <c r="G1272" s="21">
        <v>0.21229990000000001</v>
      </c>
      <c r="H1272" s="21">
        <v>-0.16923160000000001</v>
      </c>
    </row>
    <row r="1273" spans="1:8" x14ac:dyDescent="0.15">
      <c r="A1273" s="21">
        <v>2.4824220000000001E-2</v>
      </c>
      <c r="B1273" s="21">
        <f t="shared" si="38"/>
        <v>-0.1913503</v>
      </c>
      <c r="D1273">
        <f t="shared" si="39"/>
        <v>-75.615220125786152</v>
      </c>
      <c r="G1273" s="21">
        <v>0.24045639999999999</v>
      </c>
      <c r="H1273" s="21">
        <v>-0.1913503</v>
      </c>
    </row>
    <row r="1274" spans="1:8" x14ac:dyDescent="0.15">
      <c r="A1274" s="21">
        <v>2.4843750000000001E-2</v>
      </c>
      <c r="B1274" s="21">
        <f t="shared" si="38"/>
        <v>-0.21035699999999999</v>
      </c>
      <c r="D1274">
        <f t="shared" si="39"/>
        <v>-83.305283018867925</v>
      </c>
      <c r="G1274" s="21">
        <v>0.2649108</v>
      </c>
      <c r="H1274" s="21">
        <v>-0.21035699999999999</v>
      </c>
    </row>
    <row r="1275" spans="1:8" x14ac:dyDescent="0.15">
      <c r="A1275" s="21">
        <v>2.4863280000000001E-2</v>
      </c>
      <c r="B1275" s="21">
        <f t="shared" si="38"/>
        <v>-0.22579979999999999</v>
      </c>
      <c r="D1275">
        <f t="shared" si="39"/>
        <v>-89.593301886792446</v>
      </c>
      <c r="G1275" s="21">
        <v>0.28490670000000001</v>
      </c>
      <c r="H1275" s="21">
        <v>-0.22579979999999999</v>
      </c>
    </row>
    <row r="1276" spans="1:8" x14ac:dyDescent="0.15">
      <c r="A1276" s="21">
        <v>2.4882810000000002E-2</v>
      </c>
      <c r="B1276" s="21">
        <f t="shared" si="38"/>
        <v>-0.2375873</v>
      </c>
      <c r="D1276">
        <f t="shared" si="39"/>
        <v>-94.364025157232703</v>
      </c>
      <c r="G1276" s="21">
        <v>0.3000776</v>
      </c>
      <c r="H1276" s="21">
        <v>-0.2375873</v>
      </c>
    </row>
    <row r="1277" spans="1:8" x14ac:dyDescent="0.15">
      <c r="A1277" s="21">
        <v>2.4902339999999999E-2</v>
      </c>
      <c r="B1277" s="21">
        <f t="shared" si="38"/>
        <v>-0.24657760000000001</v>
      </c>
      <c r="D1277">
        <f t="shared" si="39"/>
        <v>-98.141415094339635</v>
      </c>
      <c r="G1277" s="21">
        <v>0.31208970000000003</v>
      </c>
      <c r="H1277" s="21">
        <v>-0.24657760000000001</v>
      </c>
    </row>
    <row r="1278" spans="1:8" x14ac:dyDescent="0.15">
      <c r="A1278" s="21">
        <v>2.4921869999999999E-2</v>
      </c>
      <c r="B1278" s="21">
        <f t="shared" si="38"/>
        <v>-0.25225180000000003</v>
      </c>
      <c r="D1278">
        <f t="shared" si="39"/>
        <v>-100.49022012578615</v>
      </c>
      <c r="G1278" s="21">
        <v>0.31955889999999998</v>
      </c>
      <c r="H1278" s="21">
        <v>-0.25225180000000003</v>
      </c>
    </row>
    <row r="1279" spans="1:8" x14ac:dyDescent="0.15">
      <c r="A1279" s="21">
        <v>2.4941410000000001E-2</v>
      </c>
      <c r="B1279" s="21">
        <f t="shared" si="38"/>
        <v>-0.25346999999999997</v>
      </c>
      <c r="D1279">
        <f t="shared" si="39"/>
        <v>-100.93820754716981</v>
      </c>
      <c r="G1279" s="21">
        <v>0.32098349999999998</v>
      </c>
      <c r="H1279" s="21">
        <v>-0.25346999999999997</v>
      </c>
    </row>
    <row r="1280" spans="1:8" x14ac:dyDescent="0.15">
      <c r="A1280" s="21">
        <v>2.4960940000000001E-2</v>
      </c>
      <c r="B1280" s="21">
        <f t="shared" si="38"/>
        <v>-0.25128139999999999</v>
      </c>
      <c r="D1280">
        <f t="shared" si="39"/>
        <v>-100.24462264150942</v>
      </c>
      <c r="G1280" s="21">
        <v>0.3187779</v>
      </c>
      <c r="H1280" s="21">
        <v>-0.25128139999999999</v>
      </c>
    </row>
    <row r="1281" spans="1:8" x14ac:dyDescent="0.15">
      <c r="A1281" s="21">
        <v>2.4980470000000001E-2</v>
      </c>
      <c r="B1281" s="21">
        <f t="shared" si="38"/>
        <v>-0.2453996</v>
      </c>
      <c r="D1281">
        <f t="shared" si="39"/>
        <v>-97.957798742138365</v>
      </c>
      <c r="G1281" s="21">
        <v>0.3115058</v>
      </c>
      <c r="H1281" s="21">
        <v>-0.2453996</v>
      </c>
    </row>
    <row r="1282" spans="1:8" x14ac:dyDescent="0.15">
      <c r="A1282" s="21">
        <v>2.5000000000000001E-2</v>
      </c>
      <c r="B1282" s="21">
        <f t="shared" ref="B1282:B1345" si="40">H1282</f>
        <v>-0.23482130000000001</v>
      </c>
      <c r="D1282">
        <f t="shared" ref="D1282:D1345" si="41">G1282*-1000/3.18</f>
        <v>-93.678679245283007</v>
      </c>
      <c r="G1282" s="21">
        <v>0.2978982</v>
      </c>
      <c r="H1282" s="21">
        <v>-0.23482130000000001</v>
      </c>
    </row>
    <row r="1283" spans="1:8" x14ac:dyDescent="0.15">
      <c r="A1283" s="21">
        <v>2.5019530000000002E-2</v>
      </c>
      <c r="B1283" s="21">
        <f t="shared" si="40"/>
        <v>-0.22158749999999999</v>
      </c>
      <c r="D1283">
        <f t="shared" si="41"/>
        <v>-88.599088050314478</v>
      </c>
      <c r="G1283" s="21">
        <v>0.28174510000000003</v>
      </c>
      <c r="H1283" s="21">
        <v>-0.22158749999999999</v>
      </c>
    </row>
    <row r="1284" spans="1:8" x14ac:dyDescent="0.15">
      <c r="A1284" s="21">
        <v>2.5039059999999998E-2</v>
      </c>
      <c r="B1284" s="21">
        <f t="shared" si="40"/>
        <v>-0.20558399999999999</v>
      </c>
      <c r="D1284">
        <f t="shared" si="41"/>
        <v>-82.242075471698101</v>
      </c>
      <c r="G1284" s="21">
        <v>0.26152979999999998</v>
      </c>
      <c r="H1284" s="21">
        <v>-0.20558399999999999</v>
      </c>
    </row>
    <row r="1285" spans="1:8" x14ac:dyDescent="0.15">
      <c r="A1285" s="21">
        <v>2.5058589999999999E-2</v>
      </c>
      <c r="B1285" s="21">
        <f t="shared" si="40"/>
        <v>-0.18580730000000001</v>
      </c>
      <c r="D1285">
        <f t="shared" si="41"/>
        <v>-74.30694968553459</v>
      </c>
      <c r="G1285" s="21">
        <v>0.23629610000000001</v>
      </c>
      <c r="H1285" s="21">
        <v>-0.18580730000000001</v>
      </c>
    </row>
    <row r="1286" spans="1:8" x14ac:dyDescent="0.15">
      <c r="A1286" s="21">
        <v>2.5078119999999999E-2</v>
      </c>
      <c r="B1286" s="21">
        <f t="shared" si="40"/>
        <v>-0.1633994</v>
      </c>
      <c r="D1286">
        <f t="shared" si="41"/>
        <v>-65.440503144654087</v>
      </c>
      <c r="G1286" s="21">
        <v>0.2081008</v>
      </c>
      <c r="H1286" s="21">
        <v>-0.1633994</v>
      </c>
    </row>
    <row r="1287" spans="1:8" x14ac:dyDescent="0.15">
      <c r="A1287" s="21">
        <v>2.5097660000000001E-2</v>
      </c>
      <c r="B1287" s="21">
        <f t="shared" si="40"/>
        <v>-0.1377863</v>
      </c>
      <c r="D1287">
        <f t="shared" si="41"/>
        <v>-55.142924528301883</v>
      </c>
      <c r="G1287" s="21">
        <v>0.1753545</v>
      </c>
      <c r="H1287" s="21">
        <v>-0.1377863</v>
      </c>
    </row>
    <row r="1288" spans="1:8" x14ac:dyDescent="0.15">
      <c r="A1288" s="21">
        <v>2.5117190000000001E-2</v>
      </c>
      <c r="B1288" s="21">
        <f t="shared" si="40"/>
        <v>-0.1098768</v>
      </c>
      <c r="D1288">
        <f t="shared" si="41"/>
        <v>-44.087421383647786</v>
      </c>
      <c r="G1288" s="21">
        <v>0.14019799999999999</v>
      </c>
      <c r="H1288" s="21">
        <v>-0.1098768</v>
      </c>
    </row>
    <row r="1289" spans="1:8" x14ac:dyDescent="0.15">
      <c r="A1289" s="21">
        <v>2.5136720000000001E-2</v>
      </c>
      <c r="B1289" s="21">
        <f t="shared" si="40"/>
        <v>-8.1142710000000007E-2</v>
      </c>
      <c r="D1289">
        <f t="shared" si="41"/>
        <v>-32.674465408805034</v>
      </c>
      <c r="G1289" s="21">
        <v>0.10390480000000001</v>
      </c>
      <c r="H1289" s="21">
        <v>-8.1142710000000007E-2</v>
      </c>
    </row>
    <row r="1290" spans="1:8" x14ac:dyDescent="0.15">
      <c r="A1290" s="21">
        <v>2.5156250000000002E-2</v>
      </c>
      <c r="B1290" s="21">
        <f t="shared" si="40"/>
        <v>-5.0809170000000001E-2</v>
      </c>
      <c r="D1290">
        <f t="shared" si="41"/>
        <v>-20.437452830188679</v>
      </c>
      <c r="G1290" s="21">
        <v>6.4991099999999996E-2</v>
      </c>
      <c r="H1290" s="21">
        <v>-5.0809170000000001E-2</v>
      </c>
    </row>
    <row r="1291" spans="1:8" x14ac:dyDescent="0.15">
      <c r="A1291" s="21">
        <v>2.5175779999999998E-2</v>
      </c>
      <c r="B1291" s="21">
        <f t="shared" si="40"/>
        <v>-1.989461E-2</v>
      </c>
      <c r="D1291">
        <f t="shared" si="41"/>
        <v>-8.1530251572327046</v>
      </c>
      <c r="G1291" s="21">
        <v>2.5926620000000001E-2</v>
      </c>
      <c r="H1291" s="21">
        <v>-1.989461E-2</v>
      </c>
    </row>
    <row r="1292" spans="1:8" x14ac:dyDescent="0.15">
      <c r="A1292" s="21">
        <v>2.5195309999999999E-2</v>
      </c>
      <c r="B1292" s="21">
        <f t="shared" si="40"/>
        <v>1.1332760000000001E-2</v>
      </c>
      <c r="D1292">
        <f t="shared" si="41"/>
        <v>4.3347421383647795</v>
      </c>
      <c r="G1292" s="21">
        <v>-1.378448E-2</v>
      </c>
      <c r="H1292" s="21">
        <v>1.1332760000000001E-2</v>
      </c>
    </row>
    <row r="1293" spans="1:8" x14ac:dyDescent="0.15">
      <c r="A1293" s="21">
        <v>2.5214839999999999E-2</v>
      </c>
      <c r="B1293" s="21">
        <f t="shared" si="40"/>
        <v>4.3330939999999998E-2</v>
      </c>
      <c r="D1293">
        <f t="shared" si="41"/>
        <v>17.270864779874213</v>
      </c>
      <c r="G1293" s="21">
        <v>-5.4921350000000001E-2</v>
      </c>
      <c r="H1293" s="21">
        <v>4.3330939999999998E-2</v>
      </c>
    </row>
    <row r="1294" spans="1:8" x14ac:dyDescent="0.15">
      <c r="A1294" s="21">
        <v>2.5234369999999999E-2</v>
      </c>
      <c r="B1294" s="21">
        <f t="shared" si="40"/>
        <v>7.4080289999999993E-2</v>
      </c>
      <c r="D1294">
        <f t="shared" si="41"/>
        <v>29.57741194968553</v>
      </c>
      <c r="G1294" s="21">
        <v>-9.4056169999999995E-2</v>
      </c>
      <c r="H1294" s="21">
        <v>7.4080289999999993E-2</v>
      </c>
    </row>
    <row r="1295" spans="1:8" x14ac:dyDescent="0.15">
      <c r="A1295" s="21">
        <v>2.5253910000000001E-2</v>
      </c>
      <c r="B1295" s="21">
        <f t="shared" si="40"/>
        <v>0.1030441</v>
      </c>
      <c r="D1295">
        <f t="shared" si="41"/>
        <v>41.179182389937111</v>
      </c>
      <c r="G1295" s="21">
        <v>-0.13094980000000001</v>
      </c>
      <c r="H1295" s="21">
        <v>0.1030441</v>
      </c>
    </row>
    <row r="1296" spans="1:8" x14ac:dyDescent="0.15">
      <c r="A1296" s="21">
        <v>2.5273440000000001E-2</v>
      </c>
      <c r="B1296" s="21">
        <f t="shared" si="40"/>
        <v>0.13068299999999999</v>
      </c>
      <c r="D1296">
        <f t="shared" si="41"/>
        <v>52.34698113207547</v>
      </c>
      <c r="G1296" s="21">
        <v>-0.16646340000000001</v>
      </c>
      <c r="H1296" s="21">
        <v>0.13068299999999999</v>
      </c>
    </row>
    <row r="1297" spans="1:8" x14ac:dyDescent="0.15">
      <c r="A1297" s="21">
        <v>2.5292970000000001E-2</v>
      </c>
      <c r="B1297" s="21">
        <f t="shared" si="40"/>
        <v>0.15627740000000001</v>
      </c>
      <c r="D1297">
        <f t="shared" si="41"/>
        <v>62.674339622641504</v>
      </c>
      <c r="G1297" s="21">
        <v>-0.19930439999999999</v>
      </c>
      <c r="H1297" s="21">
        <v>0.15627740000000001</v>
      </c>
    </row>
    <row r="1298" spans="1:8" x14ac:dyDescent="0.15">
      <c r="A1298" s="21">
        <v>2.5312500000000002E-2</v>
      </c>
      <c r="B1298" s="21">
        <f t="shared" si="40"/>
        <v>0.1797531</v>
      </c>
      <c r="D1298">
        <f t="shared" si="41"/>
        <v>72.149559748427663</v>
      </c>
      <c r="G1298" s="21">
        <v>-0.22943559999999999</v>
      </c>
      <c r="H1298" s="21">
        <v>0.1797531</v>
      </c>
    </row>
    <row r="1299" spans="1:8" x14ac:dyDescent="0.15">
      <c r="A1299" s="21">
        <v>2.5332029999999998E-2</v>
      </c>
      <c r="B1299" s="21">
        <f t="shared" si="40"/>
        <v>0.20052320000000001</v>
      </c>
      <c r="D1299">
        <f t="shared" si="41"/>
        <v>80.523773584905655</v>
      </c>
      <c r="G1299" s="21">
        <v>-0.2560656</v>
      </c>
      <c r="H1299" s="21">
        <v>0.20052320000000001</v>
      </c>
    </row>
    <row r="1300" spans="1:8" x14ac:dyDescent="0.15">
      <c r="A1300" s="21">
        <v>2.5351559999999999E-2</v>
      </c>
      <c r="B1300" s="21">
        <f t="shared" si="40"/>
        <v>0.21807879999999999</v>
      </c>
      <c r="D1300">
        <f t="shared" si="41"/>
        <v>87.59238993710693</v>
      </c>
      <c r="G1300" s="21">
        <v>-0.27854380000000001</v>
      </c>
      <c r="H1300" s="21">
        <v>0.21807879999999999</v>
      </c>
    </row>
    <row r="1301" spans="1:8" x14ac:dyDescent="0.15">
      <c r="A1301" s="21">
        <v>2.5371089999999999E-2</v>
      </c>
      <c r="B1301" s="21">
        <f t="shared" si="40"/>
        <v>0.23258760000000001</v>
      </c>
      <c r="D1301">
        <f t="shared" si="41"/>
        <v>93.552264150943387</v>
      </c>
      <c r="G1301" s="21">
        <v>-0.29749619999999999</v>
      </c>
      <c r="H1301" s="21">
        <v>0.23258760000000001</v>
      </c>
    </row>
    <row r="1302" spans="1:8" x14ac:dyDescent="0.15">
      <c r="A1302" s="21">
        <v>2.5390619999999999E-2</v>
      </c>
      <c r="B1302" s="21">
        <f t="shared" si="40"/>
        <v>0.24327689999999999</v>
      </c>
      <c r="D1302">
        <f t="shared" si="41"/>
        <v>97.93264150943395</v>
      </c>
      <c r="G1302" s="21">
        <v>-0.31142579999999997</v>
      </c>
      <c r="H1302" s="21">
        <v>0.24327689999999999</v>
      </c>
    </row>
    <row r="1303" spans="1:8" x14ac:dyDescent="0.15">
      <c r="A1303" s="21">
        <v>2.5410160000000001E-2</v>
      </c>
      <c r="B1303" s="21">
        <f t="shared" si="40"/>
        <v>0.25042249999999999</v>
      </c>
      <c r="D1303">
        <f t="shared" si="41"/>
        <v>100.81698113207547</v>
      </c>
      <c r="G1303" s="21">
        <v>-0.32059799999999999</v>
      </c>
      <c r="H1303" s="21">
        <v>0.25042249999999999</v>
      </c>
    </row>
    <row r="1304" spans="1:8" x14ac:dyDescent="0.15">
      <c r="A1304" s="21">
        <v>2.5429690000000001E-2</v>
      </c>
      <c r="B1304" s="21">
        <f t="shared" si="40"/>
        <v>0.2545307</v>
      </c>
      <c r="D1304">
        <f t="shared" si="41"/>
        <v>102.57540880503144</v>
      </c>
      <c r="G1304" s="21">
        <v>-0.32618979999999997</v>
      </c>
      <c r="H1304" s="21">
        <v>0.2545307</v>
      </c>
    </row>
    <row r="1305" spans="1:8" x14ac:dyDescent="0.15">
      <c r="A1305" s="21">
        <v>2.5449220000000002E-2</v>
      </c>
      <c r="B1305" s="21">
        <f t="shared" si="40"/>
        <v>0.25458779999999998</v>
      </c>
      <c r="D1305">
        <f t="shared" si="41"/>
        <v>102.56273584905659</v>
      </c>
      <c r="G1305" s="21">
        <v>-0.32614949999999998</v>
      </c>
      <c r="H1305" s="21">
        <v>0.25458779999999998</v>
      </c>
    </row>
    <row r="1306" spans="1:8" x14ac:dyDescent="0.15">
      <c r="A1306" s="21">
        <v>2.5468749999999998E-2</v>
      </c>
      <c r="B1306" s="21">
        <f t="shared" si="40"/>
        <v>0.25063259999999998</v>
      </c>
      <c r="D1306">
        <f t="shared" si="41"/>
        <v>100.93993710691825</v>
      </c>
      <c r="G1306" s="21">
        <v>-0.32098900000000002</v>
      </c>
      <c r="H1306" s="21">
        <v>0.25063259999999998</v>
      </c>
    </row>
    <row r="1307" spans="1:8" x14ac:dyDescent="0.15">
      <c r="A1307" s="21">
        <v>2.5488279999999999E-2</v>
      </c>
      <c r="B1307" s="21">
        <f t="shared" si="40"/>
        <v>0.24315030000000001</v>
      </c>
      <c r="D1307">
        <f t="shared" si="41"/>
        <v>98.104308176100631</v>
      </c>
      <c r="G1307" s="21">
        <v>-0.31197170000000002</v>
      </c>
      <c r="H1307" s="21">
        <v>0.24315030000000001</v>
      </c>
    </row>
    <row r="1308" spans="1:8" x14ac:dyDescent="0.15">
      <c r="A1308" s="21">
        <v>2.5507809999999999E-2</v>
      </c>
      <c r="B1308" s="21">
        <f t="shared" si="40"/>
        <v>0.23178260000000001</v>
      </c>
      <c r="D1308">
        <f t="shared" si="41"/>
        <v>93.572264150943397</v>
      </c>
      <c r="G1308" s="21">
        <v>-0.29755979999999999</v>
      </c>
      <c r="H1308" s="21">
        <v>0.23178260000000001</v>
      </c>
    </row>
    <row r="1309" spans="1:8" x14ac:dyDescent="0.15">
      <c r="A1309" s="21">
        <v>2.5527339999999999E-2</v>
      </c>
      <c r="B1309" s="21">
        <f t="shared" si="40"/>
        <v>0.21724350000000001</v>
      </c>
      <c r="D1309">
        <f t="shared" si="41"/>
        <v>87.707295597484276</v>
      </c>
      <c r="G1309" s="21">
        <v>-0.27890920000000002</v>
      </c>
      <c r="H1309" s="21">
        <v>0.21724350000000001</v>
      </c>
    </row>
    <row r="1310" spans="1:8" x14ac:dyDescent="0.15">
      <c r="A1310" s="21">
        <v>2.5546880000000001E-2</v>
      </c>
      <c r="B1310" s="21">
        <f t="shared" si="40"/>
        <v>0.1997398</v>
      </c>
      <c r="D1310">
        <f t="shared" si="41"/>
        <v>80.725849056603764</v>
      </c>
      <c r="G1310" s="21">
        <v>-0.2567082</v>
      </c>
      <c r="H1310" s="21">
        <v>0.1997398</v>
      </c>
    </row>
    <row r="1311" spans="1:8" x14ac:dyDescent="0.15">
      <c r="A1311" s="21">
        <v>2.5566410000000001E-2</v>
      </c>
      <c r="B1311" s="21">
        <f t="shared" si="40"/>
        <v>0.1785071</v>
      </c>
      <c r="D1311">
        <f t="shared" si="41"/>
        <v>72.268396226415092</v>
      </c>
      <c r="G1311" s="21">
        <v>-0.2298135</v>
      </c>
      <c r="H1311" s="21">
        <v>0.1785071</v>
      </c>
    </row>
    <row r="1312" spans="1:8" x14ac:dyDescent="0.15">
      <c r="A1312" s="21">
        <v>2.5585940000000001E-2</v>
      </c>
      <c r="B1312" s="21">
        <f t="shared" si="40"/>
        <v>0.15452959999999999</v>
      </c>
      <c r="D1312">
        <f t="shared" si="41"/>
        <v>62.782515723270443</v>
      </c>
      <c r="G1312" s="21">
        <v>-0.1996484</v>
      </c>
      <c r="H1312" s="21">
        <v>0.15452959999999999</v>
      </c>
    </row>
    <row r="1313" spans="1:8" x14ac:dyDescent="0.15">
      <c r="A1313" s="21">
        <v>2.5605470000000002E-2</v>
      </c>
      <c r="B1313" s="21">
        <f t="shared" si="40"/>
        <v>0.1282885</v>
      </c>
      <c r="D1313">
        <f t="shared" si="41"/>
        <v>52.310440251572324</v>
      </c>
      <c r="G1313" s="21">
        <v>-0.1663472</v>
      </c>
      <c r="H1313" s="21">
        <v>0.1282885</v>
      </c>
    </row>
    <row r="1314" spans="1:8" x14ac:dyDescent="0.15">
      <c r="A1314" s="21">
        <v>2.5624999999999998E-2</v>
      </c>
      <c r="B1314" s="21">
        <f t="shared" si="40"/>
        <v>0.1000325</v>
      </c>
      <c r="D1314">
        <f t="shared" si="41"/>
        <v>40.998899371069179</v>
      </c>
      <c r="G1314" s="21">
        <v>-0.13037650000000001</v>
      </c>
      <c r="H1314" s="21">
        <v>0.1000325</v>
      </c>
    </row>
    <row r="1315" spans="1:8" x14ac:dyDescent="0.15">
      <c r="A1315" s="21">
        <v>2.5644529999999999E-2</v>
      </c>
      <c r="B1315" s="21">
        <f t="shared" si="40"/>
        <v>7.0747630000000006E-2</v>
      </c>
      <c r="D1315">
        <f t="shared" si="41"/>
        <v>29.388113207547168</v>
      </c>
      <c r="G1315" s="21">
        <v>-9.3454200000000001E-2</v>
      </c>
      <c r="H1315" s="21">
        <v>7.0747630000000006E-2</v>
      </c>
    </row>
    <row r="1316" spans="1:8" x14ac:dyDescent="0.15">
      <c r="A1316" s="21">
        <v>2.5664059999999999E-2</v>
      </c>
      <c r="B1316" s="21">
        <f t="shared" si="40"/>
        <v>3.9747900000000003E-2</v>
      </c>
      <c r="D1316">
        <f t="shared" si="41"/>
        <v>17.022138364779874</v>
      </c>
      <c r="G1316" s="21">
        <v>-5.4130400000000002E-2</v>
      </c>
      <c r="H1316" s="21">
        <v>3.9747900000000003E-2</v>
      </c>
    </row>
    <row r="1317" spans="1:8" x14ac:dyDescent="0.15">
      <c r="A1317" s="21">
        <v>2.5683589999999999E-2</v>
      </c>
      <c r="B1317" s="21">
        <f t="shared" si="40"/>
        <v>7.9496940000000002E-3</v>
      </c>
      <c r="D1317">
        <f t="shared" si="41"/>
        <v>4.2741383647798736</v>
      </c>
      <c r="G1317" s="21">
        <v>-1.359176E-2</v>
      </c>
      <c r="H1317" s="21">
        <v>7.9496940000000002E-3</v>
      </c>
    </row>
    <row r="1318" spans="1:8" x14ac:dyDescent="0.15">
      <c r="A1318" s="21">
        <v>2.5703130000000001E-2</v>
      </c>
      <c r="B1318" s="21">
        <f t="shared" si="40"/>
        <v>-2.3278199999999999E-2</v>
      </c>
      <c r="D1318">
        <f t="shared" si="41"/>
        <v>-8.1817484276729555</v>
      </c>
      <c r="G1318" s="21">
        <v>2.601796E-2</v>
      </c>
      <c r="H1318" s="21">
        <v>-2.3278199999999999E-2</v>
      </c>
    </row>
    <row r="1319" spans="1:8" x14ac:dyDescent="0.15">
      <c r="A1319" s="21">
        <v>2.5722660000000001E-2</v>
      </c>
      <c r="B1319" s="21">
        <f t="shared" si="40"/>
        <v>-5.4406419999999997E-2</v>
      </c>
      <c r="D1319">
        <f t="shared" si="41"/>
        <v>-20.645314465408806</v>
      </c>
      <c r="G1319" s="21">
        <v>6.5652100000000005E-2</v>
      </c>
      <c r="H1319" s="21">
        <v>-5.4406419999999997E-2</v>
      </c>
    </row>
    <row r="1320" spans="1:8" x14ac:dyDescent="0.15">
      <c r="A1320" s="21">
        <v>2.5742190000000002E-2</v>
      </c>
      <c r="B1320" s="21">
        <f t="shared" si="40"/>
        <v>-8.4526580000000004E-2</v>
      </c>
      <c r="D1320">
        <f t="shared" si="41"/>
        <v>-32.70751572327044</v>
      </c>
      <c r="G1320" s="21">
        <v>0.1040099</v>
      </c>
      <c r="H1320" s="21">
        <v>-8.4526580000000004E-2</v>
      </c>
    </row>
    <row r="1321" spans="1:8" x14ac:dyDescent="0.15">
      <c r="A1321" s="21">
        <v>2.5761719999999998E-2</v>
      </c>
      <c r="B1321" s="21">
        <f t="shared" si="40"/>
        <v>-0.1130779</v>
      </c>
      <c r="D1321">
        <f t="shared" si="41"/>
        <v>-44.1337106918239</v>
      </c>
      <c r="G1321" s="21">
        <v>0.1403452</v>
      </c>
      <c r="H1321" s="21">
        <v>-0.1130779</v>
      </c>
    </row>
    <row r="1322" spans="1:8" x14ac:dyDescent="0.15">
      <c r="A1322" s="21">
        <v>2.5781249999999999E-2</v>
      </c>
      <c r="B1322" s="21">
        <f t="shared" si="40"/>
        <v>-0.13999030000000001</v>
      </c>
      <c r="D1322">
        <f t="shared" si="41"/>
        <v>-54.995534591194968</v>
      </c>
      <c r="G1322" s="21">
        <v>0.17488580000000001</v>
      </c>
      <c r="H1322" s="21">
        <v>-0.13999030000000001</v>
      </c>
    </row>
    <row r="1323" spans="1:8" x14ac:dyDescent="0.15">
      <c r="A1323" s="21">
        <v>2.5800779999999999E-2</v>
      </c>
      <c r="B1323" s="21">
        <f t="shared" si="40"/>
        <v>-0.16484869999999999</v>
      </c>
      <c r="D1323">
        <f t="shared" si="41"/>
        <v>-65.015031446540874</v>
      </c>
      <c r="G1323" s="21">
        <v>0.20674780000000001</v>
      </c>
      <c r="H1323" s="21">
        <v>-0.16484869999999999</v>
      </c>
    </row>
    <row r="1324" spans="1:8" x14ac:dyDescent="0.15">
      <c r="A1324" s="21">
        <v>2.5820309999999999E-2</v>
      </c>
      <c r="B1324" s="21">
        <f t="shared" si="40"/>
        <v>-0.1876815</v>
      </c>
      <c r="D1324">
        <f t="shared" si="41"/>
        <v>-74.175503144654087</v>
      </c>
      <c r="G1324" s="21">
        <v>0.23587810000000001</v>
      </c>
      <c r="H1324" s="21">
        <v>-0.1876815</v>
      </c>
    </row>
    <row r="1325" spans="1:8" x14ac:dyDescent="0.15">
      <c r="A1325" s="21">
        <v>2.5839839999999999E-2</v>
      </c>
      <c r="B1325" s="21">
        <f t="shared" si="40"/>
        <v>-0.20732639999999999</v>
      </c>
      <c r="D1325">
        <f t="shared" si="41"/>
        <v>-82.061729559748429</v>
      </c>
      <c r="G1325" s="21">
        <v>0.26095629999999997</v>
      </c>
      <c r="H1325" s="21">
        <v>-0.20732639999999999</v>
      </c>
    </row>
    <row r="1326" spans="1:8" x14ac:dyDescent="0.15">
      <c r="A1326" s="21">
        <v>2.5859380000000001E-2</v>
      </c>
      <c r="B1326" s="21">
        <f t="shared" si="40"/>
        <v>-0.22311900000000001</v>
      </c>
      <c r="D1326">
        <f t="shared" si="41"/>
        <v>-88.496383647798737</v>
      </c>
      <c r="G1326" s="21">
        <v>0.28141850000000002</v>
      </c>
      <c r="H1326" s="21">
        <v>-0.22311900000000001</v>
      </c>
    </row>
    <row r="1327" spans="1:8" x14ac:dyDescent="0.15">
      <c r="A1327" s="21">
        <v>2.5878910000000001E-2</v>
      </c>
      <c r="B1327" s="21">
        <f t="shared" si="40"/>
        <v>-0.2360429</v>
      </c>
      <c r="D1327">
        <f t="shared" si="41"/>
        <v>-93.859811320754716</v>
      </c>
      <c r="G1327" s="21">
        <v>0.29847420000000002</v>
      </c>
      <c r="H1327" s="21">
        <v>-0.2360429</v>
      </c>
    </row>
    <row r="1328" spans="1:8" x14ac:dyDescent="0.15">
      <c r="A1328" s="21">
        <v>2.5898439999999998E-2</v>
      </c>
      <c r="B1328" s="21">
        <f t="shared" si="40"/>
        <v>-0.24594569999999999</v>
      </c>
      <c r="D1328">
        <f t="shared" si="41"/>
        <v>-97.856163522012565</v>
      </c>
      <c r="G1328" s="21">
        <v>0.31118259999999998</v>
      </c>
      <c r="H1328" s="21">
        <v>-0.24594569999999999</v>
      </c>
    </row>
    <row r="1329" spans="1:8" x14ac:dyDescent="0.15">
      <c r="A1329" s="21">
        <v>2.5917969999999999E-2</v>
      </c>
      <c r="B1329" s="21">
        <f t="shared" si="40"/>
        <v>-0.25191659999999999</v>
      </c>
      <c r="D1329">
        <f t="shared" si="41"/>
        <v>-100.26515723270438</v>
      </c>
      <c r="G1329" s="21">
        <v>0.31884319999999999</v>
      </c>
      <c r="H1329" s="21">
        <v>-0.25191659999999999</v>
      </c>
    </row>
    <row r="1330" spans="1:8" x14ac:dyDescent="0.15">
      <c r="A1330" s="21">
        <v>2.5937499999999999E-2</v>
      </c>
      <c r="B1330" s="21">
        <f t="shared" si="40"/>
        <v>-0.25413809999999998</v>
      </c>
      <c r="D1330">
        <f t="shared" si="41"/>
        <v>-101.34345911949686</v>
      </c>
      <c r="G1330" s="21">
        <v>0.32227220000000001</v>
      </c>
      <c r="H1330" s="21">
        <v>-0.25413809999999998</v>
      </c>
    </row>
    <row r="1331" spans="1:8" x14ac:dyDescent="0.15">
      <c r="A1331" s="21">
        <v>2.5957029999999999E-2</v>
      </c>
      <c r="B1331" s="21">
        <f t="shared" si="40"/>
        <v>-0.25244830000000001</v>
      </c>
      <c r="D1331">
        <f t="shared" si="41"/>
        <v>-100.753679245283</v>
      </c>
      <c r="G1331" s="21">
        <v>0.32039669999999998</v>
      </c>
      <c r="H1331" s="21">
        <v>-0.25244830000000001</v>
      </c>
    </row>
    <row r="1332" spans="1:8" x14ac:dyDescent="0.15">
      <c r="A1332" s="21">
        <v>2.5976559999999999E-2</v>
      </c>
      <c r="B1332" s="21">
        <f t="shared" si="40"/>
        <v>-0.24679509999999999</v>
      </c>
      <c r="D1332">
        <f t="shared" si="41"/>
        <v>-98.522672955974841</v>
      </c>
      <c r="G1332" s="21">
        <v>0.31330209999999997</v>
      </c>
      <c r="H1332" s="21">
        <v>-0.24679509999999999</v>
      </c>
    </row>
    <row r="1333" spans="1:8" x14ac:dyDescent="0.15">
      <c r="A1333" s="21">
        <v>2.5996089999999999E-2</v>
      </c>
      <c r="B1333" s="21">
        <f t="shared" si="40"/>
        <v>-0.2379444</v>
      </c>
      <c r="D1333">
        <f t="shared" si="41"/>
        <v>-95.08515723270439</v>
      </c>
      <c r="G1333" s="21">
        <v>0.3023708</v>
      </c>
      <c r="H1333" s="21">
        <v>-0.2379444</v>
      </c>
    </row>
    <row r="1334" spans="1:8" x14ac:dyDescent="0.15">
      <c r="A1334" s="21">
        <v>2.6015630000000001E-2</v>
      </c>
      <c r="B1334" s="21">
        <f t="shared" si="40"/>
        <v>-0.22559599999999999</v>
      </c>
      <c r="D1334">
        <f t="shared" si="41"/>
        <v>-90.188993710691818</v>
      </c>
      <c r="G1334" s="21">
        <v>0.28680099999999997</v>
      </c>
      <c r="H1334" s="21">
        <v>-0.22559599999999999</v>
      </c>
    </row>
    <row r="1335" spans="1:8" x14ac:dyDescent="0.15">
      <c r="A1335" s="21">
        <v>2.6035160000000002E-2</v>
      </c>
      <c r="B1335" s="21">
        <f t="shared" si="40"/>
        <v>-0.20975559999999999</v>
      </c>
      <c r="D1335">
        <f t="shared" si="41"/>
        <v>-83.888113207547164</v>
      </c>
      <c r="G1335" s="21">
        <v>0.26676420000000001</v>
      </c>
      <c r="H1335" s="21">
        <v>-0.20975559999999999</v>
      </c>
    </row>
    <row r="1336" spans="1:8" x14ac:dyDescent="0.15">
      <c r="A1336" s="21">
        <v>2.6054689999999998E-2</v>
      </c>
      <c r="B1336" s="21">
        <f t="shared" si="40"/>
        <v>-0.19074279999999999</v>
      </c>
      <c r="D1336">
        <f t="shared" si="41"/>
        <v>-76.286477987421378</v>
      </c>
      <c r="G1336" s="21">
        <v>0.242591</v>
      </c>
      <c r="H1336" s="21">
        <v>-0.19074279999999999</v>
      </c>
    </row>
    <row r="1337" spans="1:8" x14ac:dyDescent="0.15">
      <c r="A1337" s="21">
        <v>2.6074219999999999E-2</v>
      </c>
      <c r="B1337" s="21">
        <f t="shared" si="40"/>
        <v>-0.1682186</v>
      </c>
      <c r="D1337">
        <f t="shared" si="41"/>
        <v>-67.328144654088049</v>
      </c>
      <c r="G1337" s="21">
        <v>0.2141035</v>
      </c>
      <c r="H1337" s="21">
        <v>-0.1682186</v>
      </c>
    </row>
    <row r="1338" spans="1:8" x14ac:dyDescent="0.15">
      <c r="A1338" s="21">
        <v>2.6093749999999999E-2</v>
      </c>
      <c r="B1338" s="21">
        <f t="shared" si="40"/>
        <v>-0.14311409999999999</v>
      </c>
      <c r="D1338">
        <f t="shared" si="41"/>
        <v>-57.428207547169812</v>
      </c>
      <c r="G1338" s="21">
        <v>0.1826217</v>
      </c>
      <c r="H1338" s="21">
        <v>-0.14311409999999999</v>
      </c>
    </row>
    <row r="1339" spans="1:8" x14ac:dyDescent="0.15">
      <c r="A1339" s="21">
        <v>2.6113279999999999E-2</v>
      </c>
      <c r="B1339" s="21">
        <f t="shared" si="40"/>
        <v>-0.1161795</v>
      </c>
      <c r="D1339">
        <f t="shared" si="41"/>
        <v>-46.665849056603776</v>
      </c>
      <c r="G1339" s="21">
        <v>0.14839740000000001</v>
      </c>
      <c r="H1339" s="21">
        <v>-0.1161795</v>
      </c>
    </row>
    <row r="1340" spans="1:8" x14ac:dyDescent="0.15">
      <c r="A1340" s="21">
        <v>2.6132809999999999E-2</v>
      </c>
      <c r="B1340" s="21">
        <f t="shared" si="40"/>
        <v>-8.7583839999999996E-2</v>
      </c>
      <c r="D1340">
        <f t="shared" si="41"/>
        <v>-35.195911949685531</v>
      </c>
      <c r="G1340" s="21">
        <v>0.11192299999999999</v>
      </c>
      <c r="H1340" s="21">
        <v>-8.7583839999999996E-2</v>
      </c>
    </row>
    <row r="1341" spans="1:8" x14ac:dyDescent="0.15">
      <c r="A1341" s="21">
        <v>2.615234E-2</v>
      </c>
      <c r="B1341" s="21">
        <f t="shared" si="40"/>
        <v>-5.8094260000000002E-2</v>
      </c>
      <c r="D1341">
        <f t="shared" si="41"/>
        <v>-23.431943396226412</v>
      </c>
      <c r="G1341" s="21">
        <v>7.4513579999999996E-2</v>
      </c>
      <c r="H1341" s="21">
        <v>-5.8094260000000002E-2</v>
      </c>
    </row>
    <row r="1342" spans="1:8" x14ac:dyDescent="0.15">
      <c r="A1342" s="21">
        <v>2.6171880000000002E-2</v>
      </c>
      <c r="B1342" s="21">
        <f t="shared" si="40"/>
        <v>-2.7142759999999998E-2</v>
      </c>
      <c r="D1342">
        <f t="shared" si="41"/>
        <v>-11.040779874213834</v>
      </c>
      <c r="G1342" s="21">
        <v>3.5109679999999997E-2</v>
      </c>
      <c r="H1342" s="21">
        <v>-2.7142759999999998E-2</v>
      </c>
    </row>
    <row r="1343" spans="1:8" x14ac:dyDescent="0.15">
      <c r="A1343" s="21">
        <v>2.6191409999999998E-2</v>
      </c>
      <c r="B1343" s="21">
        <f t="shared" si="40"/>
        <v>5.3039139999999999E-3</v>
      </c>
      <c r="D1343">
        <f t="shared" si="41"/>
        <v>1.9439455974842765</v>
      </c>
      <c r="G1343" s="21">
        <v>-6.1817469999999996E-3</v>
      </c>
      <c r="H1343" s="21">
        <v>5.3039139999999999E-3</v>
      </c>
    </row>
    <row r="1344" spans="1:8" x14ac:dyDescent="0.15">
      <c r="A1344" s="21">
        <v>2.6210939999999999E-2</v>
      </c>
      <c r="B1344" s="21">
        <f t="shared" si="40"/>
        <v>3.7095259999999998E-2</v>
      </c>
      <c r="D1344">
        <f t="shared" si="41"/>
        <v>14.665238993710689</v>
      </c>
      <c r="G1344" s="21">
        <v>-4.6635459999999997E-2</v>
      </c>
      <c r="H1344" s="21">
        <v>3.7095259999999998E-2</v>
      </c>
    </row>
    <row r="1345" spans="1:8" x14ac:dyDescent="0.15">
      <c r="A1345" s="21">
        <v>2.6230469999999999E-2</v>
      </c>
      <c r="B1345" s="21">
        <f t="shared" si="40"/>
        <v>6.7340449999999996E-2</v>
      </c>
      <c r="D1345">
        <f t="shared" si="41"/>
        <v>26.834191823899371</v>
      </c>
      <c r="G1345" s="21">
        <v>-8.5332729999999996E-2</v>
      </c>
      <c r="H1345" s="21">
        <v>6.7340449999999996E-2</v>
      </c>
    </row>
    <row r="1346" spans="1:8" x14ac:dyDescent="0.15">
      <c r="A1346" s="21">
        <v>2.6249999999999999E-2</v>
      </c>
      <c r="B1346" s="21">
        <f t="shared" ref="B1346:B1409" si="42">H1346</f>
        <v>9.6415210000000001E-2</v>
      </c>
      <c r="D1346">
        <f t="shared" ref="D1346:D1409" si="43">G1346*-1000/3.18</f>
        <v>38.518930817610055</v>
      </c>
      <c r="G1346" s="21">
        <v>-0.12249019999999999</v>
      </c>
      <c r="H1346" s="21">
        <v>9.6415210000000001E-2</v>
      </c>
    </row>
    <row r="1347" spans="1:8" x14ac:dyDescent="0.15">
      <c r="A1347" s="21">
        <v>2.6269529999999999E-2</v>
      </c>
      <c r="B1347" s="21">
        <f t="shared" si="42"/>
        <v>0.1242106</v>
      </c>
      <c r="D1347">
        <f t="shared" si="43"/>
        <v>49.737861635220128</v>
      </c>
      <c r="G1347" s="21">
        <v>-0.15816640000000001</v>
      </c>
      <c r="H1347" s="21">
        <v>0.1242106</v>
      </c>
    </row>
    <row r="1348" spans="1:8" x14ac:dyDescent="0.15">
      <c r="A1348" s="21">
        <v>2.628906E-2</v>
      </c>
      <c r="B1348" s="21">
        <f t="shared" si="42"/>
        <v>0.15062829999999999</v>
      </c>
      <c r="D1348">
        <f t="shared" si="43"/>
        <v>60.440880503144648</v>
      </c>
      <c r="G1348" s="21">
        <v>-0.19220200000000001</v>
      </c>
      <c r="H1348" s="21">
        <v>0.15062829999999999</v>
      </c>
    </row>
    <row r="1349" spans="1:8" x14ac:dyDescent="0.15">
      <c r="A1349" s="21">
        <v>2.630859E-2</v>
      </c>
      <c r="B1349" s="21">
        <f t="shared" si="42"/>
        <v>0.1750621</v>
      </c>
      <c r="D1349">
        <f t="shared" si="43"/>
        <v>70.262798742138358</v>
      </c>
      <c r="G1349" s="21">
        <v>-0.22343569999999999</v>
      </c>
      <c r="H1349" s="21">
        <v>0.1750621</v>
      </c>
    </row>
    <row r="1350" spans="1:8" x14ac:dyDescent="0.15">
      <c r="A1350" s="21">
        <v>2.6328130000000002E-2</v>
      </c>
      <c r="B1350" s="21">
        <f t="shared" si="42"/>
        <v>0.19677549999999999</v>
      </c>
      <c r="D1350">
        <f t="shared" si="43"/>
        <v>79.042012578616351</v>
      </c>
      <c r="G1350" s="21">
        <v>-0.25135360000000001</v>
      </c>
      <c r="H1350" s="21">
        <v>0.19677549999999999</v>
      </c>
    </row>
    <row r="1351" spans="1:8" x14ac:dyDescent="0.15">
      <c r="A1351" s="21">
        <v>2.6347659999999998E-2</v>
      </c>
      <c r="B1351" s="21">
        <f t="shared" si="42"/>
        <v>0.2149288</v>
      </c>
      <c r="D1351">
        <f t="shared" si="43"/>
        <v>86.332138364779865</v>
      </c>
      <c r="G1351" s="21">
        <v>-0.27453620000000001</v>
      </c>
      <c r="H1351" s="21">
        <v>0.2149288</v>
      </c>
    </row>
    <row r="1352" spans="1:8" x14ac:dyDescent="0.15">
      <c r="A1352" s="21">
        <v>2.6367189999999999E-2</v>
      </c>
      <c r="B1352" s="21">
        <f t="shared" si="42"/>
        <v>0.22889290000000001</v>
      </c>
      <c r="D1352">
        <f t="shared" si="43"/>
        <v>91.948333333333323</v>
      </c>
      <c r="G1352" s="21">
        <v>-0.29239569999999998</v>
      </c>
      <c r="H1352" s="21">
        <v>0.22889290000000001</v>
      </c>
    </row>
    <row r="1353" spans="1:8" x14ac:dyDescent="0.15">
      <c r="A1353" s="21">
        <v>2.6386719999999999E-2</v>
      </c>
      <c r="B1353" s="21">
        <f t="shared" si="42"/>
        <v>0.24029729999999999</v>
      </c>
      <c r="D1353">
        <f t="shared" si="43"/>
        <v>96.74566037735849</v>
      </c>
      <c r="G1353" s="21">
        <v>-0.30765120000000001</v>
      </c>
      <c r="H1353" s="21">
        <v>0.24029729999999999</v>
      </c>
    </row>
    <row r="1354" spans="1:8" x14ac:dyDescent="0.15">
      <c r="A1354" s="21">
        <v>2.6406249999999999E-2</v>
      </c>
      <c r="B1354" s="21">
        <f t="shared" si="42"/>
        <v>0.24927650000000001</v>
      </c>
      <c r="D1354">
        <f t="shared" si="43"/>
        <v>100.37415094339623</v>
      </c>
      <c r="G1354" s="21">
        <v>-0.31918980000000002</v>
      </c>
      <c r="H1354" s="21">
        <v>0.24927650000000001</v>
      </c>
    </row>
    <row r="1355" spans="1:8" x14ac:dyDescent="0.15">
      <c r="A1355" s="21">
        <v>2.6425779999999999E-2</v>
      </c>
      <c r="B1355" s="21">
        <f t="shared" si="42"/>
        <v>0.25393769999999999</v>
      </c>
      <c r="D1355">
        <f t="shared" si="43"/>
        <v>102.18352201257861</v>
      </c>
      <c r="G1355" s="21">
        <v>-0.3249436</v>
      </c>
      <c r="H1355" s="21">
        <v>0.25393769999999999</v>
      </c>
    </row>
    <row r="1356" spans="1:8" x14ac:dyDescent="0.15">
      <c r="A1356" s="21">
        <v>2.644531E-2</v>
      </c>
      <c r="B1356" s="21">
        <f t="shared" si="42"/>
        <v>0.2547314</v>
      </c>
      <c r="D1356">
        <f t="shared" si="43"/>
        <v>102.58499999999999</v>
      </c>
      <c r="G1356" s="21">
        <v>-0.32622030000000002</v>
      </c>
      <c r="H1356" s="21">
        <v>0.2547314</v>
      </c>
    </row>
    <row r="1357" spans="1:8" x14ac:dyDescent="0.15">
      <c r="A1357" s="21">
        <v>2.646484E-2</v>
      </c>
      <c r="B1357" s="21">
        <f t="shared" si="42"/>
        <v>0.25148110000000001</v>
      </c>
      <c r="D1357">
        <f t="shared" si="43"/>
        <v>101.30644654088049</v>
      </c>
      <c r="G1357" s="21">
        <v>-0.32215450000000001</v>
      </c>
      <c r="H1357" s="21">
        <v>0.25148110000000001</v>
      </c>
    </row>
    <row r="1358" spans="1:8" x14ac:dyDescent="0.15">
      <c r="A1358" s="21">
        <v>2.6484379999999998E-2</v>
      </c>
      <c r="B1358" s="21">
        <f t="shared" si="42"/>
        <v>0.24394399999999999</v>
      </c>
      <c r="D1358">
        <f t="shared" si="43"/>
        <v>98.326572327044033</v>
      </c>
      <c r="G1358" s="21">
        <v>-0.31267850000000003</v>
      </c>
      <c r="H1358" s="21">
        <v>0.24394399999999999</v>
      </c>
    </row>
    <row r="1359" spans="1:8" x14ac:dyDescent="0.15">
      <c r="A1359" s="21">
        <v>2.6503909999999999E-2</v>
      </c>
      <c r="B1359" s="21">
        <f t="shared" si="42"/>
        <v>0.23368220000000001</v>
      </c>
      <c r="D1359">
        <f t="shared" si="43"/>
        <v>94.242955974842758</v>
      </c>
      <c r="G1359" s="21">
        <v>-0.29969259999999998</v>
      </c>
      <c r="H1359" s="21">
        <v>0.23368220000000001</v>
      </c>
    </row>
    <row r="1360" spans="1:8" x14ac:dyDescent="0.15">
      <c r="A1360" s="21">
        <v>2.6523439999999999E-2</v>
      </c>
      <c r="B1360" s="21">
        <f t="shared" si="42"/>
        <v>0.22035850000000001</v>
      </c>
      <c r="D1360">
        <f t="shared" si="43"/>
        <v>88.953238993710698</v>
      </c>
      <c r="G1360" s="21">
        <v>-0.28287129999999999</v>
      </c>
      <c r="H1360" s="21">
        <v>0.22035850000000001</v>
      </c>
    </row>
    <row r="1361" spans="1:8" x14ac:dyDescent="0.15">
      <c r="A1361" s="21">
        <v>2.6542969999999999E-2</v>
      </c>
      <c r="B1361" s="21">
        <f t="shared" si="42"/>
        <v>0.20319309999999999</v>
      </c>
      <c r="D1361">
        <f t="shared" si="43"/>
        <v>82.15462264150942</v>
      </c>
      <c r="G1361" s="21">
        <v>-0.26125169999999998</v>
      </c>
      <c r="H1361" s="21">
        <v>0.20319309999999999</v>
      </c>
    </row>
    <row r="1362" spans="1:8" x14ac:dyDescent="0.15">
      <c r="A1362" s="21">
        <v>2.6562499999999999E-2</v>
      </c>
      <c r="B1362" s="21">
        <f t="shared" si="42"/>
        <v>0.1825051</v>
      </c>
      <c r="D1362">
        <f t="shared" si="43"/>
        <v>73.874371069182388</v>
      </c>
      <c r="G1362" s="21">
        <v>-0.2349205</v>
      </c>
      <c r="H1362" s="21">
        <v>0.1825051</v>
      </c>
    </row>
    <row r="1363" spans="1:8" x14ac:dyDescent="0.15">
      <c r="A1363" s="21">
        <v>2.658203E-2</v>
      </c>
      <c r="B1363" s="21">
        <f t="shared" si="42"/>
        <v>0.15891830000000001</v>
      </c>
      <c r="D1363">
        <f t="shared" si="43"/>
        <v>64.516069182389941</v>
      </c>
      <c r="G1363" s="21">
        <v>-0.20516110000000001</v>
      </c>
      <c r="H1363" s="21">
        <v>0.15891830000000001</v>
      </c>
    </row>
    <row r="1364" spans="1:8" x14ac:dyDescent="0.15">
      <c r="A1364" s="21">
        <v>2.660156E-2</v>
      </c>
      <c r="B1364" s="21">
        <f t="shared" si="42"/>
        <v>0.13319929999999999</v>
      </c>
      <c r="D1364">
        <f t="shared" si="43"/>
        <v>54.300094339622646</v>
      </c>
      <c r="G1364" s="21">
        <v>-0.1726743</v>
      </c>
      <c r="H1364" s="21">
        <v>0.13319929999999999</v>
      </c>
    </row>
    <row r="1365" spans="1:8" x14ac:dyDescent="0.15">
      <c r="A1365" s="21">
        <v>2.662109E-2</v>
      </c>
      <c r="B1365" s="21">
        <f t="shared" si="42"/>
        <v>0.10543329999999999</v>
      </c>
      <c r="D1365">
        <f t="shared" si="43"/>
        <v>43.201918238993713</v>
      </c>
      <c r="G1365" s="21">
        <v>-0.13738210000000001</v>
      </c>
      <c r="H1365" s="21">
        <v>0.10543329999999999</v>
      </c>
    </row>
    <row r="1366" spans="1:8" x14ac:dyDescent="0.15">
      <c r="A1366" s="21">
        <v>2.6640629999999998E-2</v>
      </c>
      <c r="B1366" s="21">
        <f t="shared" si="42"/>
        <v>7.6088810000000007E-2</v>
      </c>
      <c r="D1366">
        <f t="shared" si="43"/>
        <v>31.556509433962262</v>
      </c>
      <c r="G1366" s="21">
        <v>-0.1003497</v>
      </c>
      <c r="H1366" s="21">
        <v>7.6088810000000007E-2</v>
      </c>
    </row>
    <row r="1367" spans="1:8" x14ac:dyDescent="0.15">
      <c r="A1367" s="21">
        <v>2.6660159999999999E-2</v>
      </c>
      <c r="B1367" s="21">
        <f t="shared" si="42"/>
        <v>4.5656740000000001E-2</v>
      </c>
      <c r="D1367">
        <f t="shared" si="43"/>
        <v>19.455550314465405</v>
      </c>
      <c r="G1367" s="21">
        <v>-6.1868649999999997E-2</v>
      </c>
      <c r="H1367" s="21">
        <v>4.5656740000000001E-2</v>
      </c>
    </row>
    <row r="1368" spans="1:8" x14ac:dyDescent="0.15">
      <c r="A1368" s="21">
        <v>2.6679689999999999E-2</v>
      </c>
      <c r="B1368" s="21">
        <f t="shared" si="42"/>
        <v>1.422084E-2</v>
      </c>
      <c r="D1368">
        <f t="shared" si="43"/>
        <v>6.8500597484276726</v>
      </c>
      <c r="G1368" s="21">
        <v>-2.1783190000000001E-2</v>
      </c>
      <c r="H1368" s="21">
        <v>1.422084E-2</v>
      </c>
    </row>
    <row r="1369" spans="1:8" x14ac:dyDescent="0.15">
      <c r="A1369" s="21">
        <v>2.6699219999999999E-2</v>
      </c>
      <c r="B1369" s="21">
        <f t="shared" si="42"/>
        <v>-1.735399E-2</v>
      </c>
      <c r="D1369">
        <f t="shared" si="43"/>
        <v>-5.805003144654088</v>
      </c>
      <c r="G1369" s="21">
        <v>1.845991E-2</v>
      </c>
      <c r="H1369" s="21">
        <v>-1.735399E-2</v>
      </c>
    </row>
    <row r="1370" spans="1:8" x14ac:dyDescent="0.15">
      <c r="A1370" s="21">
        <v>2.6718749999999999E-2</v>
      </c>
      <c r="B1370" s="21">
        <f t="shared" si="42"/>
        <v>-4.848881E-2</v>
      </c>
      <c r="D1370">
        <f t="shared" si="43"/>
        <v>-18.257267295597487</v>
      </c>
      <c r="G1370" s="21">
        <v>5.8058110000000003E-2</v>
      </c>
      <c r="H1370" s="21">
        <v>-4.848881E-2</v>
      </c>
    </row>
    <row r="1371" spans="1:8" x14ac:dyDescent="0.15">
      <c r="A1371" s="21">
        <v>2.673828E-2</v>
      </c>
      <c r="B1371" s="21">
        <f t="shared" si="42"/>
        <v>-7.8969269999999994E-2</v>
      </c>
      <c r="D1371">
        <f t="shared" si="43"/>
        <v>-30.45644968553459</v>
      </c>
      <c r="G1371" s="21">
        <v>9.6851510000000002E-2</v>
      </c>
      <c r="H1371" s="21">
        <v>-7.8969269999999994E-2</v>
      </c>
    </row>
    <row r="1372" spans="1:8" x14ac:dyDescent="0.15">
      <c r="A1372" s="21">
        <v>2.675781E-2</v>
      </c>
      <c r="B1372" s="21">
        <f t="shared" si="42"/>
        <v>-0.10782369999999999</v>
      </c>
      <c r="D1372">
        <f t="shared" si="43"/>
        <v>-42.00459119496854</v>
      </c>
      <c r="G1372" s="21">
        <v>0.13357459999999999</v>
      </c>
      <c r="H1372" s="21">
        <v>-0.10782369999999999</v>
      </c>
    </row>
    <row r="1373" spans="1:8" x14ac:dyDescent="0.15">
      <c r="A1373" s="21">
        <v>2.677734E-2</v>
      </c>
      <c r="B1373" s="21">
        <f t="shared" si="42"/>
        <v>-0.13486899999999999</v>
      </c>
      <c r="D1373">
        <f t="shared" si="43"/>
        <v>-52.930817610062888</v>
      </c>
      <c r="G1373" s="21">
        <v>0.16832</v>
      </c>
      <c r="H1373" s="21">
        <v>-0.13486899999999999</v>
      </c>
    </row>
    <row r="1374" spans="1:8" x14ac:dyDescent="0.15">
      <c r="A1374" s="21">
        <v>2.6796879999999999E-2</v>
      </c>
      <c r="B1374" s="21">
        <f t="shared" si="42"/>
        <v>-0.16021099999999999</v>
      </c>
      <c r="D1374">
        <f t="shared" si="43"/>
        <v>-63.148773584905655</v>
      </c>
      <c r="G1374" s="21">
        <v>0.20081309999999999</v>
      </c>
      <c r="H1374" s="21">
        <v>-0.16021099999999999</v>
      </c>
    </row>
    <row r="1375" spans="1:8" x14ac:dyDescent="0.15">
      <c r="A1375" s="21">
        <v>2.6816409999999999E-2</v>
      </c>
      <c r="B1375" s="21">
        <f t="shared" si="42"/>
        <v>-0.18310989999999999</v>
      </c>
      <c r="D1375">
        <f t="shared" si="43"/>
        <v>-72.315660377358483</v>
      </c>
      <c r="G1375" s="21">
        <v>0.2299638</v>
      </c>
      <c r="H1375" s="21">
        <v>-0.18310989999999999</v>
      </c>
    </row>
    <row r="1376" spans="1:8" x14ac:dyDescent="0.15">
      <c r="A1376" s="21">
        <v>2.6835939999999999E-2</v>
      </c>
      <c r="B1376" s="21">
        <f t="shared" si="42"/>
        <v>-0.20384260000000001</v>
      </c>
      <c r="D1376">
        <f t="shared" si="43"/>
        <v>-80.71638364779875</v>
      </c>
      <c r="G1376" s="21">
        <v>0.25667810000000002</v>
      </c>
      <c r="H1376" s="21">
        <v>-0.20384260000000001</v>
      </c>
    </row>
    <row r="1377" spans="1:8" x14ac:dyDescent="0.15">
      <c r="A1377" s="21">
        <v>2.6855469999999999E-2</v>
      </c>
      <c r="B1377" s="21">
        <f t="shared" si="42"/>
        <v>-0.22107470000000001</v>
      </c>
      <c r="D1377">
        <f t="shared" si="43"/>
        <v>-87.630031446540869</v>
      </c>
      <c r="G1377" s="21">
        <v>0.27866350000000001</v>
      </c>
      <c r="H1377" s="21">
        <v>-0.22107470000000001</v>
      </c>
    </row>
    <row r="1378" spans="1:8" x14ac:dyDescent="0.15">
      <c r="A1378" s="21">
        <v>2.6875E-2</v>
      </c>
      <c r="B1378" s="21">
        <f t="shared" si="42"/>
        <v>-0.23371040000000001</v>
      </c>
      <c r="D1378">
        <f t="shared" si="43"/>
        <v>-92.749937106918225</v>
      </c>
      <c r="G1378" s="21">
        <v>0.29494480000000001</v>
      </c>
      <c r="H1378" s="21">
        <v>-0.23371040000000001</v>
      </c>
    </row>
    <row r="1379" spans="1:8" x14ac:dyDescent="0.15">
      <c r="A1379" s="21">
        <v>2.689453E-2</v>
      </c>
      <c r="B1379" s="21">
        <f t="shared" si="42"/>
        <v>-0.2440986</v>
      </c>
      <c r="D1379">
        <f t="shared" si="43"/>
        <v>-97.093930817610044</v>
      </c>
      <c r="G1379" s="21">
        <v>0.3087587</v>
      </c>
      <c r="H1379" s="21">
        <v>-0.2440986</v>
      </c>
    </row>
    <row r="1380" spans="1:8" x14ac:dyDescent="0.15">
      <c r="A1380" s="21">
        <v>2.691406E-2</v>
      </c>
      <c r="B1380" s="21">
        <f t="shared" si="42"/>
        <v>-0.25126510000000002</v>
      </c>
      <c r="D1380">
        <f t="shared" si="43"/>
        <v>-100.00427672955975</v>
      </c>
      <c r="G1380" s="21">
        <v>0.31801360000000001</v>
      </c>
      <c r="H1380" s="21">
        <v>-0.25126510000000002</v>
      </c>
    </row>
    <row r="1381" spans="1:8" x14ac:dyDescent="0.15">
      <c r="A1381" s="21">
        <v>2.693359E-2</v>
      </c>
      <c r="B1381" s="21">
        <f t="shared" si="42"/>
        <v>-0.25375209999999998</v>
      </c>
      <c r="D1381">
        <f t="shared" si="43"/>
        <v>-101.05185534591195</v>
      </c>
      <c r="G1381" s="21">
        <v>0.32134489999999999</v>
      </c>
      <c r="H1381" s="21">
        <v>-0.25375209999999998</v>
      </c>
    </row>
    <row r="1382" spans="1:8" x14ac:dyDescent="0.15">
      <c r="A1382" s="21">
        <v>2.6953129999999999E-2</v>
      </c>
      <c r="B1382" s="21">
        <f t="shared" si="42"/>
        <v>-0.25321280000000002</v>
      </c>
      <c r="D1382">
        <f t="shared" si="43"/>
        <v>-100.92990566037734</v>
      </c>
      <c r="G1382" s="21">
        <v>0.3209571</v>
      </c>
      <c r="H1382" s="21">
        <v>-0.25321280000000002</v>
      </c>
    </row>
    <row r="1383" spans="1:8" x14ac:dyDescent="0.15">
      <c r="A1383" s="21">
        <v>2.6972659999999999E-2</v>
      </c>
      <c r="B1383" s="21">
        <f t="shared" si="42"/>
        <v>-0.2486343</v>
      </c>
      <c r="D1383">
        <f t="shared" si="43"/>
        <v>-99.207421383647798</v>
      </c>
      <c r="G1383" s="21">
        <v>0.31547960000000003</v>
      </c>
      <c r="H1383" s="21">
        <v>-0.2486343</v>
      </c>
    </row>
    <row r="1384" spans="1:8" x14ac:dyDescent="0.15">
      <c r="A1384" s="21">
        <v>2.6992189999999999E-2</v>
      </c>
      <c r="B1384" s="21">
        <f t="shared" si="42"/>
        <v>-0.23970040000000001</v>
      </c>
      <c r="D1384">
        <f t="shared" si="43"/>
        <v>-95.754276729559749</v>
      </c>
      <c r="G1384" s="21">
        <v>0.30449860000000001</v>
      </c>
      <c r="H1384" s="21">
        <v>-0.23970040000000001</v>
      </c>
    </row>
    <row r="1385" spans="1:8" x14ac:dyDescent="0.15">
      <c r="A1385" s="21">
        <v>2.7011719999999999E-2</v>
      </c>
      <c r="B1385" s="21">
        <f t="shared" si="42"/>
        <v>-0.22800780000000001</v>
      </c>
      <c r="D1385">
        <f t="shared" si="43"/>
        <v>-91.114056603773591</v>
      </c>
      <c r="G1385" s="21">
        <v>0.28974270000000002</v>
      </c>
      <c r="H1385" s="21">
        <v>-0.22800780000000001</v>
      </c>
    </row>
    <row r="1386" spans="1:8" x14ac:dyDescent="0.15">
      <c r="A1386" s="21">
        <v>2.703125E-2</v>
      </c>
      <c r="B1386" s="21">
        <f t="shared" si="42"/>
        <v>-0.21310190000000001</v>
      </c>
      <c r="D1386">
        <f t="shared" si="43"/>
        <v>-85.217610062893087</v>
      </c>
      <c r="G1386" s="21">
        <v>0.27099200000000001</v>
      </c>
      <c r="H1386" s="21">
        <v>-0.21310190000000001</v>
      </c>
    </row>
    <row r="1387" spans="1:8" x14ac:dyDescent="0.15">
      <c r="A1387" s="21">
        <v>2.705078E-2</v>
      </c>
      <c r="B1387" s="21">
        <f t="shared" si="42"/>
        <v>-0.19470899999999999</v>
      </c>
      <c r="D1387">
        <f t="shared" si="43"/>
        <v>-77.880566037735846</v>
      </c>
      <c r="G1387" s="21">
        <v>0.2476602</v>
      </c>
      <c r="H1387" s="21">
        <v>-0.19470899999999999</v>
      </c>
    </row>
    <row r="1388" spans="1:8" x14ac:dyDescent="0.15">
      <c r="A1388" s="21">
        <v>2.707031E-2</v>
      </c>
      <c r="B1388" s="21">
        <f t="shared" si="42"/>
        <v>-0.1728296</v>
      </c>
      <c r="D1388">
        <f t="shared" si="43"/>
        <v>-69.131855345911944</v>
      </c>
      <c r="G1388" s="21">
        <v>0.21983929999999999</v>
      </c>
      <c r="H1388" s="21">
        <v>-0.1728296</v>
      </c>
    </row>
    <row r="1389" spans="1:8" x14ac:dyDescent="0.15">
      <c r="A1389" s="21">
        <v>2.708984E-2</v>
      </c>
      <c r="B1389" s="21">
        <f t="shared" si="42"/>
        <v>-0.14782400000000001</v>
      </c>
      <c r="D1389">
        <f t="shared" si="43"/>
        <v>-59.303396226415089</v>
      </c>
      <c r="G1389" s="21">
        <v>0.1885848</v>
      </c>
      <c r="H1389" s="21">
        <v>-0.14782400000000001</v>
      </c>
    </row>
    <row r="1390" spans="1:8" x14ac:dyDescent="0.15">
      <c r="A1390" s="21">
        <v>2.7109379999999999E-2</v>
      </c>
      <c r="B1390" s="21">
        <f t="shared" si="42"/>
        <v>-0.1214787</v>
      </c>
      <c r="D1390">
        <f t="shared" si="43"/>
        <v>-48.876886792452822</v>
      </c>
      <c r="G1390" s="21">
        <v>0.1554285</v>
      </c>
      <c r="H1390" s="21">
        <v>-0.1214787</v>
      </c>
    </row>
    <row r="1391" spans="1:8" x14ac:dyDescent="0.15">
      <c r="A1391" s="21">
        <v>2.7128909999999999E-2</v>
      </c>
      <c r="B1391" s="21">
        <f t="shared" si="42"/>
        <v>-9.3685740000000003E-2</v>
      </c>
      <c r="D1391">
        <f t="shared" si="43"/>
        <v>-37.632830188679243</v>
      </c>
      <c r="G1391" s="21">
        <v>0.1196724</v>
      </c>
      <c r="H1391" s="21">
        <v>-9.3685740000000003E-2</v>
      </c>
    </row>
    <row r="1392" spans="1:8" x14ac:dyDescent="0.15">
      <c r="A1392" s="21">
        <v>2.7148439999999999E-2</v>
      </c>
      <c r="B1392" s="21">
        <f t="shared" si="42"/>
        <v>-6.3673209999999994E-2</v>
      </c>
      <c r="D1392">
        <f t="shared" si="43"/>
        <v>-25.550034591194969</v>
      </c>
      <c r="G1392" s="21">
        <v>8.1249109999999999E-2</v>
      </c>
      <c r="H1392" s="21">
        <v>-6.3673209999999994E-2</v>
      </c>
    </row>
    <row r="1393" spans="1:8" x14ac:dyDescent="0.15">
      <c r="A1393" s="21">
        <v>2.716797E-2</v>
      </c>
      <c r="B1393" s="21">
        <f t="shared" si="42"/>
        <v>-3.2783449999999999E-2</v>
      </c>
      <c r="D1393">
        <f t="shared" si="43"/>
        <v>-13.330745283018867</v>
      </c>
      <c r="G1393" s="21">
        <v>4.2391770000000002E-2</v>
      </c>
      <c r="H1393" s="21">
        <v>-3.2783449999999999E-2</v>
      </c>
    </row>
    <row r="1394" spans="1:8" x14ac:dyDescent="0.15">
      <c r="A1394" s="21">
        <v>2.71875E-2</v>
      </c>
      <c r="B1394" s="21">
        <f t="shared" si="42"/>
        <v>-1.198775E-3</v>
      </c>
      <c r="D1394">
        <f t="shared" si="43"/>
        <v>-0.74374465408805024</v>
      </c>
      <c r="G1394" s="21">
        <v>2.3651079999999999E-3</v>
      </c>
      <c r="H1394" s="21">
        <v>-1.198775E-3</v>
      </c>
    </row>
    <row r="1395" spans="1:8" x14ac:dyDescent="0.15">
      <c r="A1395" s="21">
        <v>2.720703E-2</v>
      </c>
      <c r="B1395" s="21">
        <f t="shared" si="42"/>
        <v>3.0741750000000002E-2</v>
      </c>
      <c r="D1395">
        <f t="shared" si="43"/>
        <v>12.15664465408805</v>
      </c>
      <c r="G1395" s="21">
        <v>-3.8658129999999999E-2</v>
      </c>
      <c r="H1395" s="21">
        <v>3.0741750000000002E-2</v>
      </c>
    </row>
    <row r="1396" spans="1:8" x14ac:dyDescent="0.15">
      <c r="A1396" s="21">
        <v>2.722656E-2</v>
      </c>
      <c r="B1396" s="21">
        <f t="shared" si="42"/>
        <v>6.1094759999999998E-2</v>
      </c>
      <c r="D1396">
        <f t="shared" si="43"/>
        <v>24.408795597484275</v>
      </c>
      <c r="G1396" s="21">
        <v>-7.7619969999999996E-2</v>
      </c>
      <c r="H1396" s="21">
        <v>6.1094759999999998E-2</v>
      </c>
    </row>
    <row r="1397" spans="1:8" x14ac:dyDescent="0.15">
      <c r="A1397" s="21">
        <v>2.7246090000000001E-2</v>
      </c>
      <c r="B1397" s="21">
        <f t="shared" si="42"/>
        <v>9.0300019999999995E-2</v>
      </c>
      <c r="D1397">
        <f t="shared" si="43"/>
        <v>36.145849056603772</v>
      </c>
      <c r="G1397" s="21">
        <v>-0.1149438</v>
      </c>
      <c r="H1397" s="21">
        <v>9.0300019999999995E-2</v>
      </c>
    </row>
    <row r="1398" spans="1:8" x14ac:dyDescent="0.15">
      <c r="A1398" s="21">
        <v>2.7265629999999999E-2</v>
      </c>
      <c r="B1398" s="21">
        <f t="shared" si="42"/>
        <v>0.11899419999999999</v>
      </c>
      <c r="D1398">
        <f t="shared" si="43"/>
        <v>47.662201257861632</v>
      </c>
      <c r="G1398" s="21">
        <v>-0.1515658</v>
      </c>
      <c r="H1398" s="21">
        <v>0.11899419999999999</v>
      </c>
    </row>
    <row r="1399" spans="1:8" x14ac:dyDescent="0.15">
      <c r="A1399" s="21">
        <v>2.7285159999999999E-2</v>
      </c>
      <c r="B1399" s="21">
        <f t="shared" si="42"/>
        <v>0.14606350000000001</v>
      </c>
      <c r="D1399">
        <f t="shared" si="43"/>
        <v>58.595786163522007</v>
      </c>
      <c r="G1399" s="21">
        <v>-0.18633459999999999</v>
      </c>
      <c r="H1399" s="21">
        <v>0.14606350000000001</v>
      </c>
    </row>
    <row r="1400" spans="1:8" x14ac:dyDescent="0.15">
      <c r="A1400" s="21">
        <v>2.730469E-2</v>
      </c>
      <c r="B1400" s="21">
        <f t="shared" si="42"/>
        <v>0.17063739999999999</v>
      </c>
      <c r="D1400">
        <f t="shared" si="43"/>
        <v>68.473333333333329</v>
      </c>
      <c r="G1400" s="21">
        <v>-0.2177452</v>
      </c>
      <c r="H1400" s="21">
        <v>0.17063739999999999</v>
      </c>
    </row>
    <row r="1401" spans="1:8" x14ac:dyDescent="0.15">
      <c r="A1401" s="21">
        <v>2.732422E-2</v>
      </c>
      <c r="B1401" s="21">
        <f t="shared" si="42"/>
        <v>0.19226299999999999</v>
      </c>
      <c r="D1401">
        <f t="shared" si="43"/>
        <v>77.182578616352203</v>
      </c>
      <c r="G1401" s="21">
        <v>-0.24544060000000001</v>
      </c>
      <c r="H1401" s="21">
        <v>0.19226299999999999</v>
      </c>
    </row>
    <row r="1402" spans="1:8" x14ac:dyDescent="0.15">
      <c r="A1402" s="21">
        <v>2.734375E-2</v>
      </c>
      <c r="B1402" s="21">
        <f t="shared" si="42"/>
        <v>0.21101639999999999</v>
      </c>
      <c r="D1402">
        <f t="shared" si="43"/>
        <v>84.807075471698113</v>
      </c>
      <c r="G1402" s="21">
        <v>-0.2696865</v>
      </c>
      <c r="H1402" s="21">
        <v>0.21101639999999999</v>
      </c>
    </row>
    <row r="1403" spans="1:8" x14ac:dyDescent="0.15">
      <c r="A1403" s="21">
        <v>2.736328E-2</v>
      </c>
      <c r="B1403" s="21">
        <f t="shared" si="42"/>
        <v>0.22642880000000001</v>
      </c>
      <c r="D1403">
        <f t="shared" si="43"/>
        <v>90.981698113207543</v>
      </c>
      <c r="G1403" s="21">
        <v>-0.28932180000000002</v>
      </c>
      <c r="H1403" s="21">
        <v>0.22642880000000001</v>
      </c>
    </row>
    <row r="1404" spans="1:8" x14ac:dyDescent="0.15">
      <c r="A1404" s="21">
        <v>2.738281E-2</v>
      </c>
      <c r="B1404" s="21">
        <f t="shared" si="42"/>
        <v>0.23843</v>
      </c>
      <c r="D1404">
        <f t="shared" si="43"/>
        <v>95.854685534591169</v>
      </c>
      <c r="G1404" s="21">
        <v>-0.30481789999999997</v>
      </c>
      <c r="H1404" s="21">
        <v>0.23843</v>
      </c>
    </row>
    <row r="1405" spans="1:8" x14ac:dyDescent="0.15">
      <c r="A1405" s="21">
        <v>2.7402340000000001E-2</v>
      </c>
      <c r="B1405" s="21">
        <f t="shared" si="42"/>
        <v>0.24763180000000001</v>
      </c>
      <c r="D1405">
        <f t="shared" si="43"/>
        <v>99.652044025157238</v>
      </c>
      <c r="G1405" s="21">
        <v>-0.31689349999999999</v>
      </c>
      <c r="H1405" s="21">
        <v>0.24763180000000001</v>
      </c>
    </row>
    <row r="1406" spans="1:8" x14ac:dyDescent="0.15">
      <c r="A1406" s="21">
        <v>2.7421879999999999E-2</v>
      </c>
      <c r="B1406" s="21">
        <f t="shared" si="42"/>
        <v>0.25326349999999997</v>
      </c>
      <c r="D1406">
        <f t="shared" si="43"/>
        <v>101.91330188679244</v>
      </c>
      <c r="G1406" s="21">
        <v>-0.32408429999999999</v>
      </c>
      <c r="H1406" s="21">
        <v>0.25326349999999997</v>
      </c>
    </row>
    <row r="1407" spans="1:8" x14ac:dyDescent="0.15">
      <c r="A1407" s="21">
        <v>2.7441409999999999E-2</v>
      </c>
      <c r="B1407" s="21">
        <f t="shared" si="42"/>
        <v>0.25482460000000001</v>
      </c>
      <c r="D1407">
        <f t="shared" si="43"/>
        <v>102.53814465408804</v>
      </c>
      <c r="G1407" s="21">
        <v>-0.32607130000000001</v>
      </c>
      <c r="H1407" s="21">
        <v>0.25482460000000001</v>
      </c>
    </row>
    <row r="1408" spans="1:8" x14ac:dyDescent="0.15">
      <c r="A1408" s="21">
        <v>2.746094E-2</v>
      </c>
      <c r="B1408" s="21">
        <f t="shared" si="42"/>
        <v>0.25237130000000002</v>
      </c>
      <c r="D1408">
        <f t="shared" si="43"/>
        <v>101.62056603773584</v>
      </c>
      <c r="G1408" s="21">
        <v>-0.32315339999999998</v>
      </c>
      <c r="H1408" s="21">
        <v>0.25237130000000002</v>
      </c>
    </row>
    <row r="1409" spans="1:8" x14ac:dyDescent="0.15">
      <c r="A1409" s="21">
        <v>2.748047E-2</v>
      </c>
      <c r="B1409" s="21">
        <f t="shared" si="42"/>
        <v>0.24580930000000001</v>
      </c>
      <c r="D1409">
        <f t="shared" si="43"/>
        <v>99.074905660377354</v>
      </c>
      <c r="G1409" s="21">
        <v>-0.31505820000000001</v>
      </c>
      <c r="H1409" s="21">
        <v>0.24580930000000001</v>
      </c>
    </row>
    <row r="1410" spans="1:8" x14ac:dyDescent="0.15">
      <c r="A1410" s="21">
        <v>2.75E-2</v>
      </c>
      <c r="B1410" s="21">
        <f t="shared" ref="B1410:B1473" si="44">H1410</f>
        <v>0.23590539999999999</v>
      </c>
      <c r="D1410">
        <f t="shared" ref="D1410:D1473" si="45">G1410*-1000/3.18</f>
        <v>95.139245283018866</v>
      </c>
      <c r="G1410" s="21">
        <v>-0.3025428</v>
      </c>
      <c r="H1410" s="21">
        <v>0.23590539999999999</v>
      </c>
    </row>
    <row r="1411" spans="1:8" x14ac:dyDescent="0.15">
      <c r="A1411" s="21">
        <v>2.751953E-2</v>
      </c>
      <c r="B1411" s="21">
        <f t="shared" si="44"/>
        <v>0.22273660000000001</v>
      </c>
      <c r="D1411">
        <f t="shared" si="45"/>
        <v>89.874937106918239</v>
      </c>
      <c r="G1411" s="21">
        <v>-0.28580230000000001</v>
      </c>
      <c r="H1411" s="21">
        <v>0.22273660000000001</v>
      </c>
    </row>
    <row r="1412" spans="1:8" x14ac:dyDescent="0.15">
      <c r="A1412" s="21">
        <v>2.7539060000000001E-2</v>
      </c>
      <c r="B1412" s="21">
        <f t="shared" si="44"/>
        <v>0.20621539999999999</v>
      </c>
      <c r="D1412">
        <f t="shared" si="45"/>
        <v>83.316477987421393</v>
      </c>
      <c r="G1412" s="21">
        <v>-0.26494640000000003</v>
      </c>
      <c r="H1412" s="21">
        <v>0.20621539999999999</v>
      </c>
    </row>
    <row r="1413" spans="1:8" x14ac:dyDescent="0.15">
      <c r="A1413" s="21">
        <v>2.7558590000000001E-2</v>
      </c>
      <c r="B1413" s="21">
        <f t="shared" si="44"/>
        <v>0.1870405</v>
      </c>
      <c r="D1413">
        <f t="shared" si="45"/>
        <v>75.742012578616354</v>
      </c>
      <c r="G1413" s="21">
        <v>-0.24085960000000001</v>
      </c>
      <c r="H1413" s="21">
        <v>0.1870405</v>
      </c>
    </row>
    <row r="1414" spans="1:8" x14ac:dyDescent="0.15">
      <c r="A1414" s="21">
        <v>2.7578129999999999E-2</v>
      </c>
      <c r="B1414" s="21">
        <f t="shared" si="44"/>
        <v>0.1642998</v>
      </c>
      <c r="D1414">
        <f t="shared" si="45"/>
        <v>66.595943396226403</v>
      </c>
      <c r="G1414" s="21">
        <v>-0.21177509999999999</v>
      </c>
      <c r="H1414" s="21">
        <v>0.1642998</v>
      </c>
    </row>
    <row r="1415" spans="1:8" x14ac:dyDescent="0.15">
      <c r="A1415" s="21">
        <v>2.759766E-2</v>
      </c>
      <c r="B1415" s="21">
        <f t="shared" si="44"/>
        <v>0.13825999999999999</v>
      </c>
      <c r="D1415">
        <f t="shared" si="45"/>
        <v>56.178176100628924</v>
      </c>
      <c r="G1415" s="21">
        <v>-0.17864659999999999</v>
      </c>
      <c r="H1415" s="21">
        <v>0.13825999999999999</v>
      </c>
    </row>
    <row r="1416" spans="1:8" x14ac:dyDescent="0.15">
      <c r="A1416" s="21">
        <v>2.761719E-2</v>
      </c>
      <c r="B1416" s="21">
        <f t="shared" si="44"/>
        <v>0.1109248</v>
      </c>
      <c r="D1416">
        <f t="shared" si="45"/>
        <v>45.397987421383647</v>
      </c>
      <c r="G1416" s="21">
        <v>-0.14436560000000001</v>
      </c>
      <c r="H1416" s="21">
        <v>0.1109248</v>
      </c>
    </row>
    <row r="1417" spans="1:8" x14ac:dyDescent="0.15">
      <c r="A1417" s="21">
        <v>2.763672E-2</v>
      </c>
      <c r="B1417" s="21">
        <f t="shared" si="44"/>
        <v>8.1983509999999996E-2</v>
      </c>
      <c r="D1417">
        <f t="shared" si="45"/>
        <v>33.828238993710684</v>
      </c>
      <c r="G1417" s="21">
        <v>-0.1075738</v>
      </c>
      <c r="H1417" s="21">
        <v>8.1983509999999996E-2</v>
      </c>
    </row>
    <row r="1418" spans="1:8" x14ac:dyDescent="0.15">
      <c r="A1418" s="21">
        <v>2.765625E-2</v>
      </c>
      <c r="B1418" s="21">
        <f t="shared" si="44"/>
        <v>5.1672049999999997E-2</v>
      </c>
      <c r="D1418">
        <f t="shared" si="45"/>
        <v>21.726698113207544</v>
      </c>
      <c r="G1418" s="21">
        <v>-6.9090899999999997E-2</v>
      </c>
      <c r="H1418" s="21">
        <v>5.1672049999999997E-2</v>
      </c>
    </row>
    <row r="1419" spans="1:8" x14ac:dyDescent="0.15">
      <c r="A1419" s="21">
        <v>2.7675780000000001E-2</v>
      </c>
      <c r="B1419" s="21">
        <f t="shared" si="44"/>
        <v>2.0714679999999999E-2</v>
      </c>
      <c r="D1419">
        <f t="shared" si="45"/>
        <v>9.3387578616352194</v>
      </c>
      <c r="G1419" s="21">
        <v>-2.9697250000000001E-2</v>
      </c>
      <c r="H1419" s="21">
        <v>2.0714679999999999E-2</v>
      </c>
    </row>
    <row r="1420" spans="1:8" x14ac:dyDescent="0.15">
      <c r="A1420" s="21">
        <v>2.7695310000000001E-2</v>
      </c>
      <c r="B1420" s="21">
        <f t="shared" si="44"/>
        <v>-1.115332E-2</v>
      </c>
      <c r="D1420">
        <f t="shared" si="45"/>
        <v>-3.4443081761006287</v>
      </c>
      <c r="G1420" s="21">
        <v>1.09529E-2</v>
      </c>
      <c r="H1420" s="21">
        <v>-1.115332E-2</v>
      </c>
    </row>
    <row r="1421" spans="1:8" x14ac:dyDescent="0.15">
      <c r="A1421" s="21">
        <v>2.7714840000000001E-2</v>
      </c>
      <c r="B1421" s="21">
        <f t="shared" si="44"/>
        <v>-4.2491189999999998E-2</v>
      </c>
      <c r="D1421">
        <f t="shared" si="45"/>
        <v>-15.886849056603772</v>
      </c>
      <c r="G1421" s="21">
        <v>5.0520179999999998E-2</v>
      </c>
      <c r="H1421" s="21">
        <v>-4.2491189999999998E-2</v>
      </c>
    </row>
    <row r="1422" spans="1:8" x14ac:dyDescent="0.15">
      <c r="A1422" s="21">
        <v>2.7734379999999999E-2</v>
      </c>
      <c r="B1422" s="21">
        <f t="shared" si="44"/>
        <v>-7.2729699999999994E-2</v>
      </c>
      <c r="D1422">
        <f t="shared" si="45"/>
        <v>-28.035449685534591</v>
      </c>
      <c r="G1422" s="21">
        <v>8.9152729999999999E-2</v>
      </c>
      <c r="H1422" s="21">
        <v>-7.2729699999999994E-2</v>
      </c>
    </row>
    <row r="1423" spans="1:8" x14ac:dyDescent="0.15">
      <c r="A1423" s="21">
        <v>2.775391E-2</v>
      </c>
      <c r="B1423" s="21">
        <f t="shared" si="44"/>
        <v>-0.1022308</v>
      </c>
      <c r="D1423">
        <f t="shared" si="45"/>
        <v>-39.867389937106921</v>
      </c>
      <c r="G1423" s="21">
        <v>0.12677830000000001</v>
      </c>
      <c r="H1423" s="21">
        <v>-0.1022308</v>
      </c>
    </row>
    <row r="1424" spans="1:8" x14ac:dyDescent="0.15">
      <c r="A1424" s="21">
        <v>2.777344E-2</v>
      </c>
      <c r="B1424" s="21">
        <f t="shared" si="44"/>
        <v>-0.12984879999999999</v>
      </c>
      <c r="D1424">
        <f t="shared" si="45"/>
        <v>-50.869968553459117</v>
      </c>
      <c r="G1424" s="21">
        <v>0.16176650000000001</v>
      </c>
      <c r="H1424" s="21">
        <v>-0.12984879999999999</v>
      </c>
    </row>
    <row r="1425" spans="1:8" x14ac:dyDescent="0.15">
      <c r="A1425" s="21">
        <v>2.779297E-2</v>
      </c>
      <c r="B1425" s="21">
        <f t="shared" si="44"/>
        <v>-0.15543680000000001</v>
      </c>
      <c r="D1425">
        <f t="shared" si="45"/>
        <v>-61.200283018867928</v>
      </c>
      <c r="G1425" s="21">
        <v>0.19461690000000001</v>
      </c>
      <c r="H1425" s="21">
        <v>-0.15543680000000001</v>
      </c>
    </row>
    <row r="1426" spans="1:8" x14ac:dyDescent="0.15">
      <c r="A1426" s="21">
        <v>2.78125E-2</v>
      </c>
      <c r="B1426" s="21">
        <f t="shared" si="44"/>
        <v>-0.17921960000000001</v>
      </c>
      <c r="D1426">
        <f t="shared" si="45"/>
        <v>-70.825220125786174</v>
      </c>
      <c r="G1426" s="21">
        <v>0.22522420000000001</v>
      </c>
      <c r="H1426" s="21">
        <v>-0.17921960000000001</v>
      </c>
    </row>
    <row r="1427" spans="1:8" x14ac:dyDescent="0.15">
      <c r="A1427" s="21">
        <v>2.7832030000000001E-2</v>
      </c>
      <c r="B1427" s="21">
        <f t="shared" si="44"/>
        <v>-0.2000342</v>
      </c>
      <c r="D1427">
        <f t="shared" si="45"/>
        <v>-79.169622641509434</v>
      </c>
      <c r="G1427" s="21">
        <v>0.25175940000000002</v>
      </c>
      <c r="H1427" s="21">
        <v>-0.2000342</v>
      </c>
    </row>
    <row r="1428" spans="1:8" x14ac:dyDescent="0.15">
      <c r="A1428" s="21">
        <v>2.7851560000000001E-2</v>
      </c>
      <c r="B1428" s="21">
        <f t="shared" si="44"/>
        <v>-0.21750420000000001</v>
      </c>
      <c r="D1428">
        <f t="shared" si="45"/>
        <v>-86.157264150943391</v>
      </c>
      <c r="G1428" s="21">
        <v>0.2739801</v>
      </c>
      <c r="H1428" s="21">
        <v>-0.21750420000000001</v>
      </c>
    </row>
    <row r="1429" spans="1:8" x14ac:dyDescent="0.15">
      <c r="A1429" s="21">
        <v>2.7871090000000001E-2</v>
      </c>
      <c r="B1429" s="21">
        <f t="shared" si="44"/>
        <v>-0.23192499999999999</v>
      </c>
      <c r="D1429">
        <f t="shared" si="45"/>
        <v>-92.093427672955968</v>
      </c>
      <c r="G1429" s="21">
        <v>0.29285709999999998</v>
      </c>
      <c r="H1429" s="21">
        <v>-0.23192499999999999</v>
      </c>
    </row>
    <row r="1430" spans="1:8" x14ac:dyDescent="0.15">
      <c r="A1430" s="21">
        <v>2.789063E-2</v>
      </c>
      <c r="B1430" s="21">
        <f t="shared" si="44"/>
        <v>-0.24269199999999999</v>
      </c>
      <c r="D1430">
        <f t="shared" si="45"/>
        <v>-96.514245283018866</v>
      </c>
      <c r="G1430" s="21">
        <v>0.3069153</v>
      </c>
      <c r="H1430" s="21">
        <v>-0.24269199999999999</v>
      </c>
    </row>
    <row r="1431" spans="1:8" x14ac:dyDescent="0.15">
      <c r="A1431" s="21">
        <v>2.791016E-2</v>
      </c>
      <c r="B1431" s="21">
        <f t="shared" si="44"/>
        <v>-0.24978300000000001</v>
      </c>
      <c r="D1431">
        <f t="shared" si="45"/>
        <v>-99.409779874213825</v>
      </c>
      <c r="G1431" s="21">
        <v>0.31612309999999999</v>
      </c>
      <c r="H1431" s="21">
        <v>-0.24978300000000001</v>
      </c>
    </row>
    <row r="1432" spans="1:8" x14ac:dyDescent="0.15">
      <c r="A1432" s="21">
        <v>2.792969E-2</v>
      </c>
      <c r="B1432" s="21">
        <f t="shared" si="44"/>
        <v>-0.2534498</v>
      </c>
      <c r="D1432">
        <f t="shared" si="45"/>
        <v>-101.02962264150943</v>
      </c>
      <c r="G1432" s="21">
        <v>0.32127420000000001</v>
      </c>
      <c r="H1432" s="21">
        <v>-0.2534498</v>
      </c>
    </row>
    <row r="1433" spans="1:8" x14ac:dyDescent="0.15">
      <c r="A1433" s="21">
        <v>2.794922E-2</v>
      </c>
      <c r="B1433" s="21">
        <f t="shared" si="44"/>
        <v>-0.25343949999999998</v>
      </c>
      <c r="D1433">
        <f t="shared" si="45"/>
        <v>-101.07160377358491</v>
      </c>
      <c r="G1433" s="21">
        <v>0.32140770000000002</v>
      </c>
      <c r="H1433" s="21">
        <v>-0.25343949999999998</v>
      </c>
    </row>
    <row r="1434" spans="1:8" x14ac:dyDescent="0.15">
      <c r="A1434" s="21">
        <v>2.7968750000000001E-2</v>
      </c>
      <c r="B1434" s="21">
        <f t="shared" si="44"/>
        <v>-0.24987200000000001</v>
      </c>
      <c r="D1434">
        <f t="shared" si="45"/>
        <v>-99.783333333333346</v>
      </c>
      <c r="G1434" s="21">
        <v>0.31731100000000001</v>
      </c>
      <c r="H1434" s="21">
        <v>-0.24987200000000001</v>
      </c>
    </row>
    <row r="1435" spans="1:8" x14ac:dyDescent="0.15">
      <c r="A1435" s="21">
        <v>2.7988280000000001E-2</v>
      </c>
      <c r="B1435" s="21">
        <f t="shared" si="44"/>
        <v>-0.2420486</v>
      </c>
      <c r="D1435">
        <f t="shared" si="45"/>
        <v>-96.747075471698096</v>
      </c>
      <c r="G1435" s="21">
        <v>0.30765569999999998</v>
      </c>
      <c r="H1435" s="21">
        <v>-0.2420486</v>
      </c>
    </row>
    <row r="1436" spans="1:8" x14ac:dyDescent="0.15">
      <c r="A1436" s="21">
        <v>2.8007810000000001E-2</v>
      </c>
      <c r="B1436" s="21">
        <f t="shared" si="44"/>
        <v>-0.23026279999999999</v>
      </c>
      <c r="D1436">
        <f t="shared" si="45"/>
        <v>-92.062515723270437</v>
      </c>
      <c r="G1436" s="21">
        <v>0.29275879999999999</v>
      </c>
      <c r="H1436" s="21">
        <v>-0.23026279999999999</v>
      </c>
    </row>
    <row r="1437" spans="1:8" x14ac:dyDescent="0.15">
      <c r="A1437" s="21">
        <v>2.8027340000000001E-2</v>
      </c>
      <c r="B1437" s="21">
        <f t="shared" si="44"/>
        <v>-0.21593960000000001</v>
      </c>
      <c r="D1437">
        <f t="shared" si="45"/>
        <v>-86.492704402515713</v>
      </c>
      <c r="G1437" s="21">
        <v>0.27504679999999998</v>
      </c>
      <c r="H1437" s="21">
        <v>-0.21593960000000001</v>
      </c>
    </row>
    <row r="1438" spans="1:8" x14ac:dyDescent="0.15">
      <c r="A1438" s="21">
        <v>2.8046870000000002E-2</v>
      </c>
      <c r="B1438" s="21">
        <f t="shared" si="44"/>
        <v>-0.19840759999999999</v>
      </c>
      <c r="D1438">
        <f t="shared" si="45"/>
        <v>-79.411100628930811</v>
      </c>
      <c r="G1438" s="21">
        <v>0.25252730000000001</v>
      </c>
      <c r="H1438" s="21">
        <v>-0.19840759999999999</v>
      </c>
    </row>
    <row r="1439" spans="1:8" x14ac:dyDescent="0.15">
      <c r="A1439" s="21">
        <v>2.806641E-2</v>
      </c>
      <c r="B1439" s="21">
        <f t="shared" si="44"/>
        <v>-0.17736479999999999</v>
      </c>
      <c r="D1439">
        <f t="shared" si="45"/>
        <v>-70.986698113207552</v>
      </c>
      <c r="G1439" s="21">
        <v>0.22573770000000001</v>
      </c>
      <c r="H1439" s="21">
        <v>-0.17736479999999999</v>
      </c>
    </row>
    <row r="1440" spans="1:8" x14ac:dyDescent="0.15">
      <c r="A1440" s="21">
        <v>2.808594E-2</v>
      </c>
      <c r="B1440" s="21">
        <f t="shared" si="44"/>
        <v>-0.15346219999999999</v>
      </c>
      <c r="D1440">
        <f t="shared" si="45"/>
        <v>-61.583647798742142</v>
      </c>
      <c r="G1440" s="21">
        <v>0.19583600000000001</v>
      </c>
      <c r="H1440" s="21">
        <v>-0.15346219999999999</v>
      </c>
    </row>
    <row r="1441" spans="1:8" x14ac:dyDescent="0.15">
      <c r="A1441" s="21">
        <v>2.810547E-2</v>
      </c>
      <c r="B1441" s="21">
        <f t="shared" si="44"/>
        <v>-0.1268917</v>
      </c>
      <c r="D1441">
        <f t="shared" si="45"/>
        <v>-50.956635220125783</v>
      </c>
      <c r="G1441" s="21">
        <v>0.16204209999999999</v>
      </c>
      <c r="H1441" s="21">
        <v>-0.1268917</v>
      </c>
    </row>
    <row r="1442" spans="1:8" x14ac:dyDescent="0.15">
      <c r="A1442" s="21">
        <v>2.8125000000000001E-2</v>
      </c>
      <c r="B1442" s="21">
        <f t="shared" si="44"/>
        <v>-9.8682850000000003E-2</v>
      </c>
      <c r="D1442">
        <f t="shared" si="45"/>
        <v>-39.690251572327035</v>
      </c>
      <c r="G1442" s="21">
        <v>0.12621499999999999</v>
      </c>
      <c r="H1442" s="21">
        <v>-9.8682850000000003E-2</v>
      </c>
    </row>
    <row r="1443" spans="1:8" x14ac:dyDescent="0.15">
      <c r="A1443" s="21">
        <v>2.8144530000000001E-2</v>
      </c>
      <c r="B1443" s="21">
        <f t="shared" si="44"/>
        <v>-6.947383E-2</v>
      </c>
      <c r="D1443">
        <f t="shared" si="45"/>
        <v>-28.014040880503142</v>
      </c>
      <c r="G1443" s="21">
        <v>8.9084650000000001E-2</v>
      </c>
      <c r="H1443" s="21">
        <v>-6.947383E-2</v>
      </c>
    </row>
    <row r="1444" spans="1:8" x14ac:dyDescent="0.15">
      <c r="A1444" s="21">
        <v>2.8164060000000001E-2</v>
      </c>
      <c r="B1444" s="21">
        <f t="shared" si="44"/>
        <v>-3.9010740000000002E-2</v>
      </c>
      <c r="D1444">
        <f t="shared" si="45"/>
        <v>-15.835003144654088</v>
      </c>
      <c r="G1444" s="21">
        <v>5.035531E-2</v>
      </c>
      <c r="H1444" s="21">
        <v>-3.9010740000000002E-2</v>
      </c>
    </row>
    <row r="1445" spans="1:8" x14ac:dyDescent="0.15">
      <c r="A1445" s="21">
        <v>2.8183590000000001E-2</v>
      </c>
      <c r="B1445" s="21">
        <f t="shared" si="44"/>
        <v>-7.5159780000000004E-3</v>
      </c>
      <c r="D1445">
        <f t="shared" si="45"/>
        <v>-3.2580849056603776</v>
      </c>
      <c r="G1445" s="21">
        <v>1.036071E-2</v>
      </c>
      <c r="H1445" s="21">
        <v>-7.5159780000000004E-3</v>
      </c>
    </row>
    <row r="1446" spans="1:8" x14ac:dyDescent="0.15">
      <c r="A1446" s="21">
        <v>2.8203120000000002E-2</v>
      </c>
      <c r="B1446" s="21">
        <f t="shared" si="44"/>
        <v>2.4353139999999999E-2</v>
      </c>
      <c r="D1446">
        <f t="shared" si="45"/>
        <v>9.5752201257861618</v>
      </c>
      <c r="G1446" s="21">
        <v>-3.0449199999999999E-2</v>
      </c>
      <c r="H1446" s="21">
        <v>2.4353139999999999E-2</v>
      </c>
    </row>
    <row r="1447" spans="1:8" x14ac:dyDescent="0.15">
      <c r="A1447" s="21">
        <v>2.822266E-2</v>
      </c>
      <c r="B1447" s="21">
        <f t="shared" si="44"/>
        <v>5.5661469999999998E-2</v>
      </c>
      <c r="D1447">
        <f t="shared" si="45"/>
        <v>22.170943396226416</v>
      </c>
      <c r="G1447" s="21">
        <v>-7.05036E-2</v>
      </c>
      <c r="H1447" s="21">
        <v>5.5661469999999998E-2</v>
      </c>
    </row>
    <row r="1448" spans="1:8" x14ac:dyDescent="0.15">
      <c r="A1448" s="21">
        <v>2.824219E-2</v>
      </c>
      <c r="B1448" s="21">
        <f t="shared" si="44"/>
        <v>8.5578290000000001E-2</v>
      </c>
      <c r="D1448">
        <f t="shared" si="45"/>
        <v>34.138993710691828</v>
      </c>
      <c r="G1448" s="21">
        <v>-0.10856200000000001</v>
      </c>
      <c r="H1448" s="21">
        <v>8.5578290000000001E-2</v>
      </c>
    </row>
    <row r="1449" spans="1:8" x14ac:dyDescent="0.15">
      <c r="A1449" s="21">
        <v>2.8261720000000001E-2</v>
      </c>
      <c r="B1449" s="21">
        <f t="shared" si="44"/>
        <v>0.1138979</v>
      </c>
      <c r="D1449">
        <f t="shared" si="45"/>
        <v>45.523333333333333</v>
      </c>
      <c r="G1449" s="21">
        <v>-0.14476420000000001</v>
      </c>
      <c r="H1449" s="21">
        <v>0.1138979</v>
      </c>
    </row>
    <row r="1450" spans="1:8" x14ac:dyDescent="0.15">
      <c r="A1450" s="21">
        <v>2.8281250000000001E-2</v>
      </c>
      <c r="B1450" s="21">
        <f t="shared" si="44"/>
        <v>0.14075979999999999</v>
      </c>
      <c r="D1450">
        <f t="shared" si="45"/>
        <v>56.396729559748422</v>
      </c>
      <c r="G1450" s="21">
        <v>-0.17934159999999999</v>
      </c>
      <c r="H1450" s="21">
        <v>0.14075979999999999</v>
      </c>
    </row>
    <row r="1451" spans="1:8" x14ac:dyDescent="0.15">
      <c r="A1451" s="21">
        <v>2.8300780000000001E-2</v>
      </c>
      <c r="B1451" s="21">
        <f t="shared" si="44"/>
        <v>0.16579099999999999</v>
      </c>
      <c r="D1451">
        <f t="shared" si="45"/>
        <v>66.441918238993708</v>
      </c>
      <c r="G1451" s="21">
        <v>-0.21128530000000001</v>
      </c>
      <c r="H1451" s="21">
        <v>0.16579099999999999</v>
      </c>
    </row>
    <row r="1452" spans="1:8" x14ac:dyDescent="0.15">
      <c r="A1452" s="21">
        <v>2.8320310000000001E-2</v>
      </c>
      <c r="B1452" s="21">
        <f t="shared" si="44"/>
        <v>0.1883679</v>
      </c>
      <c r="D1452">
        <f t="shared" si="45"/>
        <v>75.547672955974846</v>
      </c>
      <c r="G1452" s="21">
        <v>-0.2402416</v>
      </c>
      <c r="H1452" s="21">
        <v>0.1883679</v>
      </c>
    </row>
    <row r="1453" spans="1:8" x14ac:dyDescent="0.15">
      <c r="A1453" s="21">
        <v>2.8339840000000002E-2</v>
      </c>
      <c r="B1453" s="21">
        <f t="shared" si="44"/>
        <v>0.2081152</v>
      </c>
      <c r="D1453">
        <f t="shared" si="45"/>
        <v>83.579591194968543</v>
      </c>
      <c r="G1453" s="21">
        <v>-0.26578309999999999</v>
      </c>
      <c r="H1453" s="21">
        <v>0.2081152</v>
      </c>
    </row>
    <row r="1454" spans="1:8" x14ac:dyDescent="0.15">
      <c r="A1454" s="21">
        <v>2.8359369999999998E-2</v>
      </c>
      <c r="B1454" s="21">
        <f t="shared" si="44"/>
        <v>0.22405459999999999</v>
      </c>
      <c r="D1454">
        <f t="shared" si="45"/>
        <v>90.014685534591194</v>
      </c>
      <c r="G1454" s="21">
        <v>-0.28624670000000002</v>
      </c>
      <c r="H1454" s="21">
        <v>0.22405459999999999</v>
      </c>
    </row>
    <row r="1455" spans="1:8" x14ac:dyDescent="0.15">
      <c r="A1455" s="21">
        <v>2.837891E-2</v>
      </c>
      <c r="B1455" s="21">
        <f t="shared" si="44"/>
        <v>0.23629820000000001</v>
      </c>
      <c r="D1455">
        <f t="shared" si="45"/>
        <v>95.087232704402524</v>
      </c>
      <c r="G1455" s="21">
        <v>-0.30237740000000002</v>
      </c>
      <c r="H1455" s="21">
        <v>0.23629820000000001</v>
      </c>
    </row>
    <row r="1456" spans="1:8" x14ac:dyDescent="0.15">
      <c r="A1456" s="21">
        <v>2.839844E-2</v>
      </c>
      <c r="B1456" s="21">
        <f t="shared" si="44"/>
        <v>0.24601400000000001</v>
      </c>
      <c r="D1456">
        <f t="shared" si="45"/>
        <v>99.066540880503155</v>
      </c>
      <c r="G1456" s="21">
        <v>-0.31503160000000002</v>
      </c>
      <c r="H1456" s="21">
        <v>0.24601400000000001</v>
      </c>
    </row>
    <row r="1457" spans="1:8" x14ac:dyDescent="0.15">
      <c r="A1457" s="21">
        <v>2.8417970000000001E-2</v>
      </c>
      <c r="B1457" s="21">
        <f t="shared" si="44"/>
        <v>0.2523379</v>
      </c>
      <c r="D1457">
        <f t="shared" si="45"/>
        <v>101.57528301886792</v>
      </c>
      <c r="G1457" s="21">
        <v>-0.3230094</v>
      </c>
      <c r="H1457" s="21">
        <v>0.2523379</v>
      </c>
    </row>
    <row r="1458" spans="1:8" x14ac:dyDescent="0.15">
      <c r="A1458" s="21">
        <v>2.8437500000000001E-2</v>
      </c>
      <c r="B1458" s="21">
        <f t="shared" si="44"/>
        <v>0.25475490000000001</v>
      </c>
      <c r="D1458">
        <f t="shared" si="45"/>
        <v>102.6106289308176</v>
      </c>
      <c r="G1458" s="21">
        <v>-0.32630179999999998</v>
      </c>
      <c r="H1458" s="21">
        <v>0.25475490000000001</v>
      </c>
    </row>
    <row r="1459" spans="1:8" x14ac:dyDescent="0.15">
      <c r="A1459" s="21">
        <v>2.8457030000000001E-2</v>
      </c>
      <c r="B1459" s="21">
        <f t="shared" si="44"/>
        <v>0.25343700000000002</v>
      </c>
      <c r="D1459">
        <f t="shared" si="45"/>
        <v>102.07446540880504</v>
      </c>
      <c r="G1459" s="21">
        <v>-0.32459680000000002</v>
      </c>
      <c r="H1459" s="21">
        <v>0.25343700000000002</v>
      </c>
    </row>
    <row r="1460" spans="1:8" x14ac:dyDescent="0.15">
      <c r="A1460" s="21">
        <v>2.8476560000000001E-2</v>
      </c>
      <c r="B1460" s="21">
        <f t="shared" si="44"/>
        <v>0.24746470000000001</v>
      </c>
      <c r="D1460">
        <f t="shared" si="45"/>
        <v>99.706226415094349</v>
      </c>
      <c r="G1460" s="21">
        <v>-0.31706580000000001</v>
      </c>
      <c r="H1460" s="21">
        <v>0.24746470000000001</v>
      </c>
    </row>
    <row r="1461" spans="1:8" x14ac:dyDescent="0.15">
      <c r="A1461" s="21">
        <v>2.8496090000000002E-2</v>
      </c>
      <c r="B1461" s="21">
        <f t="shared" si="44"/>
        <v>0.2380005</v>
      </c>
      <c r="D1461">
        <f t="shared" si="45"/>
        <v>96.013396226415097</v>
      </c>
      <c r="G1461" s="21">
        <v>-0.3053226</v>
      </c>
      <c r="H1461" s="21">
        <v>0.2380005</v>
      </c>
    </row>
    <row r="1462" spans="1:8" x14ac:dyDescent="0.15">
      <c r="A1462" s="21">
        <v>2.8515619999999998E-2</v>
      </c>
      <c r="B1462" s="21">
        <f t="shared" si="44"/>
        <v>0.2258781</v>
      </c>
      <c r="D1462">
        <f t="shared" si="45"/>
        <v>91.161446540880519</v>
      </c>
      <c r="G1462" s="21">
        <v>-0.28989340000000002</v>
      </c>
      <c r="H1462" s="21">
        <v>0.2258781</v>
      </c>
    </row>
    <row r="1463" spans="1:8" x14ac:dyDescent="0.15">
      <c r="A1463" s="21">
        <v>2.853516E-2</v>
      </c>
      <c r="B1463" s="21">
        <f t="shared" si="44"/>
        <v>0.20993819999999999</v>
      </c>
      <c r="D1463">
        <f t="shared" si="45"/>
        <v>84.820314465408785</v>
      </c>
      <c r="G1463" s="21">
        <v>-0.26972859999999999</v>
      </c>
      <c r="H1463" s="21">
        <v>0.20993819999999999</v>
      </c>
    </row>
    <row r="1464" spans="1:8" x14ac:dyDescent="0.15">
      <c r="A1464" s="21">
        <v>2.8554690000000001E-2</v>
      </c>
      <c r="B1464" s="21">
        <f t="shared" si="44"/>
        <v>0.19098899999999999</v>
      </c>
      <c r="D1464">
        <f t="shared" si="45"/>
        <v>77.279056603773583</v>
      </c>
      <c r="G1464" s="21">
        <v>-0.2457474</v>
      </c>
      <c r="H1464" s="21">
        <v>0.19098899999999999</v>
      </c>
    </row>
    <row r="1465" spans="1:8" x14ac:dyDescent="0.15">
      <c r="A1465" s="21">
        <v>2.8574220000000001E-2</v>
      </c>
      <c r="B1465" s="21">
        <f t="shared" si="44"/>
        <v>0.16917860000000001</v>
      </c>
      <c r="D1465">
        <f t="shared" si="45"/>
        <v>68.517484276729562</v>
      </c>
      <c r="G1465" s="21">
        <v>-0.21788560000000001</v>
      </c>
      <c r="H1465" s="21">
        <v>0.16917860000000001</v>
      </c>
    </row>
    <row r="1466" spans="1:8" x14ac:dyDescent="0.15">
      <c r="A1466" s="21">
        <v>2.8593750000000001E-2</v>
      </c>
      <c r="B1466" s="21">
        <f t="shared" si="44"/>
        <v>0.14379919999999999</v>
      </c>
      <c r="D1466">
        <f t="shared" si="45"/>
        <v>58.458207547169813</v>
      </c>
      <c r="G1466" s="21">
        <v>-0.18589710000000001</v>
      </c>
      <c r="H1466" s="21">
        <v>0.14379919999999999</v>
      </c>
    </row>
    <row r="1467" spans="1:8" x14ac:dyDescent="0.15">
      <c r="A1467" s="21">
        <v>2.8613280000000001E-2</v>
      </c>
      <c r="B1467" s="21">
        <f t="shared" si="44"/>
        <v>0.1164178</v>
      </c>
      <c r="D1467">
        <f t="shared" si="45"/>
        <v>47.618867924528296</v>
      </c>
      <c r="G1467" s="21">
        <v>-0.15142800000000001</v>
      </c>
      <c r="H1467" s="21">
        <v>0.1164178</v>
      </c>
    </row>
    <row r="1468" spans="1:8" x14ac:dyDescent="0.15">
      <c r="A1468" s="21">
        <v>2.8632810000000002E-2</v>
      </c>
      <c r="B1468" s="21">
        <f t="shared" si="44"/>
        <v>8.7864559999999994E-2</v>
      </c>
      <c r="D1468">
        <f t="shared" si="45"/>
        <v>36.190817610062894</v>
      </c>
      <c r="G1468" s="21">
        <v>-0.1150868</v>
      </c>
      <c r="H1468" s="21">
        <v>8.7864559999999994E-2</v>
      </c>
    </row>
    <row r="1469" spans="1:8" x14ac:dyDescent="0.15">
      <c r="A1469" s="21">
        <v>2.8652339999999998E-2</v>
      </c>
      <c r="B1469" s="21">
        <f t="shared" si="44"/>
        <v>5.7803340000000002E-2</v>
      </c>
      <c r="D1469">
        <f t="shared" si="45"/>
        <v>24.204773584905659</v>
      </c>
      <c r="G1469" s="21">
        <v>-7.697118E-2</v>
      </c>
      <c r="H1469" s="21">
        <v>5.7803340000000002E-2</v>
      </c>
    </row>
    <row r="1470" spans="1:8" x14ac:dyDescent="0.15">
      <c r="A1470" s="21">
        <v>2.8671869999999999E-2</v>
      </c>
      <c r="B1470" s="21">
        <f t="shared" si="44"/>
        <v>2.667106E-2</v>
      </c>
      <c r="D1470">
        <f t="shared" si="45"/>
        <v>11.788952830188679</v>
      </c>
      <c r="G1470" s="21">
        <v>-3.7488870000000001E-2</v>
      </c>
      <c r="H1470" s="21">
        <v>2.667106E-2</v>
      </c>
    </row>
    <row r="1471" spans="1:8" x14ac:dyDescent="0.15">
      <c r="A1471" s="21">
        <v>2.8691410000000001E-2</v>
      </c>
      <c r="B1471" s="21">
        <f t="shared" si="44"/>
        <v>-4.8863129999999998E-3</v>
      </c>
      <c r="D1471">
        <f t="shared" si="45"/>
        <v>-0.793516037735849</v>
      </c>
      <c r="G1471" s="21">
        <v>2.5233809999999999E-3</v>
      </c>
      <c r="H1471" s="21">
        <v>-4.8863129999999998E-3</v>
      </c>
    </row>
    <row r="1472" spans="1:8" x14ac:dyDescent="0.15">
      <c r="A1472" s="21">
        <v>2.8710940000000001E-2</v>
      </c>
      <c r="B1472" s="21">
        <f t="shared" si="44"/>
        <v>-3.6222919999999999E-2</v>
      </c>
      <c r="D1472">
        <f t="shared" si="45"/>
        <v>-13.297688679245283</v>
      </c>
      <c r="G1472" s="21">
        <v>4.2286650000000002E-2</v>
      </c>
      <c r="H1472" s="21">
        <v>-3.6222919999999999E-2</v>
      </c>
    </row>
    <row r="1473" spans="1:8" x14ac:dyDescent="0.15">
      <c r="A1473" s="21">
        <v>2.8730470000000001E-2</v>
      </c>
      <c r="B1473" s="21">
        <f t="shared" si="44"/>
        <v>-6.6879040000000001E-2</v>
      </c>
      <c r="D1473">
        <f t="shared" si="45"/>
        <v>-25.628116352201257</v>
      </c>
      <c r="G1473" s="21">
        <v>8.1497410000000006E-2</v>
      </c>
      <c r="H1473" s="21">
        <v>-6.6879040000000001E-2</v>
      </c>
    </row>
    <row r="1474" spans="1:8" x14ac:dyDescent="0.15">
      <c r="A1474" s="21">
        <v>2.8750000000000001E-2</v>
      </c>
      <c r="B1474" s="21">
        <f t="shared" ref="B1474:B1537" si="46">H1474</f>
        <v>-9.6591570000000002E-2</v>
      </c>
      <c r="D1474">
        <f t="shared" ref="D1474:D1537" si="47">G1474*-1000/3.18</f>
        <v>-37.526132075471693</v>
      </c>
      <c r="G1474" s="21">
        <v>0.1193331</v>
      </c>
      <c r="H1474" s="21">
        <v>-9.6591570000000002E-2</v>
      </c>
    </row>
    <row r="1475" spans="1:8" x14ac:dyDescent="0.15">
      <c r="A1475" s="21">
        <v>2.8769530000000001E-2</v>
      </c>
      <c r="B1475" s="21">
        <f t="shared" si="46"/>
        <v>-0.1246964</v>
      </c>
      <c r="D1475">
        <f t="shared" si="47"/>
        <v>-48.76150943396226</v>
      </c>
      <c r="G1475" s="21">
        <v>0.15506159999999999</v>
      </c>
      <c r="H1475" s="21">
        <v>-0.1246964</v>
      </c>
    </row>
    <row r="1476" spans="1:8" x14ac:dyDescent="0.15">
      <c r="A1476" s="21">
        <v>2.8789060000000002E-2</v>
      </c>
      <c r="B1476" s="21">
        <f t="shared" si="46"/>
        <v>-0.15069089999999999</v>
      </c>
      <c r="D1476">
        <f t="shared" si="47"/>
        <v>-59.179968553459119</v>
      </c>
      <c r="G1476" s="21">
        <v>0.18819230000000001</v>
      </c>
      <c r="H1476" s="21">
        <v>-0.15069089999999999</v>
      </c>
    </row>
    <row r="1477" spans="1:8" x14ac:dyDescent="0.15">
      <c r="A1477" s="21">
        <v>2.8808589999999999E-2</v>
      </c>
      <c r="B1477" s="21">
        <f t="shared" si="46"/>
        <v>-0.17462040000000001</v>
      </c>
      <c r="D1477">
        <f t="shared" si="47"/>
        <v>-68.85132075471698</v>
      </c>
      <c r="G1477" s="21">
        <v>0.21894720000000001</v>
      </c>
      <c r="H1477" s="21">
        <v>-0.17462040000000001</v>
      </c>
    </row>
    <row r="1478" spans="1:8" x14ac:dyDescent="0.15">
      <c r="A1478" s="21">
        <v>2.8828119999999999E-2</v>
      </c>
      <c r="B1478" s="21">
        <f t="shared" si="46"/>
        <v>-0.19614780000000001</v>
      </c>
      <c r="D1478">
        <f t="shared" si="47"/>
        <v>-77.628396226415092</v>
      </c>
      <c r="G1478" s="21">
        <v>0.2468583</v>
      </c>
      <c r="H1478" s="21">
        <v>-0.19614780000000001</v>
      </c>
    </row>
    <row r="1479" spans="1:8" x14ac:dyDescent="0.15">
      <c r="A1479" s="21">
        <v>2.8847660000000001E-2</v>
      </c>
      <c r="B1479" s="21">
        <f t="shared" si="46"/>
        <v>-0.21451980000000001</v>
      </c>
      <c r="D1479">
        <f t="shared" si="47"/>
        <v>-84.927327044025148</v>
      </c>
      <c r="G1479" s="21">
        <v>0.2700689</v>
      </c>
      <c r="H1479" s="21">
        <v>-0.21451980000000001</v>
      </c>
    </row>
    <row r="1480" spans="1:8" x14ac:dyDescent="0.15">
      <c r="A1480" s="21">
        <v>2.8867190000000001E-2</v>
      </c>
      <c r="B1480" s="21">
        <f t="shared" si="46"/>
        <v>-0.22934309999999999</v>
      </c>
      <c r="D1480">
        <f t="shared" si="47"/>
        <v>-90.904025157232709</v>
      </c>
      <c r="G1480" s="21">
        <v>0.28907480000000002</v>
      </c>
      <c r="H1480" s="21">
        <v>-0.22934309999999999</v>
      </c>
    </row>
    <row r="1481" spans="1:8" x14ac:dyDescent="0.15">
      <c r="A1481" s="21">
        <v>2.8886720000000001E-2</v>
      </c>
      <c r="B1481" s="21">
        <f t="shared" si="46"/>
        <v>-0.24078830000000001</v>
      </c>
      <c r="D1481">
        <f t="shared" si="47"/>
        <v>-95.751163522012575</v>
      </c>
      <c r="G1481" s="21">
        <v>0.3044887</v>
      </c>
      <c r="H1481" s="21">
        <v>-0.24078830000000001</v>
      </c>
    </row>
    <row r="1482" spans="1:8" x14ac:dyDescent="0.15">
      <c r="A1482" s="21">
        <v>2.8906250000000001E-2</v>
      </c>
      <c r="B1482" s="21">
        <f t="shared" si="46"/>
        <v>-0.24877850000000001</v>
      </c>
      <c r="D1482">
        <f t="shared" si="47"/>
        <v>-99.012327044025142</v>
      </c>
      <c r="G1482" s="21">
        <v>0.31485920000000001</v>
      </c>
      <c r="H1482" s="21">
        <v>-0.24877850000000001</v>
      </c>
    </row>
    <row r="1483" spans="1:8" x14ac:dyDescent="0.15">
      <c r="A1483" s="21">
        <v>2.8925780000000002E-2</v>
      </c>
      <c r="B1483" s="21">
        <f t="shared" si="46"/>
        <v>-0.25312770000000001</v>
      </c>
      <c r="D1483">
        <f t="shared" si="47"/>
        <v>-100.7790566037736</v>
      </c>
      <c r="G1483" s="21">
        <v>0.32047740000000002</v>
      </c>
      <c r="H1483" s="21">
        <v>-0.25312770000000001</v>
      </c>
    </row>
    <row r="1484" spans="1:8" x14ac:dyDescent="0.15">
      <c r="A1484" s="21">
        <v>2.8945309999999998E-2</v>
      </c>
      <c r="B1484" s="21">
        <f t="shared" si="46"/>
        <v>-0.25416879999999997</v>
      </c>
      <c r="D1484">
        <f t="shared" si="47"/>
        <v>-101.25940251572325</v>
      </c>
      <c r="G1484" s="21">
        <v>0.32200489999999998</v>
      </c>
      <c r="H1484" s="21">
        <v>-0.25416879999999997</v>
      </c>
    </row>
    <row r="1485" spans="1:8" x14ac:dyDescent="0.15">
      <c r="A1485" s="21">
        <v>2.8964839999999999E-2</v>
      </c>
      <c r="B1485" s="21">
        <f t="shared" si="46"/>
        <v>-0.25125920000000002</v>
      </c>
      <c r="D1485">
        <f t="shared" si="47"/>
        <v>-100.17261006289307</v>
      </c>
      <c r="G1485" s="21">
        <v>0.31854890000000002</v>
      </c>
      <c r="H1485" s="21">
        <v>-0.25125920000000002</v>
      </c>
    </row>
    <row r="1486" spans="1:8" x14ac:dyDescent="0.15">
      <c r="A1486" s="21">
        <v>2.8984369999999999E-2</v>
      </c>
      <c r="B1486" s="21">
        <f t="shared" si="46"/>
        <v>-0.24391299999999999</v>
      </c>
      <c r="D1486">
        <f t="shared" si="47"/>
        <v>-97.373018867924515</v>
      </c>
      <c r="G1486" s="21">
        <v>0.30964619999999998</v>
      </c>
      <c r="H1486" s="21">
        <v>-0.24391299999999999</v>
      </c>
    </row>
    <row r="1487" spans="1:8" x14ac:dyDescent="0.15">
      <c r="A1487" s="21">
        <v>2.9003910000000001E-2</v>
      </c>
      <c r="B1487" s="21">
        <f t="shared" si="46"/>
        <v>-0.23319870000000001</v>
      </c>
      <c r="D1487">
        <f t="shared" si="47"/>
        <v>-93.128584905660361</v>
      </c>
      <c r="G1487" s="21">
        <v>0.29614889999999999</v>
      </c>
      <c r="H1487" s="21">
        <v>-0.23319870000000001</v>
      </c>
    </row>
    <row r="1488" spans="1:8" x14ac:dyDescent="0.15">
      <c r="A1488" s="21">
        <v>2.9023440000000001E-2</v>
      </c>
      <c r="B1488" s="21">
        <f t="shared" si="46"/>
        <v>-0.21951100000000001</v>
      </c>
      <c r="D1488">
        <f t="shared" si="47"/>
        <v>-87.733616352201238</v>
      </c>
      <c r="G1488" s="21">
        <v>0.27899289999999999</v>
      </c>
      <c r="H1488" s="21">
        <v>-0.21951100000000001</v>
      </c>
    </row>
    <row r="1489" spans="1:8" x14ac:dyDescent="0.15">
      <c r="A1489" s="21">
        <v>2.9042970000000001E-2</v>
      </c>
      <c r="B1489" s="21">
        <f t="shared" si="46"/>
        <v>-0.20261499999999999</v>
      </c>
      <c r="D1489">
        <f t="shared" si="47"/>
        <v>-81.044402515723263</v>
      </c>
      <c r="G1489" s="21">
        <v>0.25772119999999998</v>
      </c>
      <c r="H1489" s="21">
        <v>-0.20261499999999999</v>
      </c>
    </row>
    <row r="1490" spans="1:8" x14ac:dyDescent="0.15">
      <c r="A1490" s="21">
        <v>2.9062500000000002E-2</v>
      </c>
      <c r="B1490" s="21">
        <f t="shared" si="46"/>
        <v>-0.1821788</v>
      </c>
      <c r="D1490">
        <f t="shared" si="47"/>
        <v>-72.864496855345905</v>
      </c>
      <c r="G1490" s="21">
        <v>0.2317091</v>
      </c>
      <c r="H1490" s="21">
        <v>-0.1821788</v>
      </c>
    </row>
    <row r="1491" spans="1:8" x14ac:dyDescent="0.15">
      <c r="A1491" s="21">
        <v>2.9082029999999998E-2</v>
      </c>
      <c r="B1491" s="21">
        <f t="shared" si="46"/>
        <v>-0.158418</v>
      </c>
      <c r="D1491">
        <f t="shared" si="47"/>
        <v>-63.438899371069176</v>
      </c>
      <c r="G1491" s="21">
        <v>0.20173569999999999</v>
      </c>
      <c r="H1491" s="21">
        <v>-0.158418</v>
      </c>
    </row>
    <row r="1492" spans="1:8" x14ac:dyDescent="0.15">
      <c r="A1492" s="21">
        <v>2.9101559999999999E-2</v>
      </c>
      <c r="B1492" s="21">
        <f t="shared" si="46"/>
        <v>-0.1325016</v>
      </c>
      <c r="D1492">
        <f t="shared" si="47"/>
        <v>-53.145503144654086</v>
      </c>
      <c r="G1492" s="21">
        <v>0.16900270000000001</v>
      </c>
      <c r="H1492" s="21">
        <v>-0.1325016</v>
      </c>
    </row>
    <row r="1493" spans="1:8" x14ac:dyDescent="0.15">
      <c r="A1493" s="21">
        <v>2.9121089999999999E-2</v>
      </c>
      <c r="B1493" s="21">
        <f t="shared" si="46"/>
        <v>-0.10474550000000001</v>
      </c>
      <c r="D1493">
        <f t="shared" si="47"/>
        <v>-42.060220125786159</v>
      </c>
      <c r="G1493" s="21">
        <v>0.1337515</v>
      </c>
      <c r="H1493" s="21">
        <v>-0.10474550000000001</v>
      </c>
    </row>
    <row r="1494" spans="1:8" x14ac:dyDescent="0.15">
      <c r="A1494" s="21">
        <v>2.9140619999999999E-2</v>
      </c>
      <c r="B1494" s="21">
        <f t="shared" si="46"/>
        <v>-7.5568750000000004E-2</v>
      </c>
      <c r="D1494">
        <f t="shared" si="47"/>
        <v>-30.37235849056604</v>
      </c>
      <c r="G1494" s="21">
        <v>9.6584100000000006E-2</v>
      </c>
      <c r="H1494" s="21">
        <v>-7.5568750000000004E-2</v>
      </c>
    </row>
    <row r="1495" spans="1:8" x14ac:dyDescent="0.15">
      <c r="A1495" s="21">
        <v>2.9160160000000001E-2</v>
      </c>
      <c r="B1495" s="21">
        <f t="shared" si="46"/>
        <v>-4.5492320000000003E-2</v>
      </c>
      <c r="D1495">
        <f t="shared" si="47"/>
        <v>-18.346012578616349</v>
      </c>
      <c r="G1495" s="21">
        <v>5.8340320000000001E-2</v>
      </c>
      <c r="H1495" s="21">
        <v>-4.5492320000000003E-2</v>
      </c>
    </row>
    <row r="1496" spans="1:8" x14ac:dyDescent="0.15">
      <c r="A1496" s="21">
        <v>2.9179690000000001E-2</v>
      </c>
      <c r="B1496" s="21">
        <f t="shared" si="46"/>
        <v>-1.407049E-2</v>
      </c>
      <c r="D1496">
        <f t="shared" si="47"/>
        <v>-5.7564308176100631</v>
      </c>
      <c r="G1496" s="21">
        <v>1.8305450000000001E-2</v>
      </c>
      <c r="H1496" s="21">
        <v>-1.407049E-2</v>
      </c>
    </row>
    <row r="1497" spans="1:8" x14ac:dyDescent="0.15">
      <c r="A1497" s="21">
        <v>2.9199220000000001E-2</v>
      </c>
      <c r="B1497" s="21">
        <f t="shared" si="46"/>
        <v>1.8005759999999999E-2</v>
      </c>
      <c r="D1497">
        <f t="shared" si="47"/>
        <v>7.1307452830188671</v>
      </c>
      <c r="G1497" s="21">
        <v>-2.2675770000000001E-2</v>
      </c>
      <c r="H1497" s="21">
        <v>1.8005759999999999E-2</v>
      </c>
    </row>
    <row r="1498" spans="1:8" x14ac:dyDescent="0.15">
      <c r="A1498" s="21">
        <v>2.9218750000000002E-2</v>
      </c>
      <c r="B1498" s="21">
        <f t="shared" si="46"/>
        <v>4.9363860000000002E-2</v>
      </c>
      <c r="D1498">
        <f t="shared" si="47"/>
        <v>19.659751572327043</v>
      </c>
      <c r="G1498" s="21">
        <v>-6.2518009999999999E-2</v>
      </c>
      <c r="H1498" s="21">
        <v>4.9363860000000002E-2</v>
      </c>
    </row>
    <row r="1499" spans="1:8" x14ac:dyDescent="0.15">
      <c r="A1499" s="21">
        <v>2.9238279999999998E-2</v>
      </c>
      <c r="B1499" s="21">
        <f t="shared" si="46"/>
        <v>7.9485130000000001E-2</v>
      </c>
      <c r="D1499">
        <f t="shared" si="47"/>
        <v>31.724150943396221</v>
      </c>
      <c r="G1499" s="21">
        <v>-0.10088279999999999</v>
      </c>
      <c r="H1499" s="21">
        <v>7.9485130000000001E-2</v>
      </c>
    </row>
    <row r="1500" spans="1:8" x14ac:dyDescent="0.15">
      <c r="A1500" s="21">
        <v>2.9257809999999999E-2</v>
      </c>
      <c r="B1500" s="21">
        <f t="shared" si="46"/>
        <v>0.107969</v>
      </c>
      <c r="D1500">
        <f t="shared" si="47"/>
        <v>43.229937106918229</v>
      </c>
      <c r="G1500" s="21">
        <v>-0.13747119999999999</v>
      </c>
      <c r="H1500" s="21">
        <v>0.107969</v>
      </c>
    </row>
    <row r="1501" spans="1:8" x14ac:dyDescent="0.15">
      <c r="A1501" s="21">
        <v>2.9277339999999999E-2</v>
      </c>
      <c r="B1501" s="21">
        <f t="shared" si="46"/>
        <v>0.13519629999999999</v>
      </c>
      <c r="D1501">
        <f t="shared" si="47"/>
        <v>54.279056603773576</v>
      </c>
      <c r="G1501" s="21">
        <v>-0.17260739999999999</v>
      </c>
      <c r="H1501" s="21">
        <v>0.13519629999999999</v>
      </c>
    </row>
    <row r="1502" spans="1:8" x14ac:dyDescent="0.15">
      <c r="A1502" s="21">
        <v>2.9296880000000001E-2</v>
      </c>
      <c r="B1502" s="21">
        <f t="shared" si="46"/>
        <v>0.1611445</v>
      </c>
      <c r="D1502">
        <f t="shared" si="47"/>
        <v>64.690660377358483</v>
      </c>
      <c r="G1502" s="21">
        <v>-0.20571629999999999</v>
      </c>
      <c r="H1502" s="21">
        <v>0.1611445</v>
      </c>
    </row>
    <row r="1503" spans="1:8" x14ac:dyDescent="0.15">
      <c r="A1503" s="21">
        <v>2.9316410000000001E-2</v>
      </c>
      <c r="B1503" s="21">
        <f t="shared" si="46"/>
        <v>0.18417439999999999</v>
      </c>
      <c r="D1503">
        <f t="shared" si="47"/>
        <v>73.866446540880503</v>
      </c>
      <c r="G1503" s="21">
        <v>-0.2348953</v>
      </c>
      <c r="H1503" s="21">
        <v>0.18417439999999999</v>
      </c>
    </row>
    <row r="1504" spans="1:8" x14ac:dyDescent="0.15">
      <c r="A1504" s="21">
        <v>2.9335940000000001E-2</v>
      </c>
      <c r="B1504" s="21">
        <f t="shared" si="46"/>
        <v>0.20406250000000001</v>
      </c>
      <c r="D1504">
        <f t="shared" si="47"/>
        <v>81.987264150943389</v>
      </c>
      <c r="G1504" s="21">
        <v>-0.26071949999999999</v>
      </c>
      <c r="H1504" s="21">
        <v>0.20406250000000001</v>
      </c>
    </row>
    <row r="1505" spans="1:8" x14ac:dyDescent="0.15">
      <c r="A1505" s="21">
        <v>2.9355470000000002E-2</v>
      </c>
      <c r="B1505" s="21">
        <f t="shared" si="46"/>
        <v>0.22066569999999999</v>
      </c>
      <c r="D1505">
        <f t="shared" si="47"/>
        <v>88.791320754716978</v>
      </c>
      <c r="G1505" s="21">
        <v>-0.28235640000000001</v>
      </c>
      <c r="H1505" s="21">
        <v>0.22066569999999999</v>
      </c>
    </row>
    <row r="1506" spans="1:8" x14ac:dyDescent="0.15">
      <c r="A1506" s="21">
        <v>2.9374999999999998E-2</v>
      </c>
      <c r="B1506" s="21">
        <f t="shared" si="46"/>
        <v>0.23365549999999999</v>
      </c>
      <c r="D1506">
        <f t="shared" si="47"/>
        <v>94.039748427672947</v>
      </c>
      <c r="G1506" s="21">
        <v>-0.29904639999999999</v>
      </c>
      <c r="H1506" s="21">
        <v>0.23365549999999999</v>
      </c>
    </row>
    <row r="1507" spans="1:8" x14ac:dyDescent="0.15">
      <c r="A1507" s="21">
        <v>2.9394529999999999E-2</v>
      </c>
      <c r="B1507" s="21">
        <f t="shared" si="46"/>
        <v>0.2445696</v>
      </c>
      <c r="D1507">
        <f t="shared" si="47"/>
        <v>98.499150943396231</v>
      </c>
      <c r="G1507" s="21">
        <v>-0.31322729999999999</v>
      </c>
      <c r="H1507" s="21">
        <v>0.2445696</v>
      </c>
    </row>
    <row r="1508" spans="1:8" x14ac:dyDescent="0.15">
      <c r="A1508" s="21">
        <v>2.9414059999999999E-2</v>
      </c>
      <c r="B1508" s="21">
        <f t="shared" si="46"/>
        <v>0.2520271</v>
      </c>
      <c r="D1508">
        <f t="shared" si="47"/>
        <v>101.50399371069182</v>
      </c>
      <c r="G1508" s="21">
        <v>-0.32278269999999998</v>
      </c>
      <c r="H1508" s="21">
        <v>0.2520271</v>
      </c>
    </row>
    <row r="1509" spans="1:8" x14ac:dyDescent="0.15">
      <c r="A1509" s="21">
        <v>2.9433589999999999E-2</v>
      </c>
      <c r="B1509" s="21">
        <f t="shared" si="46"/>
        <v>0.25424459999999999</v>
      </c>
      <c r="D1509">
        <f t="shared" si="47"/>
        <v>102.42383647798742</v>
      </c>
      <c r="G1509" s="21">
        <v>-0.32570779999999999</v>
      </c>
      <c r="H1509" s="21">
        <v>0.25424459999999999</v>
      </c>
    </row>
    <row r="1510" spans="1:8" x14ac:dyDescent="0.15">
      <c r="A1510" s="21">
        <v>2.9453130000000001E-2</v>
      </c>
      <c r="B1510" s="21">
        <f t="shared" si="46"/>
        <v>0.25317200000000001</v>
      </c>
      <c r="D1510">
        <f t="shared" si="47"/>
        <v>102.10911949685536</v>
      </c>
      <c r="G1510" s="21">
        <v>-0.32470700000000002</v>
      </c>
      <c r="H1510" s="21">
        <v>0.25317200000000001</v>
      </c>
    </row>
    <row r="1511" spans="1:8" x14ac:dyDescent="0.15">
      <c r="A1511" s="21">
        <v>2.9472660000000001E-2</v>
      </c>
      <c r="B1511" s="21">
        <f t="shared" si="46"/>
        <v>0.2487316</v>
      </c>
      <c r="D1511">
        <f t="shared" si="47"/>
        <v>100.30235849056604</v>
      </c>
      <c r="G1511" s="21">
        <v>-0.31896150000000001</v>
      </c>
      <c r="H1511" s="21">
        <v>0.2487316</v>
      </c>
    </row>
    <row r="1512" spans="1:8" x14ac:dyDescent="0.15">
      <c r="A1512" s="21">
        <v>2.9492190000000001E-2</v>
      </c>
      <c r="B1512" s="21">
        <f t="shared" si="46"/>
        <v>0.24017530000000001</v>
      </c>
      <c r="D1512">
        <f t="shared" si="47"/>
        <v>96.820911949685538</v>
      </c>
      <c r="G1512" s="21">
        <v>-0.30789050000000001</v>
      </c>
      <c r="H1512" s="21">
        <v>0.24017530000000001</v>
      </c>
    </row>
    <row r="1513" spans="1:8" x14ac:dyDescent="0.15">
      <c r="A1513" s="21">
        <v>2.9511720000000002E-2</v>
      </c>
      <c r="B1513" s="21">
        <f t="shared" si="46"/>
        <v>0.2287275</v>
      </c>
      <c r="D1513">
        <f t="shared" si="47"/>
        <v>92.33389937106918</v>
      </c>
      <c r="G1513" s="21">
        <v>-0.29362179999999999</v>
      </c>
      <c r="H1513" s="21">
        <v>0.2287275</v>
      </c>
    </row>
    <row r="1514" spans="1:8" x14ac:dyDescent="0.15">
      <c r="A1514" s="21">
        <v>2.9531249999999998E-2</v>
      </c>
      <c r="B1514" s="21">
        <f t="shared" si="46"/>
        <v>0.21375540000000001</v>
      </c>
      <c r="D1514">
        <f t="shared" si="47"/>
        <v>86.378018867924524</v>
      </c>
      <c r="G1514" s="21">
        <v>-0.27468209999999998</v>
      </c>
      <c r="H1514" s="21">
        <v>0.21375540000000001</v>
      </c>
    </row>
    <row r="1515" spans="1:8" x14ac:dyDescent="0.15">
      <c r="A1515" s="21">
        <v>2.9550779999999999E-2</v>
      </c>
      <c r="B1515" s="21">
        <f t="shared" si="46"/>
        <v>0.19472999999999999</v>
      </c>
      <c r="D1515">
        <f t="shared" si="47"/>
        <v>78.75141509433962</v>
      </c>
      <c r="G1515" s="21">
        <v>-0.25042950000000003</v>
      </c>
      <c r="H1515" s="21">
        <v>0.19472999999999999</v>
      </c>
    </row>
    <row r="1516" spans="1:8" x14ac:dyDescent="0.15">
      <c r="A1516" s="21">
        <v>2.9570309999999999E-2</v>
      </c>
      <c r="B1516" s="21">
        <f t="shared" si="46"/>
        <v>0.1730274</v>
      </c>
      <c r="D1516">
        <f t="shared" si="47"/>
        <v>70.167547169811314</v>
      </c>
      <c r="G1516" s="21">
        <v>-0.22313279999999999</v>
      </c>
      <c r="H1516" s="21">
        <v>0.1730274</v>
      </c>
    </row>
    <row r="1517" spans="1:8" x14ac:dyDescent="0.15">
      <c r="A1517" s="21">
        <v>2.9589839999999999E-2</v>
      </c>
      <c r="B1517" s="21">
        <f t="shared" si="46"/>
        <v>0.1489134</v>
      </c>
      <c r="D1517">
        <f t="shared" si="47"/>
        <v>60.574433962264145</v>
      </c>
      <c r="G1517" s="21">
        <v>-0.19262670000000001</v>
      </c>
      <c r="H1517" s="21">
        <v>0.1489134</v>
      </c>
    </row>
    <row r="1518" spans="1:8" x14ac:dyDescent="0.15">
      <c r="A1518" s="21">
        <v>2.9609380000000001E-2</v>
      </c>
      <c r="B1518" s="21">
        <f t="shared" si="46"/>
        <v>0.12244430000000001</v>
      </c>
      <c r="D1518">
        <f t="shared" si="47"/>
        <v>50.000251572327038</v>
      </c>
      <c r="G1518" s="21">
        <v>-0.1590008</v>
      </c>
      <c r="H1518" s="21">
        <v>0.12244430000000001</v>
      </c>
    </row>
    <row r="1519" spans="1:8" x14ac:dyDescent="0.15">
      <c r="A1519" s="21">
        <v>2.9628910000000001E-2</v>
      </c>
      <c r="B1519" s="21">
        <f t="shared" si="46"/>
        <v>9.4192529999999997E-2</v>
      </c>
      <c r="D1519">
        <f t="shared" si="47"/>
        <v>38.720188679245283</v>
      </c>
      <c r="G1519" s="21">
        <v>-0.1231302</v>
      </c>
      <c r="H1519" s="21">
        <v>9.4192529999999997E-2</v>
      </c>
    </row>
    <row r="1520" spans="1:8" x14ac:dyDescent="0.15">
      <c r="A1520" s="21">
        <v>2.9648440000000002E-2</v>
      </c>
      <c r="B1520" s="21">
        <f t="shared" si="46"/>
        <v>6.4103149999999998E-2</v>
      </c>
      <c r="D1520">
        <f t="shared" si="47"/>
        <v>26.673509433962263</v>
      </c>
      <c r="G1520" s="21">
        <v>-8.4821759999999996E-2</v>
      </c>
      <c r="H1520" s="21">
        <v>6.4103149999999998E-2</v>
      </c>
    </row>
    <row r="1521" spans="1:8" x14ac:dyDescent="0.15">
      <c r="A1521" s="21">
        <v>2.9667969999999998E-2</v>
      </c>
      <c r="B1521" s="21">
        <f t="shared" si="46"/>
        <v>3.2919289999999997E-2</v>
      </c>
      <c r="D1521">
        <f t="shared" si="47"/>
        <v>14.286566037735849</v>
      </c>
      <c r="G1521" s="21">
        <v>-4.5431279999999997E-2</v>
      </c>
      <c r="H1521" s="21">
        <v>3.2919289999999997E-2</v>
      </c>
    </row>
    <row r="1522" spans="1:8" x14ac:dyDescent="0.15">
      <c r="A1522" s="21">
        <v>2.9687499999999999E-2</v>
      </c>
      <c r="B1522" s="21">
        <f t="shared" si="46"/>
        <v>1.4033229999999999E-3</v>
      </c>
      <c r="D1522">
        <f t="shared" si="47"/>
        <v>1.7277336477987417</v>
      </c>
      <c r="G1522" s="21">
        <v>-5.4941929999999996E-3</v>
      </c>
      <c r="H1522" s="21">
        <v>1.4033229999999999E-3</v>
      </c>
    </row>
    <row r="1523" spans="1:8" x14ac:dyDescent="0.15">
      <c r="A1523" s="21">
        <v>2.9707029999999999E-2</v>
      </c>
      <c r="B1523" s="21">
        <f t="shared" si="46"/>
        <v>-3.014124E-2</v>
      </c>
      <c r="D1523">
        <f t="shared" si="47"/>
        <v>-10.961902515723269</v>
      </c>
      <c r="G1523" s="21">
        <v>3.4858849999999997E-2</v>
      </c>
      <c r="H1523" s="21">
        <v>-3.014124E-2</v>
      </c>
    </row>
    <row r="1524" spans="1:8" x14ac:dyDescent="0.15">
      <c r="A1524" s="21">
        <v>2.9726559999999999E-2</v>
      </c>
      <c r="B1524" s="21">
        <f t="shared" si="46"/>
        <v>-6.0644770000000001E-2</v>
      </c>
      <c r="D1524">
        <f t="shared" si="47"/>
        <v>-23.147537735849056</v>
      </c>
      <c r="G1524" s="21">
        <v>7.3609170000000002E-2</v>
      </c>
      <c r="H1524" s="21">
        <v>-6.0644770000000001E-2</v>
      </c>
    </row>
    <row r="1525" spans="1:8" x14ac:dyDescent="0.15">
      <c r="A1525" s="21">
        <v>2.9746089999999999E-2</v>
      </c>
      <c r="B1525" s="21">
        <f t="shared" si="46"/>
        <v>-9.0119840000000007E-2</v>
      </c>
      <c r="D1525">
        <f t="shared" si="47"/>
        <v>-34.934308176100629</v>
      </c>
      <c r="G1525" s="21">
        <v>0.1110911</v>
      </c>
      <c r="H1525" s="21">
        <v>-9.0119840000000007E-2</v>
      </c>
    </row>
    <row r="1526" spans="1:8" x14ac:dyDescent="0.15">
      <c r="A1526" s="21">
        <v>2.9765630000000001E-2</v>
      </c>
      <c r="B1526" s="21">
        <f t="shared" si="46"/>
        <v>-0.1186869</v>
      </c>
      <c r="D1526">
        <f t="shared" si="47"/>
        <v>-46.440345911949677</v>
      </c>
      <c r="G1526" s="21">
        <v>0.14768029999999999</v>
      </c>
      <c r="H1526" s="21">
        <v>-0.1186869</v>
      </c>
    </row>
    <row r="1527" spans="1:8" x14ac:dyDescent="0.15">
      <c r="A1527" s="21">
        <v>2.9785160000000001E-2</v>
      </c>
      <c r="B1527" s="21">
        <f t="shared" si="46"/>
        <v>-0.1453063</v>
      </c>
      <c r="D1527">
        <f t="shared" si="47"/>
        <v>-57.112012578616344</v>
      </c>
      <c r="G1527" s="21">
        <v>0.18161620000000001</v>
      </c>
      <c r="H1527" s="21">
        <v>-0.1453063</v>
      </c>
    </row>
    <row r="1528" spans="1:8" x14ac:dyDescent="0.15">
      <c r="A1528" s="21">
        <v>2.9804689999999998E-2</v>
      </c>
      <c r="B1528" s="21">
        <f t="shared" si="46"/>
        <v>-0.16986619999999999</v>
      </c>
      <c r="D1528">
        <f t="shared" si="47"/>
        <v>-66.969748427672954</v>
      </c>
      <c r="G1528" s="21">
        <v>0.21296380000000001</v>
      </c>
      <c r="H1528" s="21">
        <v>-0.16986619999999999</v>
      </c>
    </row>
    <row r="1529" spans="1:8" x14ac:dyDescent="0.15">
      <c r="A1529" s="21">
        <v>2.9824219999999999E-2</v>
      </c>
      <c r="B1529" s="21">
        <f t="shared" si="46"/>
        <v>-0.19208210000000001</v>
      </c>
      <c r="D1529">
        <f t="shared" si="47"/>
        <v>-75.947169811320748</v>
      </c>
      <c r="G1529" s="21">
        <v>0.241512</v>
      </c>
      <c r="H1529" s="21">
        <v>-0.19208210000000001</v>
      </c>
    </row>
    <row r="1530" spans="1:8" x14ac:dyDescent="0.15">
      <c r="A1530" s="21">
        <v>2.9843749999999999E-2</v>
      </c>
      <c r="B1530" s="21">
        <f t="shared" si="46"/>
        <v>-0.2108864</v>
      </c>
      <c r="D1530">
        <f t="shared" si="47"/>
        <v>-83.534339622641511</v>
      </c>
      <c r="G1530" s="21">
        <v>0.26563920000000002</v>
      </c>
      <c r="H1530" s="21">
        <v>-0.2108864</v>
      </c>
    </row>
    <row r="1531" spans="1:8" x14ac:dyDescent="0.15">
      <c r="A1531" s="21">
        <v>2.9863279999999999E-2</v>
      </c>
      <c r="B1531" s="21">
        <f t="shared" si="46"/>
        <v>-0.2258674</v>
      </c>
      <c r="D1531">
        <f t="shared" si="47"/>
        <v>-89.617767295597474</v>
      </c>
      <c r="G1531" s="21">
        <v>0.28498449999999997</v>
      </c>
      <c r="H1531" s="21">
        <v>-0.2258674</v>
      </c>
    </row>
    <row r="1532" spans="1:8" x14ac:dyDescent="0.15">
      <c r="A1532" s="21">
        <v>2.9882809999999999E-2</v>
      </c>
      <c r="B1532" s="21">
        <f t="shared" si="46"/>
        <v>-0.2376624</v>
      </c>
      <c r="D1532">
        <f t="shared" si="47"/>
        <v>-94.500754716981135</v>
      </c>
      <c r="G1532" s="21">
        <v>0.30051240000000001</v>
      </c>
      <c r="H1532" s="21">
        <v>-0.2376624</v>
      </c>
    </row>
    <row r="1533" spans="1:8" x14ac:dyDescent="0.15">
      <c r="A1533" s="21">
        <v>2.9902339999999999E-2</v>
      </c>
      <c r="B1533" s="21">
        <f t="shared" si="46"/>
        <v>-0.24701300000000001</v>
      </c>
      <c r="D1533">
        <f t="shared" si="47"/>
        <v>-98.354056603773572</v>
      </c>
      <c r="G1533" s="21">
        <v>0.31276589999999999</v>
      </c>
      <c r="H1533" s="21">
        <v>-0.24701300000000001</v>
      </c>
    </row>
    <row r="1534" spans="1:8" x14ac:dyDescent="0.15">
      <c r="A1534" s="21">
        <v>2.9921880000000001E-2</v>
      </c>
      <c r="B1534" s="21">
        <f t="shared" si="46"/>
        <v>-0.25259280000000001</v>
      </c>
      <c r="D1534">
        <f t="shared" si="47"/>
        <v>-100.60544025157233</v>
      </c>
      <c r="G1534" s="21">
        <v>0.31992530000000002</v>
      </c>
      <c r="H1534" s="21">
        <v>-0.25259280000000001</v>
      </c>
    </row>
    <row r="1535" spans="1:8" x14ac:dyDescent="0.15">
      <c r="A1535" s="21">
        <v>2.9941410000000002E-2</v>
      </c>
      <c r="B1535" s="21">
        <f t="shared" si="46"/>
        <v>-0.25359399999999999</v>
      </c>
      <c r="D1535">
        <f t="shared" si="47"/>
        <v>-101.04292452830188</v>
      </c>
      <c r="G1535" s="21">
        <v>0.3213165</v>
      </c>
      <c r="H1535" s="21">
        <v>-0.25359399999999999</v>
      </c>
    </row>
    <row r="1536" spans="1:8" x14ac:dyDescent="0.15">
      <c r="A1536" s="21">
        <v>2.9960939999999998E-2</v>
      </c>
      <c r="B1536" s="21">
        <f t="shared" si="46"/>
        <v>-0.25134820000000002</v>
      </c>
      <c r="D1536">
        <f t="shared" si="47"/>
        <v>-100.28933962264151</v>
      </c>
      <c r="G1536" s="21">
        <v>0.31892009999999998</v>
      </c>
      <c r="H1536" s="21">
        <v>-0.25134820000000002</v>
      </c>
    </row>
    <row r="1537" spans="1:8" x14ac:dyDescent="0.15">
      <c r="A1537" s="21">
        <v>2.9980469999999999E-2</v>
      </c>
      <c r="B1537" s="21">
        <f t="shared" si="46"/>
        <v>-0.2450908</v>
      </c>
      <c r="D1537">
        <f t="shared" si="47"/>
        <v>-97.917735849056598</v>
      </c>
      <c r="G1537" s="21">
        <v>0.3113784</v>
      </c>
      <c r="H1537" s="21">
        <v>-0.2450908</v>
      </c>
    </row>
    <row r="1538" spans="1:8" x14ac:dyDescent="0.15">
      <c r="A1538" s="21">
        <v>0.03</v>
      </c>
      <c r="B1538" s="21">
        <f t="shared" ref="B1538:B1601" si="48">H1538</f>
        <v>-0.2345951</v>
      </c>
      <c r="D1538">
        <f t="shared" ref="D1538:D1601" si="49">G1538*-1000/3.18</f>
        <v>-93.747295597484268</v>
      </c>
      <c r="G1538" s="21">
        <v>0.2981164</v>
      </c>
      <c r="H1538" s="21">
        <v>-0.2345951</v>
      </c>
    </row>
    <row r="1539" spans="1:8" x14ac:dyDescent="0.15">
      <c r="A1539" s="21">
        <v>3.0019529999999999E-2</v>
      </c>
      <c r="B1539" s="21">
        <f t="shared" si="48"/>
        <v>-0.2218659</v>
      </c>
      <c r="D1539">
        <f t="shared" si="49"/>
        <v>-88.738993710691815</v>
      </c>
      <c r="G1539" s="21">
        <v>0.28219</v>
      </c>
      <c r="H1539" s="21">
        <v>-0.2218659</v>
      </c>
    </row>
    <row r="1540" spans="1:8" x14ac:dyDescent="0.15">
      <c r="A1540" s="21">
        <v>3.0039059999999999E-2</v>
      </c>
      <c r="B1540" s="21">
        <f t="shared" si="48"/>
        <v>-0.20604749999999999</v>
      </c>
      <c r="D1540">
        <f t="shared" si="49"/>
        <v>-82.436603773584892</v>
      </c>
      <c r="G1540" s="21">
        <v>0.2621484</v>
      </c>
      <c r="H1540" s="21">
        <v>-0.20604749999999999</v>
      </c>
    </row>
    <row r="1541" spans="1:8" x14ac:dyDescent="0.15">
      <c r="A1541" s="21">
        <v>3.005859E-2</v>
      </c>
      <c r="B1541" s="21">
        <f t="shared" si="48"/>
        <v>-0.18584030000000001</v>
      </c>
      <c r="D1541">
        <f t="shared" si="49"/>
        <v>-74.303113207547156</v>
      </c>
      <c r="G1541" s="21">
        <v>0.23628389999999999</v>
      </c>
      <c r="H1541" s="21">
        <v>-0.18584030000000001</v>
      </c>
    </row>
    <row r="1542" spans="1:8" x14ac:dyDescent="0.15">
      <c r="A1542" s="21">
        <v>3.0078130000000002E-2</v>
      </c>
      <c r="B1542" s="21">
        <f t="shared" si="48"/>
        <v>-0.1625704</v>
      </c>
      <c r="D1542">
        <f t="shared" si="49"/>
        <v>-65.122358490566029</v>
      </c>
      <c r="G1542" s="21">
        <v>0.2070891</v>
      </c>
      <c r="H1542" s="21">
        <v>-0.1625704</v>
      </c>
    </row>
    <row r="1543" spans="1:8" x14ac:dyDescent="0.15">
      <c r="A1543" s="21">
        <v>3.0097659999999998E-2</v>
      </c>
      <c r="B1543" s="21">
        <f t="shared" si="48"/>
        <v>-0.13710910000000001</v>
      </c>
      <c r="D1543">
        <f t="shared" si="49"/>
        <v>-55.096100628930806</v>
      </c>
      <c r="G1543" s="21">
        <v>0.17520559999999999</v>
      </c>
      <c r="H1543" s="21">
        <v>-0.13710910000000001</v>
      </c>
    </row>
    <row r="1544" spans="1:8" x14ac:dyDescent="0.15">
      <c r="A1544" s="21">
        <v>3.0117189999999999E-2</v>
      </c>
      <c r="B1544" s="21">
        <f t="shared" si="48"/>
        <v>-0.1096578</v>
      </c>
      <c r="D1544">
        <f t="shared" si="49"/>
        <v>-44.107169811320752</v>
      </c>
      <c r="G1544" s="21">
        <v>0.14026079999999999</v>
      </c>
      <c r="H1544" s="21">
        <v>-0.1096578</v>
      </c>
    </row>
    <row r="1545" spans="1:8" x14ac:dyDescent="0.15">
      <c r="A1545" s="21">
        <v>3.0136719999999999E-2</v>
      </c>
      <c r="B1545" s="21">
        <f t="shared" si="48"/>
        <v>-8.1003039999999998E-2</v>
      </c>
      <c r="D1545">
        <f t="shared" si="49"/>
        <v>-32.568522012578619</v>
      </c>
      <c r="G1545" s="21">
        <v>0.1035679</v>
      </c>
      <c r="H1545" s="21">
        <v>-8.1003039999999998E-2</v>
      </c>
    </row>
    <row r="1546" spans="1:8" x14ac:dyDescent="0.15">
      <c r="A1546" s="21">
        <v>3.0156249999999999E-2</v>
      </c>
      <c r="B1546" s="21">
        <f t="shared" si="48"/>
        <v>-5.102069E-2</v>
      </c>
      <c r="D1546">
        <f t="shared" si="49"/>
        <v>-20.577396226415093</v>
      </c>
      <c r="G1546" s="21">
        <v>6.543612E-2</v>
      </c>
      <c r="H1546" s="21">
        <v>-5.102069E-2</v>
      </c>
    </row>
    <row r="1547" spans="1:8" x14ac:dyDescent="0.15">
      <c r="A1547" s="21">
        <v>3.0175779999999999E-2</v>
      </c>
      <c r="B1547" s="21">
        <f t="shared" si="48"/>
        <v>-1.9524690000000001E-2</v>
      </c>
      <c r="D1547">
        <f t="shared" si="49"/>
        <v>-8.0335786163522016</v>
      </c>
      <c r="G1547" s="21">
        <v>2.5546780000000002E-2</v>
      </c>
      <c r="H1547" s="21">
        <v>-1.9524690000000001E-2</v>
      </c>
    </row>
    <row r="1548" spans="1:8" x14ac:dyDescent="0.15">
      <c r="A1548" s="21">
        <v>3.019531E-2</v>
      </c>
      <c r="B1548" s="21">
        <f t="shared" si="48"/>
        <v>1.2370320000000001E-2</v>
      </c>
      <c r="D1548">
        <f t="shared" si="49"/>
        <v>4.7280408805031451</v>
      </c>
      <c r="G1548" s="21">
        <v>-1.503517E-2</v>
      </c>
      <c r="H1548" s="21">
        <v>1.2370320000000001E-2</v>
      </c>
    </row>
    <row r="1549" spans="1:8" x14ac:dyDescent="0.15">
      <c r="A1549" s="21">
        <v>3.021484E-2</v>
      </c>
      <c r="B1549" s="21">
        <f t="shared" si="48"/>
        <v>4.380473E-2</v>
      </c>
      <c r="D1549">
        <f t="shared" si="49"/>
        <v>17.376723270440248</v>
      </c>
      <c r="G1549" s="21">
        <v>-5.5257979999999998E-2</v>
      </c>
      <c r="H1549" s="21">
        <v>4.380473E-2</v>
      </c>
    </row>
    <row r="1550" spans="1:8" x14ac:dyDescent="0.15">
      <c r="A1550" s="21">
        <v>3.0234380000000002E-2</v>
      </c>
      <c r="B1550" s="21">
        <f t="shared" si="48"/>
        <v>7.3988310000000002E-2</v>
      </c>
      <c r="D1550">
        <f t="shared" si="49"/>
        <v>29.532097484276729</v>
      </c>
      <c r="G1550" s="21">
        <v>-9.391207E-2</v>
      </c>
      <c r="H1550" s="21">
        <v>7.3988310000000002E-2</v>
      </c>
    </row>
    <row r="1551" spans="1:8" x14ac:dyDescent="0.15">
      <c r="A1551" s="21">
        <v>3.0253909999999998E-2</v>
      </c>
      <c r="B1551" s="21">
        <f t="shared" si="48"/>
        <v>0.1030001</v>
      </c>
      <c r="D1551">
        <f t="shared" si="49"/>
        <v>41.147232704402512</v>
      </c>
      <c r="G1551" s="21">
        <v>-0.1308482</v>
      </c>
      <c r="H1551" s="21">
        <v>0.1030001</v>
      </c>
    </row>
    <row r="1552" spans="1:8" x14ac:dyDescent="0.15">
      <c r="A1552" s="21">
        <v>3.0273439999999999E-2</v>
      </c>
      <c r="B1552" s="21">
        <f t="shared" si="48"/>
        <v>0.13096099999999999</v>
      </c>
      <c r="D1552">
        <f t="shared" si="49"/>
        <v>52.348018867924523</v>
      </c>
      <c r="G1552" s="21">
        <v>-0.1664667</v>
      </c>
      <c r="H1552" s="21">
        <v>0.13096099999999999</v>
      </c>
    </row>
    <row r="1553" spans="1:8" x14ac:dyDescent="0.15">
      <c r="A1553" s="21">
        <v>3.0292969999999999E-2</v>
      </c>
      <c r="B1553" s="21">
        <f t="shared" si="48"/>
        <v>0.15666620000000001</v>
      </c>
      <c r="D1553">
        <f t="shared" si="49"/>
        <v>62.716006289308176</v>
      </c>
      <c r="G1553" s="21">
        <v>-0.1994369</v>
      </c>
      <c r="H1553" s="21">
        <v>0.15666620000000001</v>
      </c>
    </row>
    <row r="1554" spans="1:8" x14ac:dyDescent="0.15">
      <c r="A1554" s="21">
        <v>3.0312499999999999E-2</v>
      </c>
      <c r="B1554" s="21">
        <f t="shared" si="48"/>
        <v>0.1800744</v>
      </c>
      <c r="D1554">
        <f t="shared" si="49"/>
        <v>72.196603773584897</v>
      </c>
      <c r="G1554" s="21">
        <v>-0.22958519999999999</v>
      </c>
      <c r="H1554" s="21">
        <v>0.1800744</v>
      </c>
    </row>
    <row r="1555" spans="1:8" x14ac:dyDescent="0.15">
      <c r="A1555" s="21">
        <v>3.0332029999999999E-2</v>
      </c>
      <c r="B1555" s="21">
        <f t="shared" si="48"/>
        <v>0.20097190000000001</v>
      </c>
      <c r="D1555">
        <f t="shared" si="49"/>
        <v>80.671823899371063</v>
      </c>
      <c r="G1555" s="21">
        <v>-0.2565364</v>
      </c>
      <c r="H1555" s="21">
        <v>0.20097190000000001</v>
      </c>
    </row>
    <row r="1556" spans="1:8" x14ac:dyDescent="0.15">
      <c r="A1556" s="21">
        <v>3.035156E-2</v>
      </c>
      <c r="B1556" s="21">
        <f t="shared" si="48"/>
        <v>0.21846309999999999</v>
      </c>
      <c r="D1556">
        <f t="shared" si="49"/>
        <v>87.706132075471686</v>
      </c>
      <c r="G1556" s="21">
        <v>-0.27890549999999997</v>
      </c>
      <c r="H1556" s="21">
        <v>0.21846309999999999</v>
      </c>
    </row>
    <row r="1557" spans="1:8" x14ac:dyDescent="0.15">
      <c r="A1557" s="21">
        <v>3.037109E-2</v>
      </c>
      <c r="B1557" s="21">
        <f t="shared" si="48"/>
        <v>0.23239509999999999</v>
      </c>
      <c r="D1557">
        <f t="shared" si="49"/>
        <v>93.354402515723265</v>
      </c>
      <c r="G1557" s="21">
        <v>-0.29686699999999999</v>
      </c>
      <c r="H1557" s="21">
        <v>0.23239509999999999</v>
      </c>
    </row>
    <row r="1558" spans="1:8" x14ac:dyDescent="0.15">
      <c r="A1558" s="21">
        <v>3.0390629999999998E-2</v>
      </c>
      <c r="B1558" s="21">
        <f t="shared" si="48"/>
        <v>0.2430986</v>
      </c>
      <c r="D1558">
        <f t="shared" si="49"/>
        <v>97.781918238993711</v>
      </c>
      <c r="G1558" s="21">
        <v>-0.31094650000000001</v>
      </c>
      <c r="H1558" s="21">
        <v>0.2430986</v>
      </c>
    </row>
    <row r="1559" spans="1:8" x14ac:dyDescent="0.15">
      <c r="A1559" s="21">
        <v>3.0410159999999999E-2</v>
      </c>
      <c r="B1559" s="21">
        <f t="shared" si="48"/>
        <v>0.25092639999999999</v>
      </c>
      <c r="D1559">
        <f t="shared" si="49"/>
        <v>100.93597484276729</v>
      </c>
      <c r="G1559" s="21">
        <v>-0.3209764</v>
      </c>
      <c r="H1559" s="21">
        <v>0.25092639999999999</v>
      </c>
    </row>
    <row r="1560" spans="1:8" x14ac:dyDescent="0.15">
      <c r="A1560" s="21">
        <v>3.0429689999999999E-2</v>
      </c>
      <c r="B1560" s="21">
        <f t="shared" si="48"/>
        <v>0.25486360000000002</v>
      </c>
      <c r="D1560">
        <f t="shared" si="49"/>
        <v>102.52022012578615</v>
      </c>
      <c r="G1560" s="21">
        <v>-0.32601429999999998</v>
      </c>
      <c r="H1560" s="21">
        <v>0.25486360000000002</v>
      </c>
    </row>
    <row r="1561" spans="1:8" x14ac:dyDescent="0.15">
      <c r="A1561" s="21">
        <v>3.0449219999999999E-2</v>
      </c>
      <c r="B1561" s="21">
        <f t="shared" si="48"/>
        <v>0.2546023</v>
      </c>
      <c r="D1561">
        <f t="shared" si="49"/>
        <v>102.50556603773586</v>
      </c>
      <c r="G1561" s="21">
        <v>-0.32596770000000003</v>
      </c>
      <c r="H1561" s="21">
        <v>0.2546023</v>
      </c>
    </row>
    <row r="1562" spans="1:8" x14ac:dyDescent="0.15">
      <c r="A1562" s="21">
        <v>3.0468749999999999E-2</v>
      </c>
      <c r="B1562" s="21">
        <f t="shared" si="48"/>
        <v>0.25058059999999999</v>
      </c>
      <c r="D1562">
        <f t="shared" si="49"/>
        <v>100.98779874213837</v>
      </c>
      <c r="G1562" s="21">
        <v>-0.32114120000000002</v>
      </c>
      <c r="H1562" s="21">
        <v>0.25058059999999999</v>
      </c>
    </row>
    <row r="1563" spans="1:8" x14ac:dyDescent="0.15">
      <c r="A1563" s="21">
        <v>3.048828E-2</v>
      </c>
      <c r="B1563" s="21">
        <f t="shared" si="48"/>
        <v>0.24262839999999999</v>
      </c>
      <c r="D1563">
        <f t="shared" si="49"/>
        <v>97.832452830188672</v>
      </c>
      <c r="G1563" s="21">
        <v>-0.31110719999999997</v>
      </c>
      <c r="H1563" s="21">
        <v>0.24262839999999999</v>
      </c>
    </row>
    <row r="1564" spans="1:8" x14ac:dyDescent="0.15">
      <c r="A1564" s="21">
        <v>3.050781E-2</v>
      </c>
      <c r="B1564" s="21">
        <f t="shared" si="48"/>
        <v>0.2314513</v>
      </c>
      <c r="D1564">
        <f t="shared" si="49"/>
        <v>93.312169811320757</v>
      </c>
      <c r="G1564" s="21">
        <v>-0.29673270000000002</v>
      </c>
      <c r="H1564" s="21">
        <v>0.2314513</v>
      </c>
    </row>
    <row r="1565" spans="1:8" x14ac:dyDescent="0.15">
      <c r="A1565" s="21">
        <v>3.052734E-2</v>
      </c>
      <c r="B1565" s="21">
        <f t="shared" si="48"/>
        <v>0.21715319999999999</v>
      </c>
      <c r="D1565">
        <f t="shared" si="49"/>
        <v>87.633490566037722</v>
      </c>
      <c r="G1565" s="21">
        <v>-0.27867449999999999</v>
      </c>
      <c r="H1565" s="21">
        <v>0.21715319999999999</v>
      </c>
    </row>
    <row r="1566" spans="1:8" x14ac:dyDescent="0.15">
      <c r="A1566" s="21">
        <v>3.0546879999999998E-2</v>
      </c>
      <c r="B1566" s="21">
        <f t="shared" si="48"/>
        <v>0.1994949</v>
      </c>
      <c r="D1566">
        <f t="shared" si="49"/>
        <v>80.647264150943371</v>
      </c>
      <c r="G1566" s="21">
        <v>-0.25645829999999997</v>
      </c>
      <c r="H1566" s="21">
        <v>0.1994949</v>
      </c>
    </row>
    <row r="1567" spans="1:8" x14ac:dyDescent="0.15">
      <c r="A1567" s="21">
        <v>3.0566409999999999E-2</v>
      </c>
      <c r="B1567" s="21">
        <f t="shared" si="48"/>
        <v>0.178563</v>
      </c>
      <c r="D1567">
        <f t="shared" si="49"/>
        <v>72.267389937106913</v>
      </c>
      <c r="G1567" s="21">
        <v>-0.2298103</v>
      </c>
      <c r="H1567" s="21">
        <v>0.178563</v>
      </c>
    </row>
    <row r="1568" spans="1:8" x14ac:dyDescent="0.15">
      <c r="A1568" s="21">
        <v>3.0585939999999999E-2</v>
      </c>
      <c r="B1568" s="21">
        <f t="shared" si="48"/>
        <v>0.15412049999999999</v>
      </c>
      <c r="D1568">
        <f t="shared" si="49"/>
        <v>62.505503144654092</v>
      </c>
      <c r="G1568" s="21">
        <v>-0.19876750000000001</v>
      </c>
      <c r="H1568" s="21">
        <v>0.15412049999999999</v>
      </c>
    </row>
    <row r="1569" spans="1:8" x14ac:dyDescent="0.15">
      <c r="A1569" s="21">
        <v>3.0605469999999999E-2</v>
      </c>
      <c r="B1569" s="21">
        <f t="shared" si="48"/>
        <v>0.12747339999999999</v>
      </c>
      <c r="D1569">
        <f t="shared" si="49"/>
        <v>51.933270440251576</v>
      </c>
      <c r="G1569" s="21">
        <v>-0.16514780000000001</v>
      </c>
      <c r="H1569" s="21">
        <v>0.12747339999999999</v>
      </c>
    </row>
    <row r="1570" spans="1:8" x14ac:dyDescent="0.15">
      <c r="A1570" s="21">
        <v>3.0624999999999999E-2</v>
      </c>
      <c r="B1570" s="21">
        <f t="shared" si="48"/>
        <v>9.9914900000000001E-2</v>
      </c>
      <c r="D1570">
        <f t="shared" si="49"/>
        <v>40.980251572327035</v>
      </c>
      <c r="G1570" s="21">
        <v>-0.13031719999999999</v>
      </c>
      <c r="H1570" s="21">
        <v>9.9914900000000001E-2</v>
      </c>
    </row>
    <row r="1571" spans="1:8" x14ac:dyDescent="0.15">
      <c r="A1571" s="21">
        <v>3.064453E-2</v>
      </c>
      <c r="B1571" s="21">
        <f t="shared" si="48"/>
        <v>7.0524729999999994E-2</v>
      </c>
      <c r="D1571">
        <f t="shared" si="49"/>
        <v>29.179544025157231</v>
      </c>
      <c r="G1571" s="21">
        <v>-9.2790949999999997E-2</v>
      </c>
      <c r="H1571" s="21">
        <v>7.0524729999999994E-2</v>
      </c>
    </row>
    <row r="1572" spans="1:8" x14ac:dyDescent="0.15">
      <c r="A1572" s="21">
        <v>3.066406E-2</v>
      </c>
      <c r="B1572" s="21">
        <f t="shared" si="48"/>
        <v>3.947022E-2</v>
      </c>
      <c r="D1572">
        <f t="shared" si="49"/>
        <v>16.765776729559747</v>
      </c>
      <c r="G1572" s="21">
        <v>-5.3315170000000002E-2</v>
      </c>
      <c r="H1572" s="21">
        <v>3.947022E-2</v>
      </c>
    </row>
    <row r="1573" spans="1:8" x14ac:dyDescent="0.15">
      <c r="A1573" s="21">
        <v>3.068359E-2</v>
      </c>
      <c r="B1573" s="21">
        <f t="shared" si="48"/>
        <v>8.1629760000000006E-3</v>
      </c>
      <c r="D1573">
        <f t="shared" si="49"/>
        <v>4.3597861635220125</v>
      </c>
      <c r="G1573" s="21">
        <v>-1.3864120000000001E-2</v>
      </c>
      <c r="H1573" s="21">
        <v>8.1629760000000006E-3</v>
      </c>
    </row>
    <row r="1574" spans="1:8" x14ac:dyDescent="0.15">
      <c r="A1574" s="21">
        <v>3.0703129999999999E-2</v>
      </c>
      <c r="B1574" s="21">
        <f t="shared" si="48"/>
        <v>-2.3507509999999999E-2</v>
      </c>
      <c r="D1574">
        <f t="shared" si="49"/>
        <v>-8.3211666666666648</v>
      </c>
      <c r="G1574" s="21">
        <v>2.6461309999999998E-2</v>
      </c>
      <c r="H1574" s="21">
        <v>-2.3507509999999999E-2</v>
      </c>
    </row>
    <row r="1575" spans="1:8" x14ac:dyDescent="0.15">
      <c r="A1575" s="21">
        <v>3.0722659999999999E-2</v>
      </c>
      <c r="B1575" s="21">
        <f t="shared" si="48"/>
        <v>-5.4731969999999998E-2</v>
      </c>
      <c r="D1575">
        <f t="shared" si="49"/>
        <v>-20.864320754716982</v>
      </c>
      <c r="G1575" s="21">
        <v>6.6348539999999998E-2</v>
      </c>
      <c r="H1575" s="21">
        <v>-5.4731969999999998E-2</v>
      </c>
    </row>
    <row r="1576" spans="1:8" x14ac:dyDescent="0.15">
      <c r="A1576" s="21">
        <v>3.0742189999999999E-2</v>
      </c>
      <c r="B1576" s="21">
        <f t="shared" si="48"/>
        <v>-8.4640030000000005E-2</v>
      </c>
      <c r="D1576">
        <f t="shared" si="49"/>
        <v>-32.831194968553454</v>
      </c>
      <c r="G1576" s="21">
        <v>0.1044032</v>
      </c>
      <c r="H1576" s="21">
        <v>-8.4640030000000005E-2</v>
      </c>
    </row>
    <row r="1577" spans="1:8" x14ac:dyDescent="0.15">
      <c r="A1577" s="21">
        <v>3.0761719999999999E-2</v>
      </c>
      <c r="B1577" s="21">
        <f t="shared" si="48"/>
        <v>-0.1134894</v>
      </c>
      <c r="D1577">
        <f t="shared" si="49"/>
        <v>-44.371949685534588</v>
      </c>
      <c r="G1577" s="21">
        <v>0.1411028</v>
      </c>
      <c r="H1577" s="21">
        <v>-0.1134894</v>
      </c>
    </row>
    <row r="1578" spans="1:8" x14ac:dyDescent="0.15">
      <c r="A1578" s="21">
        <v>3.078125E-2</v>
      </c>
      <c r="B1578" s="21">
        <f t="shared" si="48"/>
        <v>-0.14015920000000001</v>
      </c>
      <c r="D1578">
        <f t="shared" si="49"/>
        <v>-55.030566037735845</v>
      </c>
      <c r="G1578" s="21">
        <v>0.17499719999999999</v>
      </c>
      <c r="H1578" s="21">
        <v>-0.14015920000000001</v>
      </c>
    </row>
    <row r="1579" spans="1:8" x14ac:dyDescent="0.15">
      <c r="A1579" s="21">
        <v>3.080078E-2</v>
      </c>
      <c r="B1579" s="21">
        <f t="shared" si="48"/>
        <v>-0.16477739999999999</v>
      </c>
      <c r="D1579">
        <f t="shared" si="49"/>
        <v>-64.999779874213829</v>
      </c>
      <c r="G1579" s="21">
        <v>0.2066993</v>
      </c>
      <c r="H1579" s="21">
        <v>-0.16477739999999999</v>
      </c>
    </row>
    <row r="1580" spans="1:8" x14ac:dyDescent="0.15">
      <c r="A1580" s="21">
        <v>3.082031E-2</v>
      </c>
      <c r="B1580" s="21">
        <f t="shared" si="48"/>
        <v>-0.1876061</v>
      </c>
      <c r="D1580">
        <f t="shared" si="49"/>
        <v>-74.269025157232704</v>
      </c>
      <c r="G1580" s="21">
        <v>0.23617550000000001</v>
      </c>
      <c r="H1580" s="21">
        <v>-0.1876061</v>
      </c>
    </row>
    <row r="1581" spans="1:8" x14ac:dyDescent="0.15">
      <c r="A1581" s="21">
        <v>3.083984E-2</v>
      </c>
      <c r="B1581" s="21">
        <f t="shared" si="48"/>
        <v>-0.20717869999999999</v>
      </c>
      <c r="D1581">
        <f t="shared" si="49"/>
        <v>-82.094654088050305</v>
      </c>
      <c r="G1581" s="21">
        <v>0.26106099999999999</v>
      </c>
      <c r="H1581" s="21">
        <v>-0.20717869999999999</v>
      </c>
    </row>
    <row r="1582" spans="1:8" x14ac:dyDescent="0.15">
      <c r="A1582" s="21">
        <v>3.0859379999999999E-2</v>
      </c>
      <c r="B1582" s="21">
        <f t="shared" si="48"/>
        <v>-0.22337419999999999</v>
      </c>
      <c r="D1582">
        <f t="shared" si="49"/>
        <v>-88.578867924528311</v>
      </c>
      <c r="G1582" s="21">
        <v>0.28168080000000001</v>
      </c>
      <c r="H1582" s="21">
        <v>-0.22337419999999999</v>
      </c>
    </row>
    <row r="1583" spans="1:8" x14ac:dyDescent="0.15">
      <c r="A1583" s="21">
        <v>3.0878909999999999E-2</v>
      </c>
      <c r="B1583" s="21">
        <f t="shared" si="48"/>
        <v>-0.23622679999999999</v>
      </c>
      <c r="D1583">
        <f t="shared" si="49"/>
        <v>-93.879276729559749</v>
      </c>
      <c r="G1583" s="21">
        <v>0.29853610000000003</v>
      </c>
      <c r="H1583" s="21">
        <v>-0.23622679999999999</v>
      </c>
    </row>
    <row r="1584" spans="1:8" x14ac:dyDescent="0.15">
      <c r="A1584" s="21">
        <v>3.0898439999999999E-2</v>
      </c>
      <c r="B1584" s="21">
        <f t="shared" si="48"/>
        <v>-0.24540590000000001</v>
      </c>
      <c r="D1584">
        <f t="shared" si="49"/>
        <v>-97.720597484276738</v>
      </c>
      <c r="G1584" s="21">
        <v>0.31075150000000001</v>
      </c>
      <c r="H1584" s="21">
        <v>-0.24540590000000001</v>
      </c>
    </row>
    <row r="1585" spans="1:8" x14ac:dyDescent="0.15">
      <c r="A1585" s="21">
        <v>3.0917969999999999E-2</v>
      </c>
      <c r="B1585" s="21">
        <f t="shared" si="48"/>
        <v>-0.25140459999999998</v>
      </c>
      <c r="D1585">
        <f t="shared" si="49"/>
        <v>-100.17210691823897</v>
      </c>
      <c r="G1585" s="21">
        <v>0.31854729999999998</v>
      </c>
      <c r="H1585" s="21">
        <v>-0.25140459999999998</v>
      </c>
    </row>
    <row r="1586" spans="1:8" x14ac:dyDescent="0.15">
      <c r="A1586" s="21">
        <v>3.09375E-2</v>
      </c>
      <c r="B1586" s="21">
        <f t="shared" si="48"/>
        <v>-0.25407109999999999</v>
      </c>
      <c r="D1586">
        <f t="shared" si="49"/>
        <v>-101.32493710691824</v>
      </c>
      <c r="G1586" s="21">
        <v>0.32221329999999998</v>
      </c>
      <c r="H1586" s="21">
        <v>-0.25407109999999999</v>
      </c>
    </row>
    <row r="1587" spans="1:8" x14ac:dyDescent="0.15">
      <c r="A1587" s="21">
        <v>3.095703E-2</v>
      </c>
      <c r="B1587" s="21">
        <f t="shared" si="48"/>
        <v>-0.25248510000000002</v>
      </c>
      <c r="D1587">
        <f t="shared" si="49"/>
        <v>-100.73905660377358</v>
      </c>
      <c r="G1587" s="21">
        <v>0.32035019999999997</v>
      </c>
      <c r="H1587" s="21">
        <v>-0.25248510000000002</v>
      </c>
    </row>
    <row r="1588" spans="1:8" x14ac:dyDescent="0.15">
      <c r="A1588" s="21">
        <v>3.097656E-2</v>
      </c>
      <c r="B1588" s="21">
        <f t="shared" si="48"/>
        <v>-0.24674409999999999</v>
      </c>
      <c r="D1588">
        <f t="shared" si="49"/>
        <v>-98.528993710691822</v>
      </c>
      <c r="G1588" s="21">
        <v>0.3133222</v>
      </c>
      <c r="H1588" s="21">
        <v>-0.24674409999999999</v>
      </c>
    </row>
    <row r="1589" spans="1:8" x14ac:dyDescent="0.15">
      <c r="A1589" s="21">
        <v>3.099609E-2</v>
      </c>
      <c r="B1589" s="21">
        <f t="shared" si="48"/>
        <v>-0.2373084</v>
      </c>
      <c r="D1589">
        <f t="shared" si="49"/>
        <v>-94.926729559748424</v>
      </c>
      <c r="G1589" s="21">
        <v>0.301867</v>
      </c>
      <c r="H1589" s="21">
        <v>-0.2373084</v>
      </c>
    </row>
    <row r="1590" spans="1:8" x14ac:dyDescent="0.15">
      <c r="A1590" s="21">
        <v>3.1015629999999999E-2</v>
      </c>
      <c r="B1590" s="21">
        <f t="shared" si="48"/>
        <v>-0.22464390000000001</v>
      </c>
      <c r="D1590">
        <f t="shared" si="49"/>
        <v>-89.873553459119478</v>
      </c>
      <c r="G1590" s="21">
        <v>0.28579789999999999</v>
      </c>
      <c r="H1590" s="21">
        <v>-0.22464390000000001</v>
      </c>
    </row>
    <row r="1591" spans="1:8" x14ac:dyDescent="0.15">
      <c r="A1591" s="21">
        <v>3.1035159999999999E-2</v>
      </c>
      <c r="B1591" s="21">
        <f t="shared" si="48"/>
        <v>-0.20939350000000001</v>
      </c>
      <c r="D1591">
        <f t="shared" si="49"/>
        <v>-83.771886792452818</v>
      </c>
      <c r="G1591" s="21">
        <v>0.26639459999999998</v>
      </c>
      <c r="H1591" s="21">
        <v>-0.20939350000000001</v>
      </c>
    </row>
    <row r="1592" spans="1:8" x14ac:dyDescent="0.15">
      <c r="A1592" s="21">
        <v>3.1054689999999999E-2</v>
      </c>
      <c r="B1592" s="21">
        <f t="shared" si="48"/>
        <v>-0.190607</v>
      </c>
      <c r="D1592">
        <f t="shared" si="49"/>
        <v>-76.250786163522008</v>
      </c>
      <c r="G1592" s="21">
        <v>0.24247750000000001</v>
      </c>
      <c r="H1592" s="21">
        <v>-0.190607</v>
      </c>
    </row>
    <row r="1593" spans="1:8" x14ac:dyDescent="0.15">
      <c r="A1593" s="21">
        <v>3.107422E-2</v>
      </c>
      <c r="B1593" s="21">
        <f t="shared" si="48"/>
        <v>-0.1680721</v>
      </c>
      <c r="D1593">
        <f t="shared" si="49"/>
        <v>-67.249088050314455</v>
      </c>
      <c r="G1593" s="21">
        <v>0.21385209999999999</v>
      </c>
      <c r="H1593" s="21">
        <v>-0.1680721</v>
      </c>
    </row>
    <row r="1594" spans="1:8" x14ac:dyDescent="0.15">
      <c r="A1594" s="21">
        <v>3.109375E-2</v>
      </c>
      <c r="B1594" s="21">
        <f t="shared" si="48"/>
        <v>-0.14274010000000001</v>
      </c>
      <c r="D1594">
        <f t="shared" si="49"/>
        <v>-57.281257861635211</v>
      </c>
      <c r="G1594" s="21">
        <v>0.18215439999999999</v>
      </c>
      <c r="H1594" s="21">
        <v>-0.14274010000000001</v>
      </c>
    </row>
    <row r="1595" spans="1:8" x14ac:dyDescent="0.15">
      <c r="A1595" s="21">
        <v>3.111328E-2</v>
      </c>
      <c r="B1595" s="21">
        <f t="shared" si="48"/>
        <v>-0.11508930000000001</v>
      </c>
      <c r="D1595">
        <f t="shared" si="49"/>
        <v>-46.251855345911942</v>
      </c>
      <c r="G1595" s="21">
        <v>0.14708089999999999</v>
      </c>
      <c r="H1595" s="21">
        <v>-0.11508930000000001</v>
      </c>
    </row>
    <row r="1596" spans="1:8" x14ac:dyDescent="0.15">
      <c r="A1596" s="21">
        <v>3.113281E-2</v>
      </c>
      <c r="B1596" s="21">
        <f t="shared" si="48"/>
        <v>-8.6906800000000006E-2</v>
      </c>
      <c r="D1596">
        <f t="shared" si="49"/>
        <v>-34.956320754716984</v>
      </c>
      <c r="G1596" s="21">
        <v>0.1111611</v>
      </c>
      <c r="H1596" s="21">
        <v>-8.6906800000000006E-2</v>
      </c>
    </row>
    <row r="1597" spans="1:8" x14ac:dyDescent="0.15">
      <c r="A1597" s="21">
        <v>3.1152340000000001E-2</v>
      </c>
      <c r="B1597" s="21">
        <f t="shared" si="48"/>
        <v>-5.7995629999999999E-2</v>
      </c>
      <c r="D1597">
        <f t="shared" si="49"/>
        <v>-23.408295597484273</v>
      </c>
      <c r="G1597" s="21">
        <v>7.4438379999999998E-2</v>
      </c>
      <c r="H1597" s="21">
        <v>-5.7995629999999999E-2</v>
      </c>
    </row>
    <row r="1598" spans="1:8" x14ac:dyDescent="0.15">
      <c r="A1598" s="21">
        <v>3.1171879999999999E-2</v>
      </c>
      <c r="B1598" s="21">
        <f t="shared" si="48"/>
        <v>-2.6531269999999999E-2</v>
      </c>
      <c r="D1598">
        <f t="shared" si="49"/>
        <v>-10.743427672955976</v>
      </c>
      <c r="G1598" s="21">
        <v>3.4164100000000003E-2</v>
      </c>
      <c r="H1598" s="21">
        <v>-2.6531269999999999E-2</v>
      </c>
    </row>
    <row r="1599" spans="1:8" x14ac:dyDescent="0.15">
      <c r="A1599" s="21">
        <v>3.1191409999999999E-2</v>
      </c>
      <c r="B1599" s="21">
        <f t="shared" si="48"/>
        <v>5.8334299999999997E-3</v>
      </c>
      <c r="D1599">
        <f t="shared" si="49"/>
        <v>2.1715761006289309</v>
      </c>
      <c r="G1599" s="21">
        <v>-6.9056120000000002E-3</v>
      </c>
      <c r="H1599" s="21">
        <v>5.8334299999999997E-3</v>
      </c>
    </row>
    <row r="1600" spans="1:8" x14ac:dyDescent="0.15">
      <c r="A1600" s="21">
        <v>3.121094E-2</v>
      </c>
      <c r="B1600" s="21">
        <f t="shared" si="48"/>
        <v>3.7401719999999999E-2</v>
      </c>
      <c r="D1600">
        <f t="shared" si="49"/>
        <v>14.774261006289306</v>
      </c>
      <c r="G1600" s="21">
        <v>-4.698215E-2</v>
      </c>
      <c r="H1600" s="21">
        <v>3.7401719999999999E-2</v>
      </c>
    </row>
    <row r="1601" spans="1:8" x14ac:dyDescent="0.15">
      <c r="A1601" s="21">
        <v>3.123047E-2</v>
      </c>
      <c r="B1601" s="21">
        <f t="shared" si="48"/>
        <v>6.805319E-2</v>
      </c>
      <c r="D1601">
        <f t="shared" si="49"/>
        <v>27.155786163522013</v>
      </c>
      <c r="G1601" s="21">
        <v>-8.6355399999999999E-2</v>
      </c>
      <c r="H1601" s="21">
        <v>6.805319E-2</v>
      </c>
    </row>
    <row r="1602" spans="1:8" x14ac:dyDescent="0.15">
      <c r="A1602" s="21">
        <v>3.125E-2</v>
      </c>
      <c r="B1602" s="21">
        <f t="shared" ref="B1602:B1665" si="50">H1602</f>
        <v>9.695993E-2</v>
      </c>
      <c r="D1602">
        <f t="shared" ref="D1602:D1665" si="51">G1602*-1000/3.18</f>
        <v>38.767987421383644</v>
      </c>
      <c r="G1602" s="21">
        <v>-0.12328219999999999</v>
      </c>
      <c r="H1602" s="21">
        <v>9.695993E-2</v>
      </c>
    </row>
    <row r="1603" spans="1:8" x14ac:dyDescent="0.15">
      <c r="A1603" s="21">
        <v>3.1269529999999997E-2</v>
      </c>
      <c r="B1603" s="21">
        <f t="shared" si="50"/>
        <v>0.1245351</v>
      </c>
      <c r="D1603">
        <f t="shared" si="51"/>
        <v>49.869276729559751</v>
      </c>
      <c r="G1603" s="21">
        <v>-0.15858430000000001</v>
      </c>
      <c r="H1603" s="21">
        <v>0.1245351</v>
      </c>
    </row>
    <row r="1604" spans="1:8" x14ac:dyDescent="0.15">
      <c r="A1604" s="21">
        <v>3.128906E-2</v>
      </c>
      <c r="B1604" s="21">
        <f t="shared" si="50"/>
        <v>0.15114469999999999</v>
      </c>
      <c r="D1604">
        <f t="shared" si="51"/>
        <v>60.646163522012571</v>
      </c>
      <c r="G1604" s="21">
        <v>-0.19285479999999999</v>
      </c>
      <c r="H1604" s="21">
        <v>0.15114469999999999</v>
      </c>
    </row>
    <row r="1605" spans="1:8" x14ac:dyDescent="0.15">
      <c r="A1605" s="21">
        <v>3.1308589999999997E-2</v>
      </c>
      <c r="B1605" s="21">
        <f t="shared" si="50"/>
        <v>0.17536460000000001</v>
      </c>
      <c r="D1605">
        <f t="shared" si="51"/>
        <v>70.371761006289304</v>
      </c>
      <c r="G1605" s="21">
        <v>-0.22378219999999999</v>
      </c>
      <c r="H1605" s="21">
        <v>0.17536460000000001</v>
      </c>
    </row>
    <row r="1606" spans="1:8" x14ac:dyDescent="0.15">
      <c r="A1606" s="21">
        <v>3.1328120000000001E-2</v>
      </c>
      <c r="B1606" s="21">
        <f t="shared" si="50"/>
        <v>0.19678010000000001</v>
      </c>
      <c r="D1606">
        <f t="shared" si="51"/>
        <v>79.004245283018861</v>
      </c>
      <c r="G1606" s="21">
        <v>-0.2512335</v>
      </c>
      <c r="H1606" s="21">
        <v>0.19678010000000001</v>
      </c>
    </row>
    <row r="1607" spans="1:8" x14ac:dyDescent="0.15">
      <c r="A1607" s="21">
        <v>3.1347659999999999E-2</v>
      </c>
      <c r="B1607" s="21">
        <f t="shared" si="50"/>
        <v>0.21506500000000001</v>
      </c>
      <c r="D1607">
        <f t="shared" si="51"/>
        <v>86.418993710691822</v>
      </c>
      <c r="G1607" s="21">
        <v>-0.27481240000000001</v>
      </c>
      <c r="H1607" s="21">
        <v>0.21506500000000001</v>
      </c>
    </row>
    <row r="1608" spans="1:8" x14ac:dyDescent="0.15">
      <c r="A1608" s="21">
        <v>3.1367190000000003E-2</v>
      </c>
      <c r="B1608" s="21">
        <f t="shared" si="50"/>
        <v>0.22928570000000001</v>
      </c>
      <c r="D1608">
        <f t="shared" si="51"/>
        <v>92.185471698113219</v>
      </c>
      <c r="G1608" s="21">
        <v>-0.29314980000000002</v>
      </c>
      <c r="H1608" s="21">
        <v>0.22928570000000001</v>
      </c>
    </row>
    <row r="1609" spans="1:8" x14ac:dyDescent="0.15">
      <c r="A1609" s="21">
        <v>3.138672E-2</v>
      </c>
      <c r="B1609" s="21">
        <f t="shared" si="50"/>
        <v>0.24046190000000001</v>
      </c>
      <c r="D1609">
        <f t="shared" si="51"/>
        <v>96.771855345911959</v>
      </c>
      <c r="G1609" s="21">
        <v>-0.30773450000000002</v>
      </c>
      <c r="H1609" s="21">
        <v>0.24046190000000001</v>
      </c>
    </row>
    <row r="1610" spans="1:8" x14ac:dyDescent="0.15">
      <c r="A1610" s="21">
        <v>3.1406249999999997E-2</v>
      </c>
      <c r="B1610" s="21">
        <f t="shared" si="50"/>
        <v>0.2490387</v>
      </c>
      <c r="D1610">
        <f t="shared" si="51"/>
        <v>100.26955974842768</v>
      </c>
      <c r="G1610" s="21">
        <v>-0.31885720000000001</v>
      </c>
      <c r="H1610" s="21">
        <v>0.2490387</v>
      </c>
    </row>
    <row r="1611" spans="1:8" x14ac:dyDescent="0.15">
      <c r="A1611" s="21">
        <v>3.142578E-2</v>
      </c>
      <c r="B1611" s="21">
        <f t="shared" si="50"/>
        <v>0.25388739999999999</v>
      </c>
      <c r="D1611">
        <f t="shared" si="51"/>
        <v>102.26106918238993</v>
      </c>
      <c r="G1611" s="21">
        <v>-0.32519019999999998</v>
      </c>
      <c r="H1611" s="21">
        <v>0.25388739999999999</v>
      </c>
    </row>
    <row r="1612" spans="1:8" x14ac:dyDescent="0.15">
      <c r="A1612" s="21">
        <v>3.1445309999999997E-2</v>
      </c>
      <c r="B1612" s="21">
        <f t="shared" si="50"/>
        <v>0.25497930000000002</v>
      </c>
      <c r="D1612">
        <f t="shared" si="51"/>
        <v>102.72858490566037</v>
      </c>
      <c r="G1612" s="21">
        <v>-0.32667689999999999</v>
      </c>
      <c r="H1612" s="21">
        <v>0.25497930000000002</v>
      </c>
    </row>
    <row r="1613" spans="1:8" x14ac:dyDescent="0.15">
      <c r="A1613" s="21">
        <v>3.1464840000000001E-2</v>
      </c>
      <c r="B1613" s="21">
        <f t="shared" si="50"/>
        <v>0.2518648</v>
      </c>
      <c r="D1613">
        <f t="shared" si="51"/>
        <v>101.47386792452829</v>
      </c>
      <c r="G1613" s="21">
        <v>-0.3226869</v>
      </c>
      <c r="H1613" s="21">
        <v>0.2518648</v>
      </c>
    </row>
    <row r="1614" spans="1:8" x14ac:dyDescent="0.15">
      <c r="A1614" s="21">
        <v>3.1484379999999999E-2</v>
      </c>
      <c r="B1614" s="21">
        <f t="shared" si="50"/>
        <v>0.24415480000000001</v>
      </c>
      <c r="D1614">
        <f t="shared" si="51"/>
        <v>98.420157232704383</v>
      </c>
      <c r="G1614" s="21">
        <v>-0.31297609999999998</v>
      </c>
      <c r="H1614" s="21">
        <v>0.24415480000000001</v>
      </c>
    </row>
    <row r="1615" spans="1:8" x14ac:dyDescent="0.15">
      <c r="A1615" s="21">
        <v>3.1503910000000003E-2</v>
      </c>
      <c r="B1615" s="21">
        <f t="shared" si="50"/>
        <v>0.23313059999999999</v>
      </c>
      <c r="D1615">
        <f t="shared" si="51"/>
        <v>94.068081761006283</v>
      </c>
      <c r="G1615" s="21">
        <v>-0.29913650000000003</v>
      </c>
      <c r="H1615" s="21">
        <v>0.23313059999999999</v>
      </c>
    </row>
    <row r="1616" spans="1:8" x14ac:dyDescent="0.15">
      <c r="A1616" s="21">
        <v>3.152344E-2</v>
      </c>
      <c r="B1616" s="21">
        <f t="shared" si="50"/>
        <v>0.2196613</v>
      </c>
      <c r="D1616">
        <f t="shared" si="51"/>
        <v>88.756194968553459</v>
      </c>
      <c r="G1616" s="21">
        <v>-0.28224470000000002</v>
      </c>
      <c r="H1616" s="21">
        <v>0.2196613</v>
      </c>
    </row>
    <row r="1617" spans="1:8" x14ac:dyDescent="0.15">
      <c r="A1617" s="21">
        <v>3.1542969999999997E-2</v>
      </c>
      <c r="B1617" s="21">
        <f t="shared" si="50"/>
        <v>0.20315639999999999</v>
      </c>
      <c r="D1617">
        <f t="shared" si="51"/>
        <v>82.110408805031426</v>
      </c>
      <c r="G1617" s="21">
        <v>-0.26111109999999998</v>
      </c>
      <c r="H1617" s="21">
        <v>0.20315639999999999</v>
      </c>
    </row>
    <row r="1618" spans="1:8" x14ac:dyDescent="0.15">
      <c r="A1618" s="21">
        <v>3.15625E-2</v>
      </c>
      <c r="B1618" s="21">
        <f t="shared" si="50"/>
        <v>0.182946</v>
      </c>
      <c r="D1618">
        <f t="shared" si="51"/>
        <v>74.017169811320741</v>
      </c>
      <c r="G1618" s="21">
        <v>-0.23537459999999999</v>
      </c>
      <c r="H1618" s="21">
        <v>0.182946</v>
      </c>
    </row>
    <row r="1619" spans="1:8" x14ac:dyDescent="0.15">
      <c r="A1619" s="21">
        <v>3.1582029999999997E-2</v>
      </c>
      <c r="B1619" s="21">
        <f t="shared" si="50"/>
        <v>0.1593646</v>
      </c>
      <c r="D1619">
        <f t="shared" si="51"/>
        <v>64.735597484276724</v>
      </c>
      <c r="G1619" s="21">
        <v>-0.20585919999999999</v>
      </c>
      <c r="H1619" s="21">
        <v>0.1593646</v>
      </c>
    </row>
    <row r="1620" spans="1:8" x14ac:dyDescent="0.15">
      <c r="A1620" s="21">
        <v>3.1601560000000001E-2</v>
      </c>
      <c r="B1620" s="21">
        <f t="shared" si="50"/>
        <v>0.1328705</v>
      </c>
      <c r="D1620">
        <f t="shared" si="51"/>
        <v>54.205062893081752</v>
      </c>
      <c r="G1620" s="21">
        <v>-0.1723721</v>
      </c>
      <c r="H1620" s="21">
        <v>0.1328705</v>
      </c>
    </row>
    <row r="1621" spans="1:8" x14ac:dyDescent="0.15">
      <c r="A1621" s="21">
        <v>3.1621089999999998E-2</v>
      </c>
      <c r="B1621" s="21">
        <f t="shared" si="50"/>
        <v>0.1044322</v>
      </c>
      <c r="D1621">
        <f t="shared" si="51"/>
        <v>42.901635220125783</v>
      </c>
      <c r="G1621" s="21">
        <v>-0.1364272</v>
      </c>
      <c r="H1621" s="21">
        <v>0.1044322</v>
      </c>
    </row>
    <row r="1622" spans="1:8" x14ac:dyDescent="0.15">
      <c r="A1622" s="21">
        <v>3.1640620000000001E-2</v>
      </c>
      <c r="B1622" s="21">
        <f t="shared" si="50"/>
        <v>7.5630500000000003E-2</v>
      </c>
      <c r="D1622">
        <f t="shared" si="51"/>
        <v>31.447767295597483</v>
      </c>
      <c r="G1622" s="21">
        <v>-0.10000390000000001</v>
      </c>
      <c r="H1622" s="21">
        <v>7.5630500000000003E-2</v>
      </c>
    </row>
    <row r="1623" spans="1:8" x14ac:dyDescent="0.15">
      <c r="A1623" s="21">
        <v>3.166016E-2</v>
      </c>
      <c r="B1623" s="21">
        <f t="shared" si="50"/>
        <v>4.595788E-2</v>
      </c>
      <c r="D1623">
        <f t="shared" si="51"/>
        <v>19.517720125786163</v>
      </c>
      <c r="G1623" s="21">
        <v>-6.2066349999999999E-2</v>
      </c>
      <c r="H1623" s="21">
        <v>4.595788E-2</v>
      </c>
    </row>
    <row r="1624" spans="1:8" x14ac:dyDescent="0.15">
      <c r="A1624" s="21">
        <v>3.1679690000000003E-2</v>
      </c>
      <c r="B1624" s="21">
        <f t="shared" si="50"/>
        <v>1.4369760000000001E-2</v>
      </c>
      <c r="D1624">
        <f t="shared" si="51"/>
        <v>6.8521352201257857</v>
      </c>
      <c r="G1624" s="21">
        <v>-2.178979E-2</v>
      </c>
      <c r="H1624" s="21">
        <v>1.4369760000000001E-2</v>
      </c>
    </row>
    <row r="1625" spans="1:8" x14ac:dyDescent="0.15">
      <c r="A1625" s="21">
        <v>3.169922E-2</v>
      </c>
      <c r="B1625" s="21">
        <f t="shared" si="50"/>
        <v>-1.7684370000000001E-2</v>
      </c>
      <c r="D1625">
        <f t="shared" si="51"/>
        <v>-5.8848301886792456</v>
      </c>
      <c r="G1625" s="21">
        <v>1.8713759999999999E-2</v>
      </c>
      <c r="H1625" s="21">
        <v>-1.7684370000000001E-2</v>
      </c>
    </row>
    <row r="1626" spans="1:8" x14ac:dyDescent="0.15">
      <c r="A1626" s="21">
        <v>3.1718749999999997E-2</v>
      </c>
      <c r="B1626" s="21">
        <f t="shared" si="50"/>
        <v>-4.8941270000000002E-2</v>
      </c>
      <c r="D1626">
        <f t="shared" si="51"/>
        <v>-18.319820754716979</v>
      </c>
      <c r="G1626" s="21">
        <v>5.8257030000000001E-2</v>
      </c>
      <c r="H1626" s="21">
        <v>-4.8941270000000002E-2</v>
      </c>
    </row>
    <row r="1627" spans="1:8" x14ac:dyDescent="0.15">
      <c r="A1627" s="21">
        <v>3.1738280000000001E-2</v>
      </c>
      <c r="B1627" s="21">
        <f t="shared" si="50"/>
        <v>-7.9368419999999995E-2</v>
      </c>
      <c r="D1627">
        <f t="shared" si="51"/>
        <v>-30.61061006289308</v>
      </c>
      <c r="G1627" s="21">
        <v>9.7341739999999996E-2</v>
      </c>
      <c r="H1627" s="21">
        <v>-7.9368419999999995E-2</v>
      </c>
    </row>
    <row r="1628" spans="1:8" x14ac:dyDescent="0.15">
      <c r="A1628" s="21">
        <v>3.1757809999999997E-2</v>
      </c>
      <c r="B1628" s="21">
        <f t="shared" si="50"/>
        <v>-0.10806640000000001</v>
      </c>
      <c r="D1628">
        <f t="shared" si="51"/>
        <v>-42.200345911949682</v>
      </c>
      <c r="G1628" s="21">
        <v>0.13419710000000001</v>
      </c>
      <c r="H1628" s="21">
        <v>-0.10806640000000001</v>
      </c>
    </row>
    <row r="1629" spans="1:8" x14ac:dyDescent="0.15">
      <c r="A1629" s="21">
        <v>3.1777340000000001E-2</v>
      </c>
      <c r="B1629" s="21">
        <f t="shared" si="50"/>
        <v>-0.1349398</v>
      </c>
      <c r="D1629">
        <f t="shared" si="51"/>
        <v>-52.901509433962261</v>
      </c>
      <c r="G1629" s="21">
        <v>0.16822680000000001</v>
      </c>
      <c r="H1629" s="21">
        <v>-0.1349398</v>
      </c>
    </row>
    <row r="1630" spans="1:8" x14ac:dyDescent="0.15">
      <c r="A1630" s="21">
        <v>3.179688E-2</v>
      </c>
      <c r="B1630" s="21">
        <f t="shared" si="50"/>
        <v>-0.16063440000000001</v>
      </c>
      <c r="D1630">
        <f t="shared" si="51"/>
        <v>-63.179245283018865</v>
      </c>
      <c r="G1630" s="21">
        <v>0.20091000000000001</v>
      </c>
      <c r="H1630" s="21">
        <v>-0.16063440000000001</v>
      </c>
    </row>
    <row r="1631" spans="1:8" x14ac:dyDescent="0.15">
      <c r="A1631" s="21">
        <v>3.1816410000000003E-2</v>
      </c>
      <c r="B1631" s="21">
        <f t="shared" si="50"/>
        <v>-0.1839189</v>
      </c>
      <c r="D1631">
        <f t="shared" si="51"/>
        <v>-72.595188679245283</v>
      </c>
      <c r="G1631" s="21">
        <v>0.23085269999999999</v>
      </c>
      <c r="H1631" s="21">
        <v>-0.1839189</v>
      </c>
    </row>
    <row r="1632" spans="1:8" x14ac:dyDescent="0.15">
      <c r="A1632" s="21">
        <v>3.183594E-2</v>
      </c>
      <c r="B1632" s="21">
        <f t="shared" si="50"/>
        <v>-0.20397689999999999</v>
      </c>
      <c r="D1632">
        <f t="shared" si="51"/>
        <v>-80.690220125786155</v>
      </c>
      <c r="G1632" s="21">
        <v>0.25659490000000001</v>
      </c>
      <c r="H1632" s="21">
        <v>-0.20397689999999999</v>
      </c>
    </row>
    <row r="1633" spans="1:8" x14ac:dyDescent="0.15">
      <c r="A1633" s="21">
        <v>3.1855469999999997E-2</v>
      </c>
      <c r="B1633" s="21">
        <f t="shared" si="50"/>
        <v>-0.2207944</v>
      </c>
      <c r="D1633">
        <f t="shared" si="51"/>
        <v>-87.468176100628924</v>
      </c>
      <c r="G1633" s="21">
        <v>0.27814879999999997</v>
      </c>
      <c r="H1633" s="21">
        <v>-0.2207944</v>
      </c>
    </row>
    <row r="1634" spans="1:8" x14ac:dyDescent="0.15">
      <c r="A1634" s="21">
        <v>3.1875000000000001E-2</v>
      </c>
      <c r="B1634" s="21">
        <f t="shared" si="50"/>
        <v>-0.2341048</v>
      </c>
      <c r="D1634">
        <f t="shared" si="51"/>
        <v>-92.932578616352203</v>
      </c>
      <c r="G1634" s="21">
        <v>0.2955256</v>
      </c>
      <c r="H1634" s="21">
        <v>-0.2341048</v>
      </c>
    </row>
    <row r="1635" spans="1:8" x14ac:dyDescent="0.15">
      <c r="A1635" s="21">
        <v>3.1894529999999997E-2</v>
      </c>
      <c r="B1635" s="21">
        <f t="shared" si="50"/>
        <v>-0.2443488</v>
      </c>
      <c r="D1635">
        <f t="shared" si="51"/>
        <v>-97.14610062893081</v>
      </c>
      <c r="G1635" s="21">
        <v>0.30892459999999999</v>
      </c>
      <c r="H1635" s="21">
        <v>-0.2443488</v>
      </c>
    </row>
    <row r="1636" spans="1:8" x14ac:dyDescent="0.15">
      <c r="A1636" s="21">
        <v>3.1914060000000001E-2</v>
      </c>
      <c r="B1636" s="21">
        <f t="shared" si="50"/>
        <v>-0.2510502</v>
      </c>
      <c r="D1636">
        <f t="shared" si="51"/>
        <v>-99.894748427672951</v>
      </c>
      <c r="G1636" s="21">
        <v>0.31766529999999998</v>
      </c>
      <c r="H1636" s="21">
        <v>-0.2510502</v>
      </c>
    </row>
    <row r="1637" spans="1:8" x14ac:dyDescent="0.15">
      <c r="A1637" s="21">
        <v>3.1933589999999998E-2</v>
      </c>
      <c r="B1637" s="21">
        <f t="shared" si="50"/>
        <v>-0.253969</v>
      </c>
      <c r="D1637">
        <f t="shared" si="51"/>
        <v>-101.17783018867924</v>
      </c>
      <c r="G1637" s="21">
        <v>0.32174550000000002</v>
      </c>
      <c r="H1637" s="21">
        <v>-0.253969</v>
      </c>
    </row>
    <row r="1638" spans="1:8" x14ac:dyDescent="0.15">
      <c r="A1638" s="21">
        <v>3.1953120000000002E-2</v>
      </c>
      <c r="B1638" s="21">
        <f t="shared" si="50"/>
        <v>-0.25328699999999998</v>
      </c>
      <c r="D1638">
        <f t="shared" si="51"/>
        <v>-101.01534591194968</v>
      </c>
      <c r="G1638" s="21">
        <v>0.32122879999999998</v>
      </c>
      <c r="H1638" s="21">
        <v>-0.25328699999999998</v>
      </c>
    </row>
    <row r="1639" spans="1:8" x14ac:dyDescent="0.15">
      <c r="A1639" s="21">
        <v>3.197266E-2</v>
      </c>
      <c r="B1639" s="21">
        <f t="shared" si="50"/>
        <v>-0.2485137</v>
      </c>
      <c r="D1639">
        <f t="shared" si="51"/>
        <v>-99.190723270440245</v>
      </c>
      <c r="G1639" s="21">
        <v>0.3154265</v>
      </c>
      <c r="H1639" s="21">
        <v>-0.2485137</v>
      </c>
    </row>
    <row r="1640" spans="1:8" x14ac:dyDescent="0.15">
      <c r="A1640" s="21">
        <v>3.1992189999999997E-2</v>
      </c>
      <c r="B1640" s="21">
        <f t="shared" si="50"/>
        <v>-0.23977689999999999</v>
      </c>
      <c r="D1640">
        <f t="shared" si="51"/>
        <v>-95.755849056603765</v>
      </c>
      <c r="G1640" s="21">
        <v>0.30450359999999999</v>
      </c>
      <c r="H1640" s="21">
        <v>-0.23977689999999999</v>
      </c>
    </row>
    <row r="1641" spans="1:8" x14ac:dyDescent="0.15">
      <c r="A1641" s="21">
        <v>3.201172E-2</v>
      </c>
      <c r="B1641" s="21">
        <f t="shared" si="50"/>
        <v>-0.22748740000000001</v>
      </c>
      <c r="D1641">
        <f t="shared" si="51"/>
        <v>-90.95405660377358</v>
      </c>
      <c r="G1641" s="21">
        <v>0.28923389999999999</v>
      </c>
      <c r="H1641" s="21">
        <v>-0.22748740000000001</v>
      </c>
    </row>
    <row r="1642" spans="1:8" x14ac:dyDescent="0.15">
      <c r="A1642" s="21">
        <v>3.2031249999999997E-2</v>
      </c>
      <c r="B1642" s="21">
        <f t="shared" si="50"/>
        <v>-0.21270829999999999</v>
      </c>
      <c r="D1642">
        <f t="shared" si="51"/>
        <v>-85.131037735849048</v>
      </c>
      <c r="G1642" s="21">
        <v>0.27071669999999998</v>
      </c>
      <c r="H1642" s="21">
        <v>-0.21270829999999999</v>
      </c>
    </row>
    <row r="1643" spans="1:8" x14ac:dyDescent="0.15">
      <c r="A1643" s="21">
        <v>3.2050780000000001E-2</v>
      </c>
      <c r="B1643" s="21">
        <f t="shared" si="50"/>
        <v>-0.1948695</v>
      </c>
      <c r="D1643">
        <f t="shared" si="51"/>
        <v>-77.877515723270434</v>
      </c>
      <c r="G1643" s="21">
        <v>0.2476505</v>
      </c>
      <c r="H1643" s="21">
        <v>-0.1948695</v>
      </c>
    </row>
    <row r="1644" spans="1:8" x14ac:dyDescent="0.15">
      <c r="A1644" s="21">
        <v>3.2070309999999998E-2</v>
      </c>
      <c r="B1644" s="21">
        <f t="shared" si="50"/>
        <v>-0.17292479999999999</v>
      </c>
      <c r="D1644">
        <f t="shared" si="51"/>
        <v>-69.109716981132067</v>
      </c>
      <c r="G1644" s="21">
        <v>0.21976889999999999</v>
      </c>
      <c r="H1644" s="21">
        <v>-0.17292479999999999</v>
      </c>
    </row>
    <row r="1645" spans="1:8" x14ac:dyDescent="0.15">
      <c r="A1645" s="21">
        <v>3.2089840000000001E-2</v>
      </c>
      <c r="B1645" s="21">
        <f t="shared" si="50"/>
        <v>-0.14827850000000001</v>
      </c>
      <c r="D1645">
        <f t="shared" si="51"/>
        <v>-59.469339622641499</v>
      </c>
      <c r="G1645" s="21">
        <v>0.18911249999999999</v>
      </c>
      <c r="H1645" s="21">
        <v>-0.14827850000000001</v>
      </c>
    </row>
    <row r="1646" spans="1:8" x14ac:dyDescent="0.15">
      <c r="A1646" s="21">
        <v>3.210938E-2</v>
      </c>
      <c r="B1646" s="21">
        <f t="shared" si="50"/>
        <v>-0.12141830000000001</v>
      </c>
      <c r="D1646">
        <f t="shared" si="51"/>
        <v>-48.734213836477984</v>
      </c>
      <c r="G1646" s="21">
        <v>0.1549748</v>
      </c>
      <c r="H1646" s="21">
        <v>-0.12141830000000001</v>
      </c>
    </row>
    <row r="1647" spans="1:8" x14ac:dyDescent="0.15">
      <c r="A1647" s="21">
        <v>3.2128909999999997E-2</v>
      </c>
      <c r="B1647" s="21">
        <f t="shared" si="50"/>
        <v>-9.2896450000000005E-2</v>
      </c>
      <c r="D1647">
        <f t="shared" si="51"/>
        <v>-37.259402515723274</v>
      </c>
      <c r="G1647" s="21">
        <v>0.1184849</v>
      </c>
      <c r="H1647" s="21">
        <v>-9.2896450000000005E-2</v>
      </c>
    </row>
    <row r="1648" spans="1:8" x14ac:dyDescent="0.15">
      <c r="A1648" s="21">
        <v>3.214844E-2</v>
      </c>
      <c r="B1648" s="21">
        <f t="shared" si="50"/>
        <v>-6.3819399999999998E-2</v>
      </c>
      <c r="D1648">
        <f t="shared" si="51"/>
        <v>-25.667006289308173</v>
      </c>
      <c r="G1648" s="21">
        <v>8.1621079999999999E-2</v>
      </c>
      <c r="H1648" s="21">
        <v>-6.3819399999999998E-2</v>
      </c>
    </row>
    <row r="1649" spans="1:8" x14ac:dyDescent="0.15">
      <c r="A1649" s="21">
        <v>3.2167969999999997E-2</v>
      </c>
      <c r="B1649" s="21">
        <f t="shared" si="50"/>
        <v>-3.3378100000000001E-2</v>
      </c>
      <c r="D1649">
        <f t="shared" si="51"/>
        <v>-13.498113207547169</v>
      </c>
      <c r="G1649" s="21">
        <v>4.2923999999999997E-2</v>
      </c>
      <c r="H1649" s="21">
        <v>-3.3378100000000001E-2</v>
      </c>
    </row>
    <row r="1650" spans="1:8" x14ac:dyDescent="0.15">
      <c r="A1650" s="21">
        <v>3.2187500000000001E-2</v>
      </c>
      <c r="B1650" s="21">
        <f t="shared" si="50"/>
        <v>-1.1480640000000001E-3</v>
      </c>
      <c r="D1650">
        <f t="shared" si="51"/>
        <v>-0.60673899371069173</v>
      </c>
      <c r="G1650" s="21">
        <v>1.92943E-3</v>
      </c>
      <c r="H1650" s="21">
        <v>-1.1480640000000001E-3</v>
      </c>
    </row>
    <row r="1651" spans="1:8" x14ac:dyDescent="0.15">
      <c r="A1651" s="21">
        <v>3.2207029999999998E-2</v>
      </c>
      <c r="B1651" s="21">
        <f t="shared" si="50"/>
        <v>3.1171509999999999E-2</v>
      </c>
      <c r="D1651">
        <f t="shared" si="51"/>
        <v>12.344522012578613</v>
      </c>
      <c r="G1651" s="21">
        <v>-3.9255579999999998E-2</v>
      </c>
      <c r="H1651" s="21">
        <v>3.1171509999999999E-2</v>
      </c>
    </row>
    <row r="1652" spans="1:8" x14ac:dyDescent="0.15">
      <c r="A1652" s="21">
        <v>3.2226560000000001E-2</v>
      </c>
      <c r="B1652" s="21">
        <f t="shared" si="50"/>
        <v>6.1997259999999998E-2</v>
      </c>
      <c r="D1652">
        <f t="shared" si="51"/>
        <v>24.715254716981132</v>
      </c>
      <c r="G1652" s="21">
        <v>-7.8594510000000006E-2</v>
      </c>
      <c r="H1652" s="21">
        <v>6.1997259999999998E-2</v>
      </c>
    </row>
    <row r="1653" spans="1:8" x14ac:dyDescent="0.15">
      <c r="A1653" s="21">
        <v>3.2246089999999998E-2</v>
      </c>
      <c r="B1653" s="21">
        <f t="shared" si="50"/>
        <v>9.1200359999999994E-2</v>
      </c>
      <c r="D1653">
        <f t="shared" si="51"/>
        <v>36.42512578616352</v>
      </c>
      <c r="G1653" s="21">
        <v>-0.1158319</v>
      </c>
      <c r="H1653" s="21">
        <v>9.1200359999999994E-2</v>
      </c>
    </row>
    <row r="1654" spans="1:8" x14ac:dyDescent="0.15">
      <c r="A1654" s="21">
        <v>3.2265620000000002E-2</v>
      </c>
      <c r="B1654" s="21">
        <f t="shared" si="50"/>
        <v>0.11906700000000001</v>
      </c>
      <c r="D1654">
        <f t="shared" si="51"/>
        <v>47.684591194968554</v>
      </c>
      <c r="G1654" s="21">
        <v>-0.15163699999999999</v>
      </c>
      <c r="H1654" s="21">
        <v>0.11906700000000001</v>
      </c>
    </row>
    <row r="1655" spans="1:8" x14ac:dyDescent="0.15">
      <c r="A1655" s="21">
        <v>3.228516E-2</v>
      </c>
      <c r="B1655" s="21">
        <f t="shared" si="50"/>
        <v>0.14574000000000001</v>
      </c>
      <c r="D1655">
        <f t="shared" si="51"/>
        <v>58.456226415094335</v>
      </c>
      <c r="G1655" s="21">
        <v>-0.18589079999999999</v>
      </c>
      <c r="H1655" s="21">
        <v>0.14574000000000001</v>
      </c>
    </row>
    <row r="1656" spans="1:8" x14ac:dyDescent="0.15">
      <c r="A1656" s="21">
        <v>3.2304689999999997E-2</v>
      </c>
      <c r="B1656" s="21">
        <f t="shared" si="50"/>
        <v>0.17063239999999999</v>
      </c>
      <c r="D1656">
        <f t="shared" si="51"/>
        <v>68.415440251572321</v>
      </c>
      <c r="G1656" s="21">
        <v>-0.21756110000000001</v>
      </c>
      <c r="H1656" s="21">
        <v>0.17063239999999999</v>
      </c>
    </row>
    <row r="1657" spans="1:8" x14ac:dyDescent="0.15">
      <c r="A1657" s="21">
        <v>3.2324220000000001E-2</v>
      </c>
      <c r="B1657" s="21">
        <f t="shared" si="50"/>
        <v>0.19282969999999999</v>
      </c>
      <c r="D1657">
        <f t="shared" si="51"/>
        <v>77.387547169811313</v>
      </c>
      <c r="G1657" s="21">
        <v>-0.24609239999999999</v>
      </c>
      <c r="H1657" s="21">
        <v>0.19282969999999999</v>
      </c>
    </row>
    <row r="1658" spans="1:8" x14ac:dyDescent="0.15">
      <c r="A1658" s="21">
        <v>3.2343749999999998E-2</v>
      </c>
      <c r="B1658" s="21">
        <f t="shared" si="50"/>
        <v>0.2116516</v>
      </c>
      <c r="D1658">
        <f t="shared" si="51"/>
        <v>85.047452830188675</v>
      </c>
      <c r="G1658" s="21">
        <v>-0.27045089999999999</v>
      </c>
      <c r="H1658" s="21">
        <v>0.2116516</v>
      </c>
    </row>
    <row r="1659" spans="1:8" x14ac:dyDescent="0.15">
      <c r="A1659" s="21">
        <v>3.2363280000000001E-2</v>
      </c>
      <c r="B1659" s="21">
        <f t="shared" si="50"/>
        <v>0.2266396</v>
      </c>
      <c r="D1659">
        <f t="shared" si="51"/>
        <v>91.113962264150942</v>
      </c>
      <c r="G1659" s="21">
        <v>-0.28974240000000001</v>
      </c>
      <c r="H1659" s="21">
        <v>0.2266396</v>
      </c>
    </row>
    <row r="1660" spans="1:8" x14ac:dyDescent="0.15">
      <c r="A1660" s="21">
        <v>3.2382809999999998E-2</v>
      </c>
      <c r="B1660" s="21">
        <f t="shared" si="50"/>
        <v>0.2385562</v>
      </c>
      <c r="D1660">
        <f t="shared" si="51"/>
        <v>96.004088050314465</v>
      </c>
      <c r="G1660" s="21">
        <v>-0.30529299999999998</v>
      </c>
      <c r="H1660" s="21">
        <v>0.2385562</v>
      </c>
    </row>
    <row r="1661" spans="1:8" x14ac:dyDescent="0.15">
      <c r="A1661" s="21">
        <v>3.2402340000000002E-2</v>
      </c>
      <c r="B1661" s="21">
        <f t="shared" si="50"/>
        <v>0.2476419</v>
      </c>
      <c r="D1661">
        <f t="shared" si="51"/>
        <v>99.711698113207547</v>
      </c>
      <c r="G1661" s="21">
        <v>-0.31708320000000001</v>
      </c>
      <c r="H1661" s="21">
        <v>0.2476419</v>
      </c>
    </row>
    <row r="1662" spans="1:8" x14ac:dyDescent="0.15">
      <c r="A1662" s="21">
        <v>3.242188E-2</v>
      </c>
      <c r="B1662" s="21">
        <f t="shared" si="50"/>
        <v>0.25299630000000001</v>
      </c>
      <c r="D1662">
        <f t="shared" si="51"/>
        <v>101.85569182389936</v>
      </c>
      <c r="G1662" s="21">
        <v>-0.3239011</v>
      </c>
      <c r="H1662" s="21">
        <v>0.25299630000000001</v>
      </c>
    </row>
    <row r="1663" spans="1:8" x14ac:dyDescent="0.15">
      <c r="A1663" s="21">
        <v>3.2441409999999997E-2</v>
      </c>
      <c r="B1663" s="21">
        <f t="shared" si="50"/>
        <v>0.25479390000000002</v>
      </c>
      <c r="D1663">
        <f t="shared" si="51"/>
        <v>102.62572327044025</v>
      </c>
      <c r="G1663" s="21">
        <v>-0.32634980000000002</v>
      </c>
      <c r="H1663" s="21">
        <v>0.25479390000000002</v>
      </c>
    </row>
    <row r="1664" spans="1:8" x14ac:dyDescent="0.15">
      <c r="A1664" s="21">
        <v>3.2460940000000001E-2</v>
      </c>
      <c r="B1664" s="21">
        <f t="shared" si="50"/>
        <v>0.25271700000000002</v>
      </c>
      <c r="D1664">
        <f t="shared" si="51"/>
        <v>101.85792452830187</v>
      </c>
      <c r="G1664" s="21">
        <v>-0.32390819999999998</v>
      </c>
      <c r="H1664" s="21">
        <v>0.25271700000000002</v>
      </c>
    </row>
    <row r="1665" spans="1:8" x14ac:dyDescent="0.15">
      <c r="A1665" s="21">
        <v>3.2480469999999997E-2</v>
      </c>
      <c r="B1665" s="21">
        <f t="shared" si="50"/>
        <v>0.2461846</v>
      </c>
      <c r="D1665">
        <f t="shared" si="51"/>
        <v>99.248899371069172</v>
      </c>
      <c r="G1665" s="21">
        <v>-0.31561149999999999</v>
      </c>
      <c r="H1665" s="21">
        <v>0.2461846</v>
      </c>
    </row>
    <row r="1666" spans="1:8" x14ac:dyDescent="0.15">
      <c r="A1666" s="21">
        <v>3.2500000000000001E-2</v>
      </c>
      <c r="B1666" s="21">
        <f t="shared" ref="B1666:B1729" si="52">H1666</f>
        <v>0.23612929999999999</v>
      </c>
      <c r="D1666">
        <f t="shared" ref="D1666:D1729" si="53">G1666*-1000/3.18</f>
        <v>95.223710691823896</v>
      </c>
      <c r="G1666" s="21">
        <v>-0.30281140000000001</v>
      </c>
      <c r="H1666" s="21">
        <v>0.23612929999999999</v>
      </c>
    </row>
    <row r="1667" spans="1:8" x14ac:dyDescent="0.15">
      <c r="A1667" s="21">
        <v>3.2519529999999998E-2</v>
      </c>
      <c r="B1667" s="21">
        <f t="shared" si="52"/>
        <v>0.22265119999999999</v>
      </c>
      <c r="D1667">
        <f t="shared" si="53"/>
        <v>89.835660377358494</v>
      </c>
      <c r="G1667" s="21">
        <v>-0.28567740000000003</v>
      </c>
      <c r="H1667" s="21">
        <v>0.22265119999999999</v>
      </c>
    </row>
    <row r="1668" spans="1:8" x14ac:dyDescent="0.15">
      <c r="A1668" s="21">
        <v>3.2539060000000002E-2</v>
      </c>
      <c r="B1668" s="21">
        <f t="shared" si="52"/>
        <v>0.20617160000000001</v>
      </c>
      <c r="D1668">
        <f t="shared" si="53"/>
        <v>83.271509433962265</v>
      </c>
      <c r="G1668" s="21">
        <v>-0.26480340000000002</v>
      </c>
      <c r="H1668" s="21">
        <v>0.20617160000000001</v>
      </c>
    </row>
    <row r="1669" spans="1:8" x14ac:dyDescent="0.15">
      <c r="A1669" s="21">
        <v>3.2558589999999998E-2</v>
      </c>
      <c r="B1669" s="21">
        <f t="shared" si="52"/>
        <v>0.1875192</v>
      </c>
      <c r="D1669">
        <f t="shared" si="53"/>
        <v>75.899559748427677</v>
      </c>
      <c r="G1669" s="21">
        <v>-0.24136060000000001</v>
      </c>
      <c r="H1669" s="21">
        <v>0.1875192</v>
      </c>
    </row>
    <row r="1670" spans="1:8" x14ac:dyDescent="0.15">
      <c r="A1670" s="21">
        <v>3.2578120000000002E-2</v>
      </c>
      <c r="B1670" s="21">
        <f t="shared" si="52"/>
        <v>0.1646707</v>
      </c>
      <c r="D1670">
        <f t="shared" si="53"/>
        <v>66.718616352201252</v>
      </c>
      <c r="G1670" s="21">
        <v>-0.2121652</v>
      </c>
      <c r="H1670" s="21">
        <v>0.1646707</v>
      </c>
    </row>
    <row r="1671" spans="1:8" x14ac:dyDescent="0.15">
      <c r="A1671" s="21">
        <v>3.2597660000000001E-2</v>
      </c>
      <c r="B1671" s="21">
        <f t="shared" si="52"/>
        <v>0.1381126</v>
      </c>
      <c r="D1671">
        <f t="shared" si="53"/>
        <v>56.139937106918232</v>
      </c>
      <c r="G1671" s="21">
        <v>-0.17852499999999999</v>
      </c>
      <c r="H1671" s="21">
        <v>0.1381126</v>
      </c>
    </row>
    <row r="1672" spans="1:8" x14ac:dyDescent="0.15">
      <c r="A1672" s="21">
        <v>3.2617189999999997E-2</v>
      </c>
      <c r="B1672" s="21">
        <f t="shared" si="52"/>
        <v>0.11075160000000001</v>
      </c>
      <c r="D1672">
        <f t="shared" si="53"/>
        <v>45.405911949685539</v>
      </c>
      <c r="G1672" s="21">
        <v>-0.14439080000000001</v>
      </c>
      <c r="H1672" s="21">
        <v>0.11075160000000001</v>
      </c>
    </row>
    <row r="1673" spans="1:8" x14ac:dyDescent="0.15">
      <c r="A1673" s="21">
        <v>3.2636720000000001E-2</v>
      </c>
      <c r="B1673" s="21">
        <f t="shared" si="52"/>
        <v>8.1693790000000002E-2</v>
      </c>
      <c r="D1673">
        <f t="shared" si="53"/>
        <v>33.755534591194966</v>
      </c>
      <c r="G1673" s="21">
        <v>-0.1073426</v>
      </c>
      <c r="H1673" s="21">
        <v>8.1693790000000002E-2</v>
      </c>
    </row>
    <row r="1674" spans="1:8" x14ac:dyDescent="0.15">
      <c r="A1674" s="21">
        <v>3.2656249999999998E-2</v>
      </c>
      <c r="B1674" s="21">
        <f t="shared" si="52"/>
        <v>5.1340610000000002E-2</v>
      </c>
      <c r="D1674">
        <f t="shared" si="53"/>
        <v>21.594745283018867</v>
      </c>
      <c r="G1674" s="21">
        <v>-6.8671289999999996E-2</v>
      </c>
      <c r="H1674" s="21">
        <v>5.1340610000000002E-2</v>
      </c>
    </row>
    <row r="1675" spans="1:8" x14ac:dyDescent="0.15">
      <c r="A1675" s="21">
        <v>3.2675780000000001E-2</v>
      </c>
      <c r="B1675" s="21">
        <f t="shared" si="52"/>
        <v>2.1005070000000001E-2</v>
      </c>
      <c r="D1675">
        <f t="shared" si="53"/>
        <v>9.5021132075471684</v>
      </c>
      <c r="G1675" s="21">
        <v>-3.0216719999999999E-2</v>
      </c>
      <c r="H1675" s="21">
        <v>2.1005070000000001E-2</v>
      </c>
    </row>
    <row r="1676" spans="1:8" x14ac:dyDescent="0.15">
      <c r="A1676" s="21">
        <v>3.2695309999999998E-2</v>
      </c>
      <c r="B1676" s="21">
        <f t="shared" si="52"/>
        <v>-1.074247E-2</v>
      </c>
      <c r="D1676">
        <f t="shared" si="53"/>
        <v>-3.2268113207547167</v>
      </c>
      <c r="G1676" s="21">
        <v>1.0261259999999999E-2</v>
      </c>
      <c r="H1676" s="21">
        <v>-1.074247E-2</v>
      </c>
    </row>
    <row r="1677" spans="1:8" x14ac:dyDescent="0.15">
      <c r="A1677" s="21">
        <v>3.2714840000000002E-2</v>
      </c>
      <c r="B1677" s="21">
        <f t="shared" si="52"/>
        <v>-4.274497E-2</v>
      </c>
      <c r="D1677">
        <f t="shared" si="53"/>
        <v>-15.975135220125786</v>
      </c>
      <c r="G1677" s="21">
        <v>5.0800930000000001E-2</v>
      </c>
      <c r="H1677" s="21">
        <v>-4.274497E-2</v>
      </c>
    </row>
    <row r="1678" spans="1:8" x14ac:dyDescent="0.15">
      <c r="A1678" s="21">
        <v>3.273438E-2</v>
      </c>
      <c r="B1678" s="21">
        <f t="shared" si="52"/>
        <v>-7.3125969999999998E-2</v>
      </c>
      <c r="D1678">
        <f t="shared" si="53"/>
        <v>-28.159518867924525</v>
      </c>
      <c r="G1678" s="21">
        <v>8.9547269999999998E-2</v>
      </c>
      <c r="H1678" s="21">
        <v>-7.3125969999999998E-2</v>
      </c>
    </row>
    <row r="1679" spans="1:8" x14ac:dyDescent="0.15">
      <c r="A1679" s="21">
        <v>3.2753909999999997E-2</v>
      </c>
      <c r="B1679" s="21">
        <f t="shared" si="52"/>
        <v>-0.1022102</v>
      </c>
      <c r="D1679">
        <f t="shared" si="53"/>
        <v>-39.827704402515721</v>
      </c>
      <c r="G1679" s="21">
        <v>0.12665209999999999</v>
      </c>
      <c r="H1679" s="21">
        <v>-0.1022102</v>
      </c>
    </row>
    <row r="1680" spans="1:8" x14ac:dyDescent="0.15">
      <c r="A1680" s="21">
        <v>3.2773440000000001E-2</v>
      </c>
      <c r="B1680" s="21">
        <f t="shared" si="52"/>
        <v>-0.1296466</v>
      </c>
      <c r="D1680">
        <f t="shared" si="53"/>
        <v>-50.816572327044021</v>
      </c>
      <c r="G1680" s="21">
        <v>0.16159670000000001</v>
      </c>
      <c r="H1680" s="21">
        <v>-0.1296466</v>
      </c>
    </row>
    <row r="1681" spans="1:8" x14ac:dyDescent="0.15">
      <c r="A1681" s="21">
        <v>3.2792969999999998E-2</v>
      </c>
      <c r="B1681" s="21">
        <f t="shared" si="52"/>
        <v>-0.15529390000000001</v>
      </c>
      <c r="D1681">
        <f t="shared" si="53"/>
        <v>-61.198018867924524</v>
      </c>
      <c r="G1681" s="21">
        <v>0.1946097</v>
      </c>
      <c r="H1681" s="21">
        <v>-0.15529390000000001</v>
      </c>
    </row>
    <row r="1682" spans="1:8" x14ac:dyDescent="0.15">
      <c r="A1682" s="21">
        <v>3.2812500000000001E-2</v>
      </c>
      <c r="B1682" s="21">
        <f t="shared" si="52"/>
        <v>-0.17896519999999999</v>
      </c>
      <c r="D1682">
        <f t="shared" si="53"/>
        <v>-70.712955974842757</v>
      </c>
      <c r="G1682" s="21">
        <v>0.22486719999999999</v>
      </c>
      <c r="H1682" s="21">
        <v>-0.17896519999999999</v>
      </c>
    </row>
    <row r="1683" spans="1:8" x14ac:dyDescent="0.15">
      <c r="A1683" s="21">
        <v>3.2832029999999998E-2</v>
      </c>
      <c r="B1683" s="21">
        <f t="shared" si="52"/>
        <v>-0.1995545</v>
      </c>
      <c r="D1683">
        <f t="shared" si="53"/>
        <v>-78.958522012578598</v>
      </c>
      <c r="G1683" s="21">
        <v>0.25108809999999998</v>
      </c>
      <c r="H1683" s="21">
        <v>-0.1995545</v>
      </c>
    </row>
    <row r="1684" spans="1:8" x14ac:dyDescent="0.15">
      <c r="A1684" s="21">
        <v>3.2851560000000002E-2</v>
      </c>
      <c r="B1684" s="21">
        <f t="shared" si="52"/>
        <v>-0.217195</v>
      </c>
      <c r="D1684">
        <f t="shared" si="53"/>
        <v>-86.130597484276734</v>
      </c>
      <c r="G1684" s="21">
        <v>0.27389530000000001</v>
      </c>
      <c r="H1684" s="21">
        <v>-0.217195</v>
      </c>
    </row>
    <row r="1685" spans="1:8" x14ac:dyDescent="0.15">
      <c r="A1685" s="21">
        <v>3.2871089999999999E-2</v>
      </c>
      <c r="B1685" s="21">
        <f t="shared" si="52"/>
        <v>-0.23174549999999999</v>
      </c>
      <c r="D1685">
        <f t="shared" si="53"/>
        <v>-92.015566037735852</v>
      </c>
      <c r="G1685" s="21">
        <v>0.29260950000000002</v>
      </c>
      <c r="H1685" s="21">
        <v>-0.23174549999999999</v>
      </c>
    </row>
    <row r="1686" spans="1:8" x14ac:dyDescent="0.15">
      <c r="A1686" s="21">
        <v>3.2890620000000002E-2</v>
      </c>
      <c r="B1686" s="21">
        <f t="shared" si="52"/>
        <v>-0.24232670000000001</v>
      </c>
      <c r="D1686">
        <f t="shared" si="53"/>
        <v>-96.270440251572339</v>
      </c>
      <c r="G1686" s="21">
        <v>0.30614000000000002</v>
      </c>
      <c r="H1686" s="21">
        <v>-0.24232670000000001</v>
      </c>
    </row>
    <row r="1687" spans="1:8" x14ac:dyDescent="0.15">
      <c r="A1687" s="21">
        <v>3.2910160000000001E-2</v>
      </c>
      <c r="B1687" s="21">
        <f t="shared" si="52"/>
        <v>-0.24968409999999999</v>
      </c>
      <c r="D1687">
        <f t="shared" si="53"/>
        <v>-99.38185534591193</v>
      </c>
      <c r="G1687" s="21">
        <v>0.31603429999999999</v>
      </c>
      <c r="H1687" s="21">
        <v>-0.24968409999999999</v>
      </c>
    </row>
    <row r="1688" spans="1:8" x14ac:dyDescent="0.15">
      <c r="A1688" s="21">
        <v>3.2929689999999998E-2</v>
      </c>
      <c r="B1688" s="21">
        <f t="shared" si="52"/>
        <v>-0.25357649999999998</v>
      </c>
      <c r="D1688">
        <f t="shared" si="53"/>
        <v>-101.05572327044025</v>
      </c>
      <c r="G1688" s="21">
        <v>0.32135720000000001</v>
      </c>
      <c r="H1688" s="21">
        <v>-0.25357649999999998</v>
      </c>
    </row>
    <row r="1689" spans="1:8" x14ac:dyDescent="0.15">
      <c r="A1689" s="21">
        <v>3.2949220000000001E-2</v>
      </c>
      <c r="B1689" s="21">
        <f t="shared" si="52"/>
        <v>-0.25333139999999998</v>
      </c>
      <c r="D1689">
        <f t="shared" si="53"/>
        <v>-101.02449685534592</v>
      </c>
      <c r="G1689" s="21">
        <v>0.32125789999999999</v>
      </c>
      <c r="H1689" s="21">
        <v>-0.25333139999999998</v>
      </c>
    </row>
    <row r="1690" spans="1:8" x14ac:dyDescent="0.15">
      <c r="A1690" s="21">
        <v>3.2968749999999998E-2</v>
      </c>
      <c r="B1690" s="21">
        <f t="shared" si="52"/>
        <v>-0.24959519999999999</v>
      </c>
      <c r="D1690">
        <f t="shared" si="53"/>
        <v>-99.60798742138364</v>
      </c>
      <c r="G1690" s="21">
        <v>0.31675340000000002</v>
      </c>
      <c r="H1690" s="21">
        <v>-0.24959519999999999</v>
      </c>
    </row>
    <row r="1691" spans="1:8" x14ac:dyDescent="0.15">
      <c r="A1691" s="21">
        <v>3.2988280000000002E-2</v>
      </c>
      <c r="B1691" s="21">
        <f t="shared" si="52"/>
        <v>-0.24180670000000001</v>
      </c>
      <c r="D1691">
        <f t="shared" si="53"/>
        <v>-96.507075471698116</v>
      </c>
      <c r="G1691" s="21">
        <v>0.30689250000000001</v>
      </c>
      <c r="H1691" s="21">
        <v>-0.24180670000000001</v>
      </c>
    </row>
    <row r="1692" spans="1:8" x14ac:dyDescent="0.15">
      <c r="A1692" s="21">
        <v>3.3007809999999999E-2</v>
      </c>
      <c r="B1692" s="21">
        <f t="shared" si="52"/>
        <v>-0.23023750000000001</v>
      </c>
      <c r="D1692">
        <f t="shared" si="53"/>
        <v>-92.056823899371068</v>
      </c>
      <c r="G1692" s="21">
        <v>0.29274070000000002</v>
      </c>
      <c r="H1692" s="21">
        <v>-0.23023750000000001</v>
      </c>
    </row>
    <row r="1693" spans="1:8" x14ac:dyDescent="0.15">
      <c r="A1693" s="21">
        <v>3.3027340000000002E-2</v>
      </c>
      <c r="B1693" s="21">
        <f t="shared" si="52"/>
        <v>-0.2157386</v>
      </c>
      <c r="D1693">
        <f t="shared" si="53"/>
        <v>-86.361949685534597</v>
      </c>
      <c r="G1693" s="21">
        <v>0.27463100000000001</v>
      </c>
      <c r="H1693" s="21">
        <v>-0.2157386</v>
      </c>
    </row>
    <row r="1694" spans="1:8" x14ac:dyDescent="0.15">
      <c r="A1694" s="21">
        <v>3.3046880000000001E-2</v>
      </c>
      <c r="B1694" s="21">
        <f t="shared" si="52"/>
        <v>-0.19791909999999999</v>
      </c>
      <c r="D1694">
        <f t="shared" si="53"/>
        <v>-79.167610062893075</v>
      </c>
      <c r="G1694" s="21">
        <v>0.251753</v>
      </c>
      <c r="H1694" s="21">
        <v>-0.19791909999999999</v>
      </c>
    </row>
    <row r="1695" spans="1:8" x14ac:dyDescent="0.15">
      <c r="A1695" s="21">
        <v>3.3066409999999997E-2</v>
      </c>
      <c r="B1695" s="21">
        <f t="shared" si="52"/>
        <v>-0.17716970000000001</v>
      </c>
      <c r="D1695">
        <f t="shared" si="53"/>
        <v>-70.93503144654089</v>
      </c>
      <c r="G1695" s="21">
        <v>0.22557340000000001</v>
      </c>
      <c r="H1695" s="21">
        <v>-0.17716970000000001</v>
      </c>
    </row>
    <row r="1696" spans="1:8" x14ac:dyDescent="0.15">
      <c r="A1696" s="21">
        <v>3.3085940000000001E-2</v>
      </c>
      <c r="B1696" s="21">
        <f t="shared" si="52"/>
        <v>-0.1533389</v>
      </c>
      <c r="D1696">
        <f t="shared" si="53"/>
        <v>-61.488993710691823</v>
      </c>
      <c r="G1696" s="21">
        <v>0.19553499999999999</v>
      </c>
      <c r="H1696" s="21">
        <v>-0.1533389</v>
      </c>
    </row>
    <row r="1697" spans="1:8" x14ac:dyDescent="0.15">
      <c r="A1697" s="21">
        <v>3.3105469999999998E-2</v>
      </c>
      <c r="B1697" s="21">
        <f t="shared" si="52"/>
        <v>-0.12656120000000001</v>
      </c>
      <c r="D1697">
        <f t="shared" si="53"/>
        <v>-50.838836477987414</v>
      </c>
      <c r="G1697" s="21">
        <v>0.16166749999999999</v>
      </c>
      <c r="H1697" s="21">
        <v>-0.12656120000000001</v>
      </c>
    </row>
    <row r="1698" spans="1:8" x14ac:dyDescent="0.15">
      <c r="A1698" s="21">
        <v>3.3125000000000002E-2</v>
      </c>
      <c r="B1698" s="21">
        <f t="shared" si="52"/>
        <v>-9.8538929999999997E-2</v>
      </c>
      <c r="D1698">
        <f t="shared" si="53"/>
        <v>-39.669811320754718</v>
      </c>
      <c r="G1698" s="21">
        <v>0.12615000000000001</v>
      </c>
      <c r="H1698" s="21">
        <v>-9.8538929999999997E-2</v>
      </c>
    </row>
    <row r="1699" spans="1:8" x14ac:dyDescent="0.15">
      <c r="A1699" s="21">
        <v>3.3144529999999998E-2</v>
      </c>
      <c r="B1699" s="21">
        <f t="shared" si="52"/>
        <v>-6.9339310000000001E-2</v>
      </c>
      <c r="D1699">
        <f t="shared" si="53"/>
        <v>-27.931232704402515</v>
      </c>
      <c r="G1699" s="21">
        <v>8.8821319999999995E-2</v>
      </c>
      <c r="H1699" s="21">
        <v>-6.9339310000000001E-2</v>
      </c>
    </row>
    <row r="1700" spans="1:8" x14ac:dyDescent="0.15">
      <c r="A1700" s="21">
        <v>3.3164060000000002E-2</v>
      </c>
      <c r="B1700" s="21">
        <f t="shared" si="52"/>
        <v>-3.8486579999999999E-2</v>
      </c>
      <c r="D1700">
        <f t="shared" si="53"/>
        <v>-15.566798742138364</v>
      </c>
      <c r="G1700" s="21">
        <v>4.9502419999999998E-2</v>
      </c>
      <c r="H1700" s="21">
        <v>-3.8486579999999999E-2</v>
      </c>
    </row>
    <row r="1701" spans="1:8" x14ac:dyDescent="0.15">
      <c r="A1701" s="21">
        <v>3.3183589999999999E-2</v>
      </c>
      <c r="B1701" s="21">
        <f t="shared" si="52"/>
        <v>-7.0339299999999999E-3</v>
      </c>
      <c r="D1701">
        <f t="shared" si="53"/>
        <v>-3.044351257861635</v>
      </c>
      <c r="G1701" s="21">
        <v>9.681037E-3</v>
      </c>
      <c r="H1701" s="21">
        <v>-7.0339299999999999E-3</v>
      </c>
    </row>
    <row r="1702" spans="1:8" x14ac:dyDescent="0.15">
      <c r="A1702" s="21">
        <v>3.3203120000000003E-2</v>
      </c>
      <c r="B1702" s="21">
        <f t="shared" si="52"/>
        <v>2.458167E-2</v>
      </c>
      <c r="D1702">
        <f t="shared" si="53"/>
        <v>9.6099056603773576</v>
      </c>
      <c r="G1702" s="21">
        <v>-3.05595E-2</v>
      </c>
      <c r="H1702" s="21">
        <v>2.458167E-2</v>
      </c>
    </row>
    <row r="1703" spans="1:8" x14ac:dyDescent="0.15">
      <c r="A1703" s="21">
        <v>3.3222660000000001E-2</v>
      </c>
      <c r="B1703" s="21">
        <f t="shared" si="52"/>
        <v>5.5873359999999997E-2</v>
      </c>
      <c r="D1703">
        <f t="shared" si="53"/>
        <v>22.231808176100625</v>
      </c>
      <c r="G1703" s="21">
        <v>-7.069715E-2</v>
      </c>
      <c r="H1703" s="21">
        <v>5.5873359999999997E-2</v>
      </c>
    </row>
    <row r="1704" spans="1:8" x14ac:dyDescent="0.15">
      <c r="A1704" s="21">
        <v>3.3242189999999998E-2</v>
      </c>
      <c r="B1704" s="21">
        <f t="shared" si="52"/>
        <v>8.5600200000000001E-2</v>
      </c>
      <c r="D1704">
        <f t="shared" si="53"/>
        <v>34.180062893081761</v>
      </c>
      <c r="G1704" s="21">
        <v>-0.1086926</v>
      </c>
      <c r="H1704" s="21">
        <v>8.5600200000000001E-2</v>
      </c>
    </row>
    <row r="1705" spans="1:8" x14ac:dyDescent="0.15">
      <c r="A1705" s="21">
        <v>3.3261720000000002E-2</v>
      </c>
      <c r="B1705" s="21">
        <f t="shared" si="52"/>
        <v>0.1138479</v>
      </c>
      <c r="D1705">
        <f t="shared" si="53"/>
        <v>45.518553459119495</v>
      </c>
      <c r="G1705" s="21">
        <v>-0.14474899999999999</v>
      </c>
      <c r="H1705" s="21">
        <v>0.1138479</v>
      </c>
    </row>
    <row r="1706" spans="1:8" x14ac:dyDescent="0.15">
      <c r="A1706" s="21">
        <v>3.3281249999999998E-2</v>
      </c>
      <c r="B1706" s="21">
        <f t="shared" si="52"/>
        <v>0.1408972</v>
      </c>
      <c r="D1706">
        <f t="shared" si="53"/>
        <v>56.467138364779863</v>
      </c>
      <c r="G1706" s="21">
        <v>-0.17956549999999999</v>
      </c>
      <c r="H1706" s="21">
        <v>0.1408972</v>
      </c>
    </row>
    <row r="1707" spans="1:8" x14ac:dyDescent="0.15">
      <c r="A1707" s="21">
        <v>3.3300780000000002E-2</v>
      </c>
      <c r="B1707" s="21">
        <f t="shared" si="52"/>
        <v>0.1661995</v>
      </c>
      <c r="D1707">
        <f t="shared" si="53"/>
        <v>66.667106918239</v>
      </c>
      <c r="G1707" s="21">
        <v>-0.21200140000000001</v>
      </c>
      <c r="H1707" s="21">
        <v>0.1661995</v>
      </c>
    </row>
    <row r="1708" spans="1:8" x14ac:dyDescent="0.15">
      <c r="A1708" s="21">
        <v>3.3320309999999999E-2</v>
      </c>
      <c r="B1708" s="21">
        <f t="shared" si="52"/>
        <v>0.18874189999999999</v>
      </c>
      <c r="D1708">
        <f t="shared" si="53"/>
        <v>75.735503144654089</v>
      </c>
      <c r="G1708" s="21">
        <v>-0.24083889999999999</v>
      </c>
      <c r="H1708" s="21">
        <v>0.18874189999999999</v>
      </c>
    </row>
    <row r="1709" spans="1:8" x14ac:dyDescent="0.15">
      <c r="A1709" s="21">
        <v>3.3339840000000003E-2</v>
      </c>
      <c r="B1709" s="21">
        <f t="shared" si="52"/>
        <v>0.20806150000000001</v>
      </c>
      <c r="D1709">
        <f t="shared" si="53"/>
        <v>83.560251572327047</v>
      </c>
      <c r="G1709" s="21">
        <v>-0.2657216</v>
      </c>
      <c r="H1709" s="21">
        <v>0.20806150000000001</v>
      </c>
    </row>
    <row r="1710" spans="1:8" x14ac:dyDescent="0.15">
      <c r="A1710" s="21">
        <v>3.3359380000000001E-2</v>
      </c>
      <c r="B1710" s="21">
        <f t="shared" si="52"/>
        <v>0.22416449999999999</v>
      </c>
      <c r="D1710">
        <f t="shared" si="53"/>
        <v>90.033301886792458</v>
      </c>
      <c r="G1710" s="21">
        <v>-0.2863059</v>
      </c>
      <c r="H1710" s="21">
        <v>0.22416449999999999</v>
      </c>
    </row>
    <row r="1711" spans="1:8" x14ac:dyDescent="0.15">
      <c r="A1711" s="21">
        <v>3.3378909999999998E-2</v>
      </c>
      <c r="B1711" s="21">
        <f t="shared" si="52"/>
        <v>0.23644870000000001</v>
      </c>
      <c r="D1711">
        <f t="shared" si="53"/>
        <v>95.055157232704417</v>
      </c>
      <c r="G1711" s="21">
        <v>-0.30227540000000003</v>
      </c>
      <c r="H1711" s="21">
        <v>0.23644870000000001</v>
      </c>
    </row>
    <row r="1712" spans="1:8" x14ac:dyDescent="0.15">
      <c r="A1712" s="21">
        <v>3.3398440000000001E-2</v>
      </c>
      <c r="B1712" s="21">
        <f t="shared" si="52"/>
        <v>0.24599940000000001</v>
      </c>
      <c r="D1712">
        <f t="shared" si="53"/>
        <v>99.034528301886795</v>
      </c>
      <c r="G1712" s="21">
        <v>-0.31492979999999998</v>
      </c>
      <c r="H1712" s="21">
        <v>0.24599940000000001</v>
      </c>
    </row>
    <row r="1713" spans="1:8" x14ac:dyDescent="0.15">
      <c r="A1713" s="21">
        <v>3.3417969999999998E-2</v>
      </c>
      <c r="B1713" s="21">
        <f t="shared" si="52"/>
        <v>0.25274920000000001</v>
      </c>
      <c r="D1713">
        <f t="shared" si="53"/>
        <v>101.77361635220124</v>
      </c>
      <c r="G1713" s="21">
        <v>-0.32364009999999999</v>
      </c>
      <c r="H1713" s="21">
        <v>0.25274920000000001</v>
      </c>
    </row>
    <row r="1714" spans="1:8" x14ac:dyDescent="0.15">
      <c r="A1714" s="21">
        <v>3.3437500000000002E-2</v>
      </c>
      <c r="B1714" s="21">
        <f t="shared" si="52"/>
        <v>0.25480350000000002</v>
      </c>
      <c r="D1714">
        <f t="shared" si="53"/>
        <v>102.61358490566039</v>
      </c>
      <c r="G1714" s="21">
        <v>-0.32631120000000002</v>
      </c>
      <c r="H1714" s="21">
        <v>0.25480350000000002</v>
      </c>
    </row>
    <row r="1715" spans="1:8" x14ac:dyDescent="0.15">
      <c r="A1715" s="21">
        <v>3.3457029999999999E-2</v>
      </c>
      <c r="B1715" s="21">
        <f t="shared" si="52"/>
        <v>0.25308520000000001</v>
      </c>
      <c r="D1715">
        <f t="shared" si="53"/>
        <v>101.93097484276728</v>
      </c>
      <c r="G1715" s="21">
        <v>-0.3241405</v>
      </c>
      <c r="H1715" s="21">
        <v>0.25308520000000001</v>
      </c>
    </row>
    <row r="1716" spans="1:8" x14ac:dyDescent="0.15">
      <c r="A1716" s="21">
        <v>3.3476560000000002E-2</v>
      </c>
      <c r="B1716" s="21">
        <f t="shared" si="52"/>
        <v>0.24772230000000001</v>
      </c>
      <c r="D1716">
        <f t="shared" si="53"/>
        <v>99.856006289308169</v>
      </c>
      <c r="G1716" s="21">
        <v>-0.31754209999999999</v>
      </c>
      <c r="H1716" s="21">
        <v>0.24772230000000001</v>
      </c>
    </row>
    <row r="1717" spans="1:8" x14ac:dyDescent="0.15">
      <c r="A1717" s="21">
        <v>3.3496089999999999E-2</v>
      </c>
      <c r="B1717" s="21">
        <f t="shared" si="52"/>
        <v>0.23817720000000001</v>
      </c>
      <c r="D1717">
        <f t="shared" si="53"/>
        <v>96.11666666666666</v>
      </c>
      <c r="G1717" s="21">
        <v>-0.30565100000000001</v>
      </c>
      <c r="H1717" s="21">
        <v>0.23817720000000001</v>
      </c>
    </row>
    <row r="1718" spans="1:8" x14ac:dyDescent="0.15">
      <c r="A1718" s="21">
        <v>3.3515629999999998E-2</v>
      </c>
      <c r="B1718" s="21">
        <f t="shared" si="52"/>
        <v>0.2257624</v>
      </c>
      <c r="D1718">
        <f t="shared" si="53"/>
        <v>91.116792452830182</v>
      </c>
      <c r="G1718" s="21">
        <v>-0.28975139999999999</v>
      </c>
      <c r="H1718" s="21">
        <v>0.2257624</v>
      </c>
    </row>
    <row r="1719" spans="1:8" x14ac:dyDescent="0.15">
      <c r="A1719" s="21">
        <v>3.3535160000000001E-2</v>
      </c>
      <c r="B1719" s="21">
        <f t="shared" si="52"/>
        <v>0.2101905</v>
      </c>
      <c r="D1719">
        <f t="shared" si="53"/>
        <v>84.929056603773574</v>
      </c>
      <c r="G1719" s="21">
        <v>-0.27007439999999999</v>
      </c>
      <c r="H1719" s="21">
        <v>0.2101905</v>
      </c>
    </row>
    <row r="1720" spans="1:8" x14ac:dyDescent="0.15">
      <c r="A1720" s="21">
        <v>3.3554689999999998E-2</v>
      </c>
      <c r="B1720" s="21">
        <f t="shared" si="52"/>
        <v>0.19097310000000001</v>
      </c>
      <c r="D1720">
        <f t="shared" si="53"/>
        <v>77.29437106918239</v>
      </c>
      <c r="G1720" s="21">
        <v>-0.24579609999999999</v>
      </c>
      <c r="H1720" s="21">
        <v>0.19097310000000001</v>
      </c>
    </row>
    <row r="1721" spans="1:8" x14ac:dyDescent="0.15">
      <c r="A1721" s="21">
        <v>3.3574220000000002E-2</v>
      </c>
      <c r="B1721" s="21">
        <f t="shared" si="52"/>
        <v>0.1686242</v>
      </c>
      <c r="D1721">
        <f t="shared" si="53"/>
        <v>68.34415094339623</v>
      </c>
      <c r="G1721" s="21">
        <v>-0.21733440000000001</v>
      </c>
      <c r="H1721" s="21">
        <v>0.1686242</v>
      </c>
    </row>
    <row r="1722" spans="1:8" x14ac:dyDescent="0.15">
      <c r="A1722" s="21">
        <v>3.3593749999999999E-2</v>
      </c>
      <c r="B1722" s="21">
        <f t="shared" si="52"/>
        <v>0.1432928</v>
      </c>
      <c r="D1722">
        <f t="shared" si="53"/>
        <v>58.282138364779868</v>
      </c>
      <c r="G1722" s="21">
        <v>-0.18533720000000001</v>
      </c>
      <c r="H1722" s="21">
        <v>0.1432928</v>
      </c>
    </row>
    <row r="1723" spans="1:8" x14ac:dyDescent="0.15">
      <c r="A1723" s="21">
        <v>3.3613280000000002E-2</v>
      </c>
      <c r="B1723" s="21">
        <f t="shared" si="52"/>
        <v>0.11622589999999999</v>
      </c>
      <c r="D1723">
        <f t="shared" si="53"/>
        <v>47.553176100628924</v>
      </c>
      <c r="G1723" s="21">
        <v>-0.1512191</v>
      </c>
      <c r="H1723" s="21">
        <v>0.11622589999999999</v>
      </c>
    </row>
    <row r="1724" spans="1:8" x14ac:dyDescent="0.15">
      <c r="A1724" s="21">
        <v>3.3632809999999999E-2</v>
      </c>
      <c r="B1724" s="21">
        <f t="shared" si="52"/>
        <v>8.7919209999999998E-2</v>
      </c>
      <c r="D1724">
        <f t="shared" si="53"/>
        <v>36.222201257861634</v>
      </c>
      <c r="G1724" s="21">
        <v>-0.1151866</v>
      </c>
      <c r="H1724" s="21">
        <v>8.7919209999999998E-2</v>
      </c>
    </row>
    <row r="1725" spans="1:8" x14ac:dyDescent="0.15">
      <c r="A1725" s="21">
        <v>3.3652340000000003E-2</v>
      </c>
      <c r="B1725" s="21">
        <f t="shared" si="52"/>
        <v>5.769842E-2</v>
      </c>
      <c r="D1725">
        <f t="shared" si="53"/>
        <v>24.12096226415094</v>
      </c>
      <c r="G1725" s="21">
        <v>-7.6704659999999994E-2</v>
      </c>
      <c r="H1725" s="21">
        <v>5.769842E-2</v>
      </c>
    </row>
    <row r="1726" spans="1:8" x14ac:dyDescent="0.15">
      <c r="A1726" s="21">
        <v>3.3671880000000001E-2</v>
      </c>
      <c r="B1726" s="21">
        <f t="shared" si="52"/>
        <v>2.656012E-2</v>
      </c>
      <c r="D1726">
        <f t="shared" si="53"/>
        <v>11.726437106918238</v>
      </c>
      <c r="G1726" s="21">
        <v>-3.7290070000000002E-2</v>
      </c>
      <c r="H1726" s="21">
        <v>2.656012E-2</v>
      </c>
    </row>
    <row r="1727" spans="1:8" x14ac:dyDescent="0.15">
      <c r="A1727" s="21">
        <v>3.3691409999999998E-2</v>
      </c>
      <c r="B1727" s="21">
        <f t="shared" si="52"/>
        <v>-5.1319110000000003E-3</v>
      </c>
      <c r="D1727">
        <f t="shared" si="53"/>
        <v>-0.95652767295597474</v>
      </c>
      <c r="G1727" s="21">
        <v>3.0417579999999999E-3</v>
      </c>
      <c r="H1727" s="21">
        <v>-5.1319110000000003E-3</v>
      </c>
    </row>
    <row r="1728" spans="1:8" x14ac:dyDescent="0.15">
      <c r="A1728" s="21">
        <v>3.3710940000000002E-2</v>
      </c>
      <c r="B1728" s="21">
        <f t="shared" si="52"/>
        <v>-3.6920120000000001E-2</v>
      </c>
      <c r="D1728">
        <f t="shared" si="53"/>
        <v>-13.684292452830189</v>
      </c>
      <c r="G1728" s="21">
        <v>4.3516050000000001E-2</v>
      </c>
      <c r="H1728" s="21">
        <v>-3.6920120000000001E-2</v>
      </c>
    </row>
    <row r="1729" spans="1:8" x14ac:dyDescent="0.15">
      <c r="A1729" s="21">
        <v>3.3730469999999999E-2</v>
      </c>
      <c r="B1729" s="21">
        <f t="shared" si="52"/>
        <v>-6.7267049999999995E-2</v>
      </c>
      <c r="D1729">
        <f t="shared" si="53"/>
        <v>-25.805679245283017</v>
      </c>
      <c r="G1729" s="21">
        <v>8.2062060000000006E-2</v>
      </c>
      <c r="H1729" s="21">
        <v>-6.7267049999999995E-2</v>
      </c>
    </row>
    <row r="1730" spans="1:8" x14ac:dyDescent="0.15">
      <c r="A1730" s="21">
        <v>3.3750000000000002E-2</v>
      </c>
      <c r="B1730" s="21">
        <f t="shared" ref="B1730:B1793" si="54">H1730</f>
        <v>-9.6797359999999999E-2</v>
      </c>
      <c r="D1730">
        <f t="shared" ref="D1730:D1793" si="55">G1730*-1000/3.18</f>
        <v>-37.665094339622641</v>
      </c>
      <c r="G1730" s="21">
        <v>0.11977500000000001</v>
      </c>
      <c r="H1730" s="21">
        <v>-9.6797359999999999E-2</v>
      </c>
    </row>
    <row r="1731" spans="1:8" x14ac:dyDescent="0.15">
      <c r="A1731" s="21">
        <v>3.3769529999999999E-2</v>
      </c>
      <c r="B1731" s="21">
        <f t="shared" si="54"/>
        <v>-0.12488</v>
      </c>
      <c r="D1731">
        <f t="shared" si="55"/>
        <v>-48.883899371069177</v>
      </c>
      <c r="G1731" s="21">
        <v>0.1554508</v>
      </c>
      <c r="H1731" s="21">
        <v>-0.12488</v>
      </c>
    </row>
    <row r="1732" spans="1:8" x14ac:dyDescent="0.15">
      <c r="A1732" s="21">
        <v>3.3789060000000003E-2</v>
      </c>
      <c r="B1732" s="21">
        <f t="shared" si="54"/>
        <v>-0.15039939999999999</v>
      </c>
      <c r="D1732">
        <f t="shared" si="55"/>
        <v>-59.122861635220126</v>
      </c>
      <c r="G1732" s="21">
        <v>0.1880107</v>
      </c>
      <c r="H1732" s="21">
        <v>-0.15039939999999999</v>
      </c>
    </row>
    <row r="1733" spans="1:8" x14ac:dyDescent="0.15">
      <c r="A1733" s="21">
        <v>3.3808589999999999E-2</v>
      </c>
      <c r="B1733" s="21">
        <f t="shared" si="54"/>
        <v>-0.17480599999999999</v>
      </c>
      <c r="D1733">
        <f t="shared" si="55"/>
        <v>-69.021949685534594</v>
      </c>
      <c r="G1733" s="21">
        <v>0.21948980000000001</v>
      </c>
      <c r="H1733" s="21">
        <v>-0.17480599999999999</v>
      </c>
    </row>
    <row r="1734" spans="1:8" x14ac:dyDescent="0.15">
      <c r="A1734" s="21">
        <v>3.3828129999999998E-2</v>
      </c>
      <c r="B1734" s="21">
        <f t="shared" si="54"/>
        <v>-0.19670770000000001</v>
      </c>
      <c r="D1734">
        <f t="shared" si="55"/>
        <v>-77.789308176100633</v>
      </c>
      <c r="G1734" s="21">
        <v>0.24737000000000001</v>
      </c>
      <c r="H1734" s="21">
        <v>-0.19670770000000001</v>
      </c>
    </row>
    <row r="1735" spans="1:8" x14ac:dyDescent="0.15">
      <c r="A1735" s="21">
        <v>3.3847660000000002E-2</v>
      </c>
      <c r="B1735" s="21">
        <f t="shared" si="54"/>
        <v>-0.2145889</v>
      </c>
      <c r="D1735">
        <f t="shared" si="55"/>
        <v>-84.922861635220116</v>
      </c>
      <c r="G1735" s="21">
        <v>0.27005469999999998</v>
      </c>
      <c r="H1735" s="21">
        <v>-0.2145889</v>
      </c>
    </row>
    <row r="1736" spans="1:8" x14ac:dyDescent="0.15">
      <c r="A1736" s="21">
        <v>3.3867189999999998E-2</v>
      </c>
      <c r="B1736" s="21">
        <f t="shared" si="54"/>
        <v>-0.22965579999999999</v>
      </c>
      <c r="D1736">
        <f t="shared" si="55"/>
        <v>-91.11767295597484</v>
      </c>
      <c r="G1736" s="21">
        <v>0.28975420000000002</v>
      </c>
      <c r="H1736" s="21">
        <v>-0.22965579999999999</v>
      </c>
    </row>
    <row r="1737" spans="1:8" x14ac:dyDescent="0.15">
      <c r="A1737" s="21">
        <v>3.3886720000000002E-2</v>
      </c>
      <c r="B1737" s="21">
        <f t="shared" si="54"/>
        <v>-0.2408901</v>
      </c>
      <c r="D1737">
        <f t="shared" si="55"/>
        <v>-95.797735849056593</v>
      </c>
      <c r="G1737" s="21">
        <v>0.30463679999999999</v>
      </c>
      <c r="H1737" s="21">
        <v>-0.2408901</v>
      </c>
    </row>
    <row r="1738" spans="1:8" x14ac:dyDescent="0.15">
      <c r="A1738" s="21">
        <v>3.3906249999999999E-2</v>
      </c>
      <c r="B1738" s="21">
        <f t="shared" si="54"/>
        <v>-0.2483802</v>
      </c>
      <c r="D1738">
        <f t="shared" si="55"/>
        <v>-98.820660377358493</v>
      </c>
      <c r="G1738" s="21">
        <v>0.31424970000000002</v>
      </c>
      <c r="H1738" s="21">
        <v>-0.2483802</v>
      </c>
    </row>
    <row r="1739" spans="1:8" x14ac:dyDescent="0.15">
      <c r="A1739" s="21">
        <v>3.3925780000000003E-2</v>
      </c>
      <c r="B1739" s="21">
        <f t="shared" si="54"/>
        <v>-0.25358700000000001</v>
      </c>
      <c r="D1739">
        <f t="shared" si="55"/>
        <v>-100.98550314465409</v>
      </c>
      <c r="G1739" s="21">
        <v>0.32113390000000003</v>
      </c>
      <c r="H1739" s="21">
        <v>-0.25358700000000001</v>
      </c>
    </row>
    <row r="1740" spans="1:8" x14ac:dyDescent="0.15">
      <c r="A1740" s="21">
        <v>3.3945309999999999E-2</v>
      </c>
      <c r="B1740" s="21">
        <f t="shared" si="54"/>
        <v>-0.25463819999999998</v>
      </c>
      <c r="D1740">
        <f t="shared" si="55"/>
        <v>-101.51182389937105</v>
      </c>
      <c r="G1740" s="21">
        <v>0.32280759999999997</v>
      </c>
      <c r="H1740" s="21">
        <v>-0.25463819999999998</v>
      </c>
    </row>
    <row r="1741" spans="1:8" x14ac:dyDescent="0.15">
      <c r="A1741" s="21">
        <v>3.3964840000000003E-2</v>
      </c>
      <c r="B1741" s="21">
        <f t="shared" si="54"/>
        <v>-0.25103799999999998</v>
      </c>
      <c r="D1741">
        <f t="shared" si="55"/>
        <v>-100.12075471698112</v>
      </c>
      <c r="G1741" s="21">
        <v>0.318384</v>
      </c>
      <c r="H1741" s="21">
        <v>-0.25103799999999998</v>
      </c>
    </row>
    <row r="1742" spans="1:8" x14ac:dyDescent="0.15">
      <c r="A1742" s="21">
        <v>3.3984380000000002E-2</v>
      </c>
      <c r="B1742" s="21">
        <f t="shared" si="54"/>
        <v>-0.24401800000000001</v>
      </c>
      <c r="D1742">
        <f t="shared" si="55"/>
        <v>-97.423899371069169</v>
      </c>
      <c r="G1742" s="21">
        <v>0.30980799999999997</v>
      </c>
      <c r="H1742" s="21">
        <v>-0.24401800000000001</v>
      </c>
    </row>
    <row r="1743" spans="1:8" x14ac:dyDescent="0.15">
      <c r="A1743" s="21">
        <v>3.4003909999999998E-2</v>
      </c>
      <c r="B1743" s="21">
        <f t="shared" si="54"/>
        <v>-0.23302510000000001</v>
      </c>
      <c r="D1743">
        <f t="shared" si="55"/>
        <v>-93.08415094339621</v>
      </c>
      <c r="G1743" s="21">
        <v>0.29600759999999998</v>
      </c>
      <c r="H1743" s="21">
        <v>-0.23302510000000001</v>
      </c>
    </row>
    <row r="1744" spans="1:8" x14ac:dyDescent="0.15">
      <c r="A1744" s="21">
        <v>3.4023440000000002E-2</v>
      </c>
      <c r="B1744" s="21">
        <f t="shared" si="54"/>
        <v>-0.2190174</v>
      </c>
      <c r="D1744">
        <f t="shared" si="55"/>
        <v>-87.556415094339613</v>
      </c>
      <c r="G1744" s="21">
        <v>0.27842939999999999</v>
      </c>
      <c r="H1744" s="21">
        <v>-0.2190174</v>
      </c>
    </row>
    <row r="1745" spans="1:8" x14ac:dyDescent="0.15">
      <c r="A1745" s="21">
        <v>3.4042969999999999E-2</v>
      </c>
      <c r="B1745" s="21">
        <f t="shared" si="54"/>
        <v>-0.20264840000000001</v>
      </c>
      <c r="D1745">
        <f t="shared" si="55"/>
        <v>-81.066069182389938</v>
      </c>
      <c r="G1745" s="21">
        <v>0.25779010000000002</v>
      </c>
      <c r="H1745" s="21">
        <v>-0.20264840000000001</v>
      </c>
    </row>
    <row r="1746" spans="1:8" x14ac:dyDescent="0.15">
      <c r="A1746" s="21">
        <v>3.4062500000000002E-2</v>
      </c>
      <c r="B1746" s="21">
        <f t="shared" si="54"/>
        <v>-0.18221979999999999</v>
      </c>
      <c r="D1746">
        <f t="shared" si="55"/>
        <v>-72.858113207547163</v>
      </c>
      <c r="G1746" s="21">
        <v>0.2316888</v>
      </c>
      <c r="H1746" s="21">
        <v>-0.18221979999999999</v>
      </c>
    </row>
    <row r="1747" spans="1:8" x14ac:dyDescent="0.15">
      <c r="A1747" s="21">
        <v>3.4082029999999999E-2</v>
      </c>
      <c r="B1747" s="21">
        <f t="shared" si="54"/>
        <v>-0.15839990000000001</v>
      </c>
      <c r="D1747">
        <f t="shared" si="55"/>
        <v>-63.435188679245286</v>
      </c>
      <c r="G1747" s="21">
        <v>0.20172390000000001</v>
      </c>
      <c r="H1747" s="21">
        <v>-0.15839990000000001</v>
      </c>
    </row>
    <row r="1748" spans="1:8" x14ac:dyDescent="0.15">
      <c r="A1748" s="21">
        <v>3.4101560000000003E-2</v>
      </c>
      <c r="B1748" s="21">
        <f t="shared" si="54"/>
        <v>-0.1325344</v>
      </c>
      <c r="D1748">
        <f t="shared" si="55"/>
        <v>-53.191603773584909</v>
      </c>
      <c r="G1748" s="21">
        <v>0.1691493</v>
      </c>
      <c r="H1748" s="21">
        <v>-0.1325344</v>
      </c>
    </row>
    <row r="1749" spans="1:8" x14ac:dyDescent="0.15">
      <c r="A1749" s="21">
        <v>3.412109E-2</v>
      </c>
      <c r="B1749" s="21">
        <f t="shared" si="54"/>
        <v>-0.1045789</v>
      </c>
      <c r="D1749">
        <f t="shared" si="55"/>
        <v>-41.980440251572325</v>
      </c>
      <c r="G1749" s="21">
        <v>0.1334978</v>
      </c>
      <c r="H1749" s="21">
        <v>-0.1045789</v>
      </c>
    </row>
    <row r="1750" spans="1:8" x14ac:dyDescent="0.15">
      <c r="A1750" s="21">
        <v>3.4140629999999998E-2</v>
      </c>
      <c r="B1750" s="21">
        <f t="shared" si="54"/>
        <v>-7.5483990000000001E-2</v>
      </c>
      <c r="D1750">
        <f t="shared" si="55"/>
        <v>-30.347493710691825</v>
      </c>
      <c r="G1750" s="21">
        <v>9.6505030000000006E-2</v>
      </c>
      <c r="H1750" s="21">
        <v>-7.5483990000000001E-2</v>
      </c>
    </row>
    <row r="1751" spans="1:8" x14ac:dyDescent="0.15">
      <c r="A1751" s="21">
        <v>3.4160160000000002E-2</v>
      </c>
      <c r="B1751" s="21">
        <f t="shared" si="54"/>
        <v>-4.5294630000000002E-2</v>
      </c>
      <c r="D1751">
        <f t="shared" si="55"/>
        <v>-18.27493396226415</v>
      </c>
      <c r="G1751" s="21">
        <v>5.8114289999999999E-2</v>
      </c>
      <c r="H1751" s="21">
        <v>-4.5294630000000002E-2</v>
      </c>
    </row>
    <row r="1752" spans="1:8" x14ac:dyDescent="0.15">
      <c r="A1752" s="21">
        <v>3.4179689999999999E-2</v>
      </c>
      <c r="B1752" s="21">
        <f t="shared" si="54"/>
        <v>-1.361508E-2</v>
      </c>
      <c r="D1752">
        <f t="shared" si="55"/>
        <v>-5.578415094339622</v>
      </c>
      <c r="G1752" s="21">
        <v>1.7739359999999999E-2</v>
      </c>
      <c r="H1752" s="21">
        <v>-1.361508E-2</v>
      </c>
    </row>
    <row r="1753" spans="1:8" x14ac:dyDescent="0.15">
      <c r="A1753" s="21">
        <v>3.4199220000000002E-2</v>
      </c>
      <c r="B1753" s="21">
        <f t="shared" si="54"/>
        <v>1.8328379999999998E-2</v>
      </c>
      <c r="D1753">
        <f t="shared" si="55"/>
        <v>7.1824213836477986</v>
      </c>
      <c r="G1753" s="21">
        <v>-2.2840099999999999E-2</v>
      </c>
      <c r="H1753" s="21">
        <v>1.8328379999999998E-2</v>
      </c>
    </row>
    <row r="1754" spans="1:8" x14ac:dyDescent="0.15">
      <c r="A1754" s="21">
        <v>3.4218749999999999E-2</v>
      </c>
      <c r="B1754" s="21">
        <f t="shared" si="54"/>
        <v>4.9330260000000001E-2</v>
      </c>
      <c r="D1754">
        <f t="shared" si="55"/>
        <v>19.580789308176101</v>
      </c>
      <c r="G1754" s="21">
        <v>-6.2266910000000002E-2</v>
      </c>
      <c r="H1754" s="21">
        <v>4.9330260000000001E-2</v>
      </c>
    </row>
    <row r="1755" spans="1:8" x14ac:dyDescent="0.15">
      <c r="A1755" s="21">
        <v>3.4238280000000003E-2</v>
      </c>
      <c r="B1755" s="21">
        <f t="shared" si="54"/>
        <v>7.9250310000000004E-2</v>
      </c>
      <c r="D1755">
        <f t="shared" si="55"/>
        <v>31.649371069182386</v>
      </c>
      <c r="G1755" s="21">
        <v>-0.100645</v>
      </c>
      <c r="H1755" s="21">
        <v>7.9250310000000004E-2</v>
      </c>
    </row>
    <row r="1756" spans="1:8" x14ac:dyDescent="0.15">
      <c r="A1756" s="21">
        <v>3.425781E-2</v>
      </c>
      <c r="B1756" s="21">
        <f t="shared" si="54"/>
        <v>0.1082805</v>
      </c>
      <c r="D1756">
        <f t="shared" si="55"/>
        <v>43.341037735849056</v>
      </c>
      <c r="G1756" s="21">
        <v>-0.13782449999999999</v>
      </c>
      <c r="H1756" s="21">
        <v>0.1082805</v>
      </c>
    </row>
    <row r="1757" spans="1:8" x14ac:dyDescent="0.15">
      <c r="A1757" s="21">
        <v>3.4277340000000003E-2</v>
      </c>
      <c r="B1757" s="21">
        <f t="shared" si="54"/>
        <v>0.13562360000000001</v>
      </c>
      <c r="D1757">
        <f t="shared" si="55"/>
        <v>54.285660377358489</v>
      </c>
      <c r="G1757" s="21">
        <v>-0.17262839999999999</v>
      </c>
      <c r="H1757" s="21">
        <v>0.13562360000000001</v>
      </c>
    </row>
    <row r="1758" spans="1:8" x14ac:dyDescent="0.15">
      <c r="A1758" s="21">
        <v>3.429687E-2</v>
      </c>
      <c r="B1758" s="21">
        <f t="shared" si="54"/>
        <v>0.16099359999999999</v>
      </c>
      <c r="D1758">
        <f t="shared" si="55"/>
        <v>64.552861635220125</v>
      </c>
      <c r="G1758" s="21">
        <v>-0.20527809999999999</v>
      </c>
      <c r="H1758" s="21">
        <v>0.16099359999999999</v>
      </c>
    </row>
    <row r="1759" spans="1:8" x14ac:dyDescent="0.15">
      <c r="A1759" s="21">
        <v>3.4316409999999999E-2</v>
      </c>
      <c r="B1759" s="21">
        <f t="shared" si="54"/>
        <v>0.1843822</v>
      </c>
      <c r="D1759">
        <f t="shared" si="55"/>
        <v>74.066729559748424</v>
      </c>
      <c r="G1759" s="21">
        <v>-0.2355322</v>
      </c>
      <c r="H1759" s="21">
        <v>0.1843822</v>
      </c>
    </row>
    <row r="1760" spans="1:8" x14ac:dyDescent="0.15">
      <c r="A1760" s="21">
        <v>3.4335940000000002E-2</v>
      </c>
      <c r="B1760" s="21">
        <f t="shared" si="54"/>
        <v>0.2044039</v>
      </c>
      <c r="D1760">
        <f t="shared" si="55"/>
        <v>82.098584905660374</v>
      </c>
      <c r="G1760" s="21">
        <v>-0.26107350000000001</v>
      </c>
      <c r="H1760" s="21">
        <v>0.2044039</v>
      </c>
    </row>
    <row r="1761" spans="1:8" x14ac:dyDescent="0.15">
      <c r="A1761" s="21">
        <v>3.4355469999999999E-2</v>
      </c>
      <c r="B1761" s="21">
        <f t="shared" si="54"/>
        <v>0.22093589999999999</v>
      </c>
      <c r="D1761">
        <f t="shared" si="55"/>
        <v>88.743899371069176</v>
      </c>
      <c r="G1761" s="21">
        <v>-0.2822056</v>
      </c>
      <c r="H1761" s="21">
        <v>0.22093589999999999</v>
      </c>
    </row>
    <row r="1762" spans="1:8" x14ac:dyDescent="0.15">
      <c r="A1762" s="21">
        <v>3.4375000000000003E-2</v>
      </c>
      <c r="B1762" s="21">
        <f t="shared" si="54"/>
        <v>0.2344773</v>
      </c>
      <c r="D1762">
        <f t="shared" si="55"/>
        <v>94.328930817610058</v>
      </c>
      <c r="G1762" s="21">
        <v>-0.29996600000000001</v>
      </c>
      <c r="H1762" s="21">
        <v>0.2344773</v>
      </c>
    </row>
    <row r="1763" spans="1:8" x14ac:dyDescent="0.15">
      <c r="A1763" s="21">
        <v>3.439453E-2</v>
      </c>
      <c r="B1763" s="21">
        <f t="shared" si="54"/>
        <v>0.24463869999999999</v>
      </c>
      <c r="D1763">
        <f t="shared" si="55"/>
        <v>98.507735849056587</v>
      </c>
      <c r="G1763" s="21">
        <v>-0.31325459999999999</v>
      </c>
      <c r="H1763" s="21">
        <v>0.24463869999999999</v>
      </c>
    </row>
    <row r="1764" spans="1:8" x14ac:dyDescent="0.15">
      <c r="A1764" s="21">
        <v>3.4414060000000003E-2</v>
      </c>
      <c r="B1764" s="21">
        <f t="shared" si="54"/>
        <v>0.25140839999999998</v>
      </c>
      <c r="D1764">
        <f t="shared" si="55"/>
        <v>101.24176100628931</v>
      </c>
      <c r="G1764" s="21">
        <v>-0.32194879999999998</v>
      </c>
      <c r="H1764" s="21">
        <v>0.25140839999999998</v>
      </c>
    </row>
    <row r="1765" spans="1:8" x14ac:dyDescent="0.15">
      <c r="A1765" s="21">
        <v>3.443359E-2</v>
      </c>
      <c r="B1765" s="21">
        <f t="shared" si="54"/>
        <v>0.25460640000000001</v>
      </c>
      <c r="D1765">
        <f t="shared" si="55"/>
        <v>102.57657232704403</v>
      </c>
      <c r="G1765" s="21">
        <v>-0.32619350000000003</v>
      </c>
      <c r="H1765" s="21">
        <v>0.25460640000000001</v>
      </c>
    </row>
    <row r="1766" spans="1:8" x14ac:dyDescent="0.15">
      <c r="A1766" s="21">
        <v>3.4453129999999998E-2</v>
      </c>
      <c r="B1766" s="21">
        <f t="shared" si="54"/>
        <v>0.25388889999999997</v>
      </c>
      <c r="D1766">
        <f t="shared" si="55"/>
        <v>102.2933647798742</v>
      </c>
      <c r="G1766" s="21">
        <v>-0.3252929</v>
      </c>
      <c r="H1766" s="21">
        <v>0.25388889999999997</v>
      </c>
    </row>
    <row r="1767" spans="1:8" x14ac:dyDescent="0.15">
      <c r="A1767" s="21">
        <v>3.4472660000000002E-2</v>
      </c>
      <c r="B1767" s="21">
        <f t="shared" si="54"/>
        <v>0.2490783</v>
      </c>
      <c r="D1767">
        <f t="shared" si="55"/>
        <v>100.40279874213836</v>
      </c>
      <c r="G1767" s="21">
        <v>-0.31928089999999998</v>
      </c>
      <c r="H1767" s="21">
        <v>0.2490783</v>
      </c>
    </row>
    <row r="1768" spans="1:8" x14ac:dyDescent="0.15">
      <c r="A1768" s="21">
        <v>3.4492189999999999E-2</v>
      </c>
      <c r="B1768" s="21">
        <f t="shared" si="54"/>
        <v>0.24040159999999999</v>
      </c>
      <c r="D1768">
        <f t="shared" si="55"/>
        <v>96.972264150943374</v>
      </c>
      <c r="G1768" s="21">
        <v>-0.30837179999999997</v>
      </c>
      <c r="H1768" s="21">
        <v>0.24040159999999999</v>
      </c>
    </row>
    <row r="1769" spans="1:8" x14ac:dyDescent="0.15">
      <c r="A1769" s="21">
        <v>3.4511720000000003E-2</v>
      </c>
      <c r="B1769" s="21">
        <f t="shared" si="54"/>
        <v>0.228459</v>
      </c>
      <c r="D1769">
        <f t="shared" si="55"/>
        <v>92.210125786163516</v>
      </c>
      <c r="G1769" s="21">
        <v>-0.29322819999999999</v>
      </c>
      <c r="H1769" s="21">
        <v>0.228459</v>
      </c>
    </row>
    <row r="1770" spans="1:8" x14ac:dyDescent="0.15">
      <c r="A1770" s="21">
        <v>3.4531249999999999E-2</v>
      </c>
      <c r="B1770" s="21">
        <f t="shared" si="54"/>
        <v>0.2133303</v>
      </c>
      <c r="D1770">
        <f t="shared" si="55"/>
        <v>86.252169811320755</v>
      </c>
      <c r="G1770" s="21">
        <v>-0.27428190000000002</v>
      </c>
      <c r="H1770" s="21">
        <v>0.2133303</v>
      </c>
    </row>
    <row r="1771" spans="1:8" x14ac:dyDescent="0.15">
      <c r="A1771" s="21">
        <v>3.4550780000000003E-2</v>
      </c>
      <c r="B1771" s="21">
        <f t="shared" si="54"/>
        <v>0.19503380000000001</v>
      </c>
      <c r="D1771">
        <f t="shared" si="55"/>
        <v>78.920691823899375</v>
      </c>
      <c r="G1771" s="21">
        <v>-0.25096780000000002</v>
      </c>
      <c r="H1771" s="21">
        <v>0.19503380000000001</v>
      </c>
    </row>
    <row r="1772" spans="1:8" x14ac:dyDescent="0.15">
      <c r="A1772" s="21">
        <v>3.457031E-2</v>
      </c>
      <c r="B1772" s="21">
        <f t="shared" si="54"/>
        <v>0.1734221</v>
      </c>
      <c r="D1772">
        <f t="shared" si="55"/>
        <v>70.226855345911943</v>
      </c>
      <c r="G1772" s="21">
        <v>-0.2233214</v>
      </c>
      <c r="H1772" s="21">
        <v>0.1734221</v>
      </c>
    </row>
    <row r="1773" spans="1:8" x14ac:dyDescent="0.15">
      <c r="A1773" s="21">
        <v>3.4589839999999997E-2</v>
      </c>
      <c r="B1773" s="21">
        <f t="shared" si="54"/>
        <v>0.14862110000000001</v>
      </c>
      <c r="D1773">
        <f t="shared" si="55"/>
        <v>60.431194968553456</v>
      </c>
      <c r="G1773" s="21">
        <v>-0.19217119999999999</v>
      </c>
      <c r="H1773" s="21">
        <v>0.14862110000000001</v>
      </c>
    </row>
    <row r="1774" spans="1:8" x14ac:dyDescent="0.15">
      <c r="A1774" s="21">
        <v>3.460937E-2</v>
      </c>
      <c r="B1774" s="21">
        <f t="shared" si="54"/>
        <v>0.12185650000000001</v>
      </c>
      <c r="D1774">
        <f t="shared" si="55"/>
        <v>49.83163522012579</v>
      </c>
      <c r="G1774" s="21">
        <v>-0.15846460000000001</v>
      </c>
      <c r="H1774" s="21">
        <v>0.12185650000000001</v>
      </c>
    </row>
    <row r="1775" spans="1:8" x14ac:dyDescent="0.15">
      <c r="A1775" s="21">
        <v>3.4628909999999999E-2</v>
      </c>
      <c r="B1775" s="21">
        <f t="shared" si="54"/>
        <v>9.3664360000000002E-2</v>
      </c>
      <c r="D1775">
        <f t="shared" si="55"/>
        <v>38.550849056603774</v>
      </c>
      <c r="G1775" s="21">
        <v>-0.1225917</v>
      </c>
      <c r="H1775" s="21">
        <v>9.3664360000000002E-2</v>
      </c>
    </row>
    <row r="1776" spans="1:8" x14ac:dyDescent="0.15">
      <c r="A1776" s="21">
        <v>3.4648440000000003E-2</v>
      </c>
      <c r="B1776" s="21">
        <f t="shared" si="54"/>
        <v>6.3753489999999996E-2</v>
      </c>
      <c r="D1776">
        <f t="shared" si="55"/>
        <v>26.608761006289306</v>
      </c>
      <c r="G1776" s="21">
        <v>-8.4615860000000001E-2</v>
      </c>
      <c r="H1776" s="21">
        <v>6.3753489999999996E-2</v>
      </c>
    </row>
    <row r="1777" spans="1:8" x14ac:dyDescent="0.15">
      <c r="A1777" s="21">
        <v>3.4667969999999999E-2</v>
      </c>
      <c r="B1777" s="21">
        <f t="shared" si="54"/>
        <v>3.2733999999999999E-2</v>
      </c>
      <c r="D1777">
        <f t="shared" si="55"/>
        <v>14.229616352201257</v>
      </c>
      <c r="G1777" s="21">
        <v>-4.5250180000000001E-2</v>
      </c>
      <c r="H1777" s="21">
        <v>3.2733999999999999E-2</v>
      </c>
    </row>
    <row r="1778" spans="1:8" x14ac:dyDescent="0.15">
      <c r="A1778" s="21">
        <v>3.4687500000000003E-2</v>
      </c>
      <c r="B1778" s="21">
        <f t="shared" si="54"/>
        <v>1.4182140000000001E-3</v>
      </c>
      <c r="D1778">
        <f t="shared" si="55"/>
        <v>1.7423235849056604</v>
      </c>
      <c r="G1778" s="21">
        <v>-5.5405890000000003E-3</v>
      </c>
      <c r="H1778" s="21">
        <v>1.4182140000000001E-3</v>
      </c>
    </row>
    <row r="1779" spans="1:8" x14ac:dyDescent="0.15">
      <c r="A1779" s="21">
        <v>3.470703E-2</v>
      </c>
      <c r="B1779" s="21">
        <f t="shared" si="54"/>
        <v>-3.015965E-2</v>
      </c>
      <c r="D1779">
        <f t="shared" si="55"/>
        <v>-10.878927672955973</v>
      </c>
      <c r="G1779" s="21">
        <v>3.4594989999999999E-2</v>
      </c>
      <c r="H1779" s="21">
        <v>-3.015965E-2</v>
      </c>
    </row>
    <row r="1780" spans="1:8" x14ac:dyDescent="0.15">
      <c r="A1780" s="21">
        <v>3.4726559999999997E-2</v>
      </c>
      <c r="B1780" s="21">
        <f t="shared" si="54"/>
        <v>-6.1336630000000003E-2</v>
      </c>
      <c r="D1780">
        <f t="shared" si="55"/>
        <v>-23.397226415094341</v>
      </c>
      <c r="G1780" s="21">
        <v>7.4403179999999999E-2</v>
      </c>
      <c r="H1780" s="21">
        <v>-6.1336630000000003E-2</v>
      </c>
    </row>
    <row r="1781" spans="1:8" x14ac:dyDescent="0.15">
      <c r="A1781" s="21">
        <v>3.474609E-2</v>
      </c>
      <c r="B1781" s="21">
        <f t="shared" si="54"/>
        <v>-9.089477E-2</v>
      </c>
      <c r="D1781">
        <f t="shared" si="55"/>
        <v>-35.170220125786166</v>
      </c>
      <c r="G1781" s="21">
        <v>0.1118413</v>
      </c>
      <c r="H1781" s="21">
        <v>-9.089477E-2</v>
      </c>
    </row>
    <row r="1782" spans="1:8" x14ac:dyDescent="0.15">
      <c r="A1782" s="21">
        <v>3.4765629999999999E-2</v>
      </c>
      <c r="B1782" s="21">
        <f t="shared" si="54"/>
        <v>-0.1190358</v>
      </c>
      <c r="D1782">
        <f t="shared" si="55"/>
        <v>-46.502830188679248</v>
      </c>
      <c r="G1782" s="21">
        <v>0.14787900000000001</v>
      </c>
      <c r="H1782" s="21">
        <v>-0.1190358</v>
      </c>
    </row>
    <row r="1783" spans="1:8" x14ac:dyDescent="0.15">
      <c r="A1783" s="21">
        <v>3.4785160000000002E-2</v>
      </c>
      <c r="B1783" s="21">
        <f t="shared" si="54"/>
        <v>-0.1458856</v>
      </c>
      <c r="D1783">
        <f t="shared" si="55"/>
        <v>-57.395377358490563</v>
      </c>
      <c r="G1783" s="21">
        <v>0.18251729999999999</v>
      </c>
      <c r="H1783" s="21">
        <v>-0.1458856</v>
      </c>
    </row>
    <row r="1784" spans="1:8" x14ac:dyDescent="0.15">
      <c r="A1784" s="21">
        <v>3.4804689999999999E-2</v>
      </c>
      <c r="B1784" s="21">
        <f t="shared" si="54"/>
        <v>-0.17034260000000001</v>
      </c>
      <c r="D1784">
        <f t="shared" si="55"/>
        <v>-67.145911949685527</v>
      </c>
      <c r="G1784" s="21">
        <v>0.21352399999999999</v>
      </c>
      <c r="H1784" s="21">
        <v>-0.17034260000000001</v>
      </c>
    </row>
    <row r="1785" spans="1:8" x14ac:dyDescent="0.15">
      <c r="A1785" s="21">
        <v>3.4824220000000003E-2</v>
      </c>
      <c r="B1785" s="21">
        <f t="shared" si="54"/>
        <v>-0.19219459999999999</v>
      </c>
      <c r="D1785">
        <f t="shared" si="55"/>
        <v>-75.946477987421375</v>
      </c>
      <c r="G1785" s="21">
        <v>0.2415098</v>
      </c>
      <c r="H1785" s="21">
        <v>-0.19219459999999999</v>
      </c>
    </row>
    <row r="1786" spans="1:8" x14ac:dyDescent="0.15">
      <c r="A1786" s="21">
        <v>3.484375E-2</v>
      </c>
      <c r="B1786" s="21">
        <f t="shared" si="54"/>
        <v>-0.21119889999999999</v>
      </c>
      <c r="D1786">
        <f t="shared" si="55"/>
        <v>-83.66801886792453</v>
      </c>
      <c r="G1786" s="21">
        <v>0.26606429999999998</v>
      </c>
      <c r="H1786" s="21">
        <v>-0.21119889999999999</v>
      </c>
    </row>
    <row r="1787" spans="1:8" x14ac:dyDescent="0.15">
      <c r="A1787" s="21">
        <v>3.4863280000000003E-2</v>
      </c>
      <c r="B1787" s="21">
        <f t="shared" si="54"/>
        <v>-0.22653690000000001</v>
      </c>
      <c r="D1787">
        <f t="shared" si="55"/>
        <v>-89.892106918239008</v>
      </c>
      <c r="G1787" s="21">
        <v>0.28585690000000002</v>
      </c>
      <c r="H1787" s="21">
        <v>-0.22653690000000001</v>
      </c>
    </row>
    <row r="1788" spans="1:8" x14ac:dyDescent="0.15">
      <c r="A1788" s="21">
        <v>3.488281E-2</v>
      </c>
      <c r="B1788" s="21">
        <f t="shared" si="54"/>
        <v>-0.23859830000000001</v>
      </c>
      <c r="D1788">
        <f t="shared" si="55"/>
        <v>-94.845503144654089</v>
      </c>
      <c r="G1788" s="21">
        <v>0.30160870000000001</v>
      </c>
      <c r="H1788" s="21">
        <v>-0.23859830000000001</v>
      </c>
    </row>
    <row r="1789" spans="1:8" x14ac:dyDescent="0.15">
      <c r="A1789" s="21">
        <v>3.4902339999999997E-2</v>
      </c>
      <c r="B1789" s="21">
        <f t="shared" si="54"/>
        <v>-0.24776380000000001</v>
      </c>
      <c r="D1789">
        <f t="shared" si="55"/>
        <v>-98.568710691823895</v>
      </c>
      <c r="G1789" s="21">
        <v>0.31344850000000002</v>
      </c>
      <c r="H1789" s="21">
        <v>-0.24776380000000001</v>
      </c>
    </row>
    <row r="1790" spans="1:8" x14ac:dyDescent="0.15">
      <c r="A1790" s="21">
        <v>3.4921870000000001E-2</v>
      </c>
      <c r="B1790" s="21">
        <f t="shared" si="54"/>
        <v>-0.25326280000000001</v>
      </c>
      <c r="D1790">
        <f t="shared" si="55"/>
        <v>-100.81789308176101</v>
      </c>
      <c r="G1790" s="21">
        <v>0.32060090000000002</v>
      </c>
      <c r="H1790" s="21">
        <v>-0.25326280000000001</v>
      </c>
    </row>
    <row r="1791" spans="1:8" x14ac:dyDescent="0.15">
      <c r="A1791" s="21">
        <v>3.4941409999999999E-2</v>
      </c>
      <c r="B1791" s="21">
        <f t="shared" si="54"/>
        <v>-0.25455860000000002</v>
      </c>
      <c r="D1791">
        <f t="shared" si="55"/>
        <v>-101.45889937106918</v>
      </c>
      <c r="G1791" s="21">
        <v>0.32263930000000002</v>
      </c>
      <c r="H1791" s="21">
        <v>-0.25455860000000002</v>
      </c>
    </row>
    <row r="1792" spans="1:8" x14ac:dyDescent="0.15">
      <c r="A1792" s="21">
        <v>3.4960940000000003E-2</v>
      </c>
      <c r="B1792" s="21">
        <f t="shared" si="54"/>
        <v>-0.25202380000000002</v>
      </c>
      <c r="D1792">
        <f t="shared" si="55"/>
        <v>-100.53408805031445</v>
      </c>
      <c r="G1792" s="21">
        <v>0.31969839999999999</v>
      </c>
      <c r="H1792" s="21">
        <v>-0.25202380000000002</v>
      </c>
    </row>
    <row r="1793" spans="1:8" x14ac:dyDescent="0.15">
      <c r="A1793" s="21">
        <v>3.498047E-2</v>
      </c>
      <c r="B1793" s="21">
        <f t="shared" si="54"/>
        <v>-0.24563090000000001</v>
      </c>
      <c r="D1793">
        <f t="shared" si="55"/>
        <v>-98.0240251572327</v>
      </c>
      <c r="G1793" s="21">
        <v>0.3117164</v>
      </c>
      <c r="H1793" s="21">
        <v>-0.24563090000000001</v>
      </c>
    </row>
    <row r="1794" spans="1:8" x14ac:dyDescent="0.15">
      <c r="A1794" s="21">
        <v>3.5000000000000003E-2</v>
      </c>
      <c r="B1794" s="21">
        <f t="shared" ref="B1794:B1857" si="56">H1794</f>
        <v>-0.23553299999999999</v>
      </c>
      <c r="D1794">
        <f t="shared" ref="D1794:D1857" si="57">G1794*-1000/3.18</f>
        <v>-94.093930817610058</v>
      </c>
      <c r="G1794" s="21">
        <v>0.2992187</v>
      </c>
      <c r="H1794" s="21">
        <v>-0.23553299999999999</v>
      </c>
    </row>
    <row r="1795" spans="1:8" x14ac:dyDescent="0.15">
      <c r="A1795" s="21">
        <v>3.501953E-2</v>
      </c>
      <c r="B1795" s="21">
        <f t="shared" si="56"/>
        <v>-0.22244929999999999</v>
      </c>
      <c r="D1795">
        <f t="shared" si="57"/>
        <v>-88.931949685534576</v>
      </c>
      <c r="G1795" s="21">
        <v>0.28280359999999999</v>
      </c>
      <c r="H1795" s="21">
        <v>-0.22244929999999999</v>
      </c>
    </row>
    <row r="1796" spans="1:8" x14ac:dyDescent="0.15">
      <c r="A1796" s="21">
        <v>3.5039059999999997E-2</v>
      </c>
      <c r="B1796" s="21">
        <f t="shared" si="56"/>
        <v>-0.2062898</v>
      </c>
      <c r="D1796">
        <f t="shared" si="57"/>
        <v>-82.497987421383655</v>
      </c>
      <c r="G1796" s="21">
        <v>0.26234360000000001</v>
      </c>
      <c r="H1796" s="21">
        <v>-0.2062898</v>
      </c>
    </row>
    <row r="1797" spans="1:8" x14ac:dyDescent="0.15">
      <c r="A1797" s="21">
        <v>3.5058590000000001E-2</v>
      </c>
      <c r="B1797" s="21">
        <f t="shared" si="56"/>
        <v>-0.1867414</v>
      </c>
      <c r="D1797">
        <f t="shared" si="57"/>
        <v>-74.763301886792448</v>
      </c>
      <c r="G1797" s="21">
        <v>0.23774729999999999</v>
      </c>
      <c r="H1797" s="21">
        <v>-0.1867414</v>
      </c>
    </row>
    <row r="1798" spans="1:8" x14ac:dyDescent="0.15">
      <c r="A1798" s="21">
        <v>3.5078129999999999E-2</v>
      </c>
      <c r="B1798" s="21">
        <f t="shared" si="56"/>
        <v>-0.16363659999999999</v>
      </c>
      <c r="D1798">
        <f t="shared" si="57"/>
        <v>-65.542264150943396</v>
      </c>
      <c r="G1798" s="21">
        <v>0.20842440000000001</v>
      </c>
      <c r="H1798" s="21">
        <v>-0.16363659999999999</v>
      </c>
    </row>
    <row r="1799" spans="1:8" x14ac:dyDescent="0.15">
      <c r="A1799" s="21">
        <v>3.5097660000000003E-2</v>
      </c>
      <c r="B1799" s="21">
        <f t="shared" si="56"/>
        <v>-0.13802349999999999</v>
      </c>
      <c r="D1799">
        <f t="shared" si="57"/>
        <v>-55.361257861635217</v>
      </c>
      <c r="G1799" s="21">
        <v>0.17604880000000001</v>
      </c>
      <c r="H1799" s="21">
        <v>-0.13802349999999999</v>
      </c>
    </row>
    <row r="1800" spans="1:8" x14ac:dyDescent="0.15">
      <c r="A1800" s="21">
        <v>3.511719E-2</v>
      </c>
      <c r="B1800" s="21">
        <f t="shared" si="56"/>
        <v>-0.1109637</v>
      </c>
      <c r="D1800">
        <f t="shared" si="57"/>
        <v>-44.57801886792452</v>
      </c>
      <c r="G1800" s="21">
        <v>0.1417581</v>
      </c>
      <c r="H1800" s="21">
        <v>-0.1109637</v>
      </c>
    </row>
    <row r="1801" spans="1:8" x14ac:dyDescent="0.15">
      <c r="A1801" s="21">
        <v>3.5136720000000003E-2</v>
      </c>
      <c r="B1801" s="21">
        <f t="shared" si="56"/>
        <v>-8.1969810000000004E-2</v>
      </c>
      <c r="D1801">
        <f t="shared" si="57"/>
        <v>-32.903238993710687</v>
      </c>
      <c r="G1801" s="21">
        <v>0.1046323</v>
      </c>
      <c r="H1801" s="21">
        <v>-8.1969810000000004E-2</v>
      </c>
    </row>
    <row r="1802" spans="1:8" x14ac:dyDescent="0.15">
      <c r="A1802" s="21">
        <v>3.515625E-2</v>
      </c>
      <c r="B1802" s="21">
        <f t="shared" si="56"/>
        <v>-5.1487100000000001E-2</v>
      </c>
      <c r="D1802">
        <f t="shared" si="57"/>
        <v>-20.759452830188678</v>
      </c>
      <c r="G1802" s="21">
        <v>6.601506E-2</v>
      </c>
      <c r="H1802" s="21">
        <v>-5.1487100000000001E-2</v>
      </c>
    </row>
    <row r="1803" spans="1:8" x14ac:dyDescent="0.15">
      <c r="A1803" s="21">
        <v>3.5175779999999997E-2</v>
      </c>
      <c r="B1803" s="21">
        <f t="shared" si="56"/>
        <v>-2.019659E-2</v>
      </c>
      <c r="D1803">
        <f t="shared" si="57"/>
        <v>-8.3043113207547172</v>
      </c>
      <c r="G1803" s="21">
        <v>2.6407710000000001E-2</v>
      </c>
      <c r="H1803" s="21">
        <v>-2.019659E-2</v>
      </c>
    </row>
    <row r="1804" spans="1:8" x14ac:dyDescent="0.15">
      <c r="A1804" s="21">
        <v>3.519531E-2</v>
      </c>
      <c r="B1804" s="21">
        <f t="shared" si="56"/>
        <v>1.1571379999999999E-2</v>
      </c>
      <c r="D1804">
        <f t="shared" si="57"/>
        <v>4.4402672955974847</v>
      </c>
      <c r="G1804" s="21">
        <v>-1.412005E-2</v>
      </c>
      <c r="H1804" s="21">
        <v>1.1571379999999999E-2</v>
      </c>
    </row>
    <row r="1805" spans="1:8" x14ac:dyDescent="0.15">
      <c r="A1805" s="21">
        <v>3.5214839999999997E-2</v>
      </c>
      <c r="B1805" s="21">
        <f t="shared" si="56"/>
        <v>4.2774989999999999E-2</v>
      </c>
      <c r="D1805">
        <f t="shared" si="57"/>
        <v>16.999682389937107</v>
      </c>
      <c r="G1805" s="21">
        <v>-5.4058990000000001E-2</v>
      </c>
      <c r="H1805" s="21">
        <v>4.2774989999999999E-2</v>
      </c>
    </row>
    <row r="1806" spans="1:8" x14ac:dyDescent="0.15">
      <c r="A1806" s="21">
        <v>3.5234370000000001E-2</v>
      </c>
      <c r="B1806" s="21">
        <f t="shared" si="56"/>
        <v>7.2913179999999994E-2</v>
      </c>
      <c r="D1806">
        <f t="shared" si="57"/>
        <v>29.120330188679244</v>
      </c>
      <c r="G1806" s="21">
        <v>-9.2602649999999995E-2</v>
      </c>
      <c r="H1806" s="21">
        <v>7.2913179999999994E-2</v>
      </c>
    </row>
    <row r="1807" spans="1:8" x14ac:dyDescent="0.15">
      <c r="A1807" s="21">
        <v>3.5253909999999999E-2</v>
      </c>
      <c r="B1807" s="21">
        <f t="shared" si="56"/>
        <v>0.1020756</v>
      </c>
      <c r="D1807">
        <f t="shared" si="57"/>
        <v>40.794528301886785</v>
      </c>
      <c r="G1807" s="21">
        <v>-0.1297266</v>
      </c>
      <c r="H1807" s="21">
        <v>0.1020756</v>
      </c>
    </row>
    <row r="1808" spans="1:8" x14ac:dyDescent="0.15">
      <c r="A1808" s="21">
        <v>3.5273440000000003E-2</v>
      </c>
      <c r="B1808" s="21">
        <f t="shared" si="56"/>
        <v>0.13002540000000001</v>
      </c>
      <c r="D1808">
        <f t="shared" si="57"/>
        <v>52.078553459119497</v>
      </c>
      <c r="G1808" s="21">
        <v>-0.1656098</v>
      </c>
      <c r="H1808" s="21">
        <v>0.13002540000000001</v>
      </c>
    </row>
    <row r="1809" spans="1:8" x14ac:dyDescent="0.15">
      <c r="A1809" s="21">
        <v>3.529297E-2</v>
      </c>
      <c r="B1809" s="21">
        <f t="shared" si="56"/>
        <v>0.15605250000000001</v>
      </c>
      <c r="D1809">
        <f t="shared" si="57"/>
        <v>62.5898427672956</v>
      </c>
      <c r="G1809" s="21">
        <v>-0.19903570000000001</v>
      </c>
      <c r="H1809" s="21">
        <v>0.15605250000000001</v>
      </c>
    </row>
    <row r="1810" spans="1:8" x14ac:dyDescent="0.15">
      <c r="A1810" s="21">
        <v>3.5312499999999997E-2</v>
      </c>
      <c r="B1810" s="21">
        <f t="shared" si="56"/>
        <v>0.17938999999999999</v>
      </c>
      <c r="D1810">
        <f t="shared" si="57"/>
        <v>71.967389937106915</v>
      </c>
      <c r="G1810" s="21">
        <v>-0.22885630000000001</v>
      </c>
      <c r="H1810" s="21">
        <v>0.17938999999999999</v>
      </c>
    </row>
    <row r="1811" spans="1:8" x14ac:dyDescent="0.15">
      <c r="A1811" s="21">
        <v>3.533203E-2</v>
      </c>
      <c r="B1811" s="21">
        <f t="shared" si="56"/>
        <v>0.19991410000000001</v>
      </c>
      <c r="D1811">
        <f t="shared" si="57"/>
        <v>80.293962264150935</v>
      </c>
      <c r="G1811" s="21">
        <v>-0.25533479999999997</v>
      </c>
      <c r="H1811" s="21">
        <v>0.19991410000000001</v>
      </c>
    </row>
    <row r="1812" spans="1:8" x14ac:dyDescent="0.15">
      <c r="A1812" s="21">
        <v>3.5351559999999997E-2</v>
      </c>
      <c r="B1812" s="21">
        <f t="shared" si="56"/>
        <v>0.2173641</v>
      </c>
      <c r="D1812">
        <f t="shared" si="57"/>
        <v>87.338176100628928</v>
      </c>
      <c r="G1812" s="21">
        <v>-0.27773540000000002</v>
      </c>
      <c r="H1812" s="21">
        <v>0.2173641</v>
      </c>
    </row>
    <row r="1813" spans="1:8" x14ac:dyDescent="0.15">
      <c r="A1813" s="21">
        <v>3.5371090000000001E-2</v>
      </c>
      <c r="B1813" s="21">
        <f t="shared" si="56"/>
        <v>0.2312671</v>
      </c>
      <c r="D1813">
        <f t="shared" si="57"/>
        <v>92.959559748427665</v>
      </c>
      <c r="G1813" s="21">
        <v>-0.29561140000000002</v>
      </c>
      <c r="H1813" s="21">
        <v>0.2312671</v>
      </c>
    </row>
    <row r="1814" spans="1:8" x14ac:dyDescent="0.15">
      <c r="A1814" s="21">
        <v>3.5390629999999999E-2</v>
      </c>
      <c r="B1814" s="21">
        <f t="shared" si="56"/>
        <v>0.2422937</v>
      </c>
      <c r="D1814">
        <f t="shared" si="57"/>
        <v>97.479591194968549</v>
      </c>
      <c r="G1814" s="21">
        <v>-0.30998510000000001</v>
      </c>
      <c r="H1814" s="21">
        <v>0.2422937</v>
      </c>
    </row>
    <row r="1815" spans="1:8" x14ac:dyDescent="0.15">
      <c r="A1815" s="21">
        <v>3.5410160000000003E-2</v>
      </c>
      <c r="B1815" s="21">
        <f t="shared" si="56"/>
        <v>0.2501256</v>
      </c>
      <c r="D1815">
        <f t="shared" si="57"/>
        <v>100.66663522012578</v>
      </c>
      <c r="G1815" s="21">
        <v>-0.32011990000000001</v>
      </c>
      <c r="H1815" s="21">
        <v>0.2501256</v>
      </c>
    </row>
    <row r="1816" spans="1:8" x14ac:dyDescent="0.15">
      <c r="A1816" s="21">
        <v>3.542969E-2</v>
      </c>
      <c r="B1816" s="21">
        <f t="shared" si="56"/>
        <v>0.25389400000000001</v>
      </c>
      <c r="D1816">
        <f t="shared" si="57"/>
        <v>102.22506289308177</v>
      </c>
      <c r="G1816" s="21">
        <v>-0.32507570000000002</v>
      </c>
      <c r="H1816" s="21">
        <v>0.25389400000000001</v>
      </c>
    </row>
    <row r="1817" spans="1:8" x14ac:dyDescent="0.15">
      <c r="A1817" s="21">
        <v>3.5449219999999997E-2</v>
      </c>
      <c r="B1817" s="21">
        <f t="shared" si="56"/>
        <v>0.25389859999999997</v>
      </c>
      <c r="D1817">
        <f t="shared" si="57"/>
        <v>102.25522012578617</v>
      </c>
      <c r="G1817" s="21">
        <v>-0.32517160000000001</v>
      </c>
      <c r="H1817" s="21">
        <v>0.25389859999999997</v>
      </c>
    </row>
    <row r="1818" spans="1:8" x14ac:dyDescent="0.15">
      <c r="A1818" s="21">
        <v>3.546875E-2</v>
      </c>
      <c r="B1818" s="21">
        <f t="shared" si="56"/>
        <v>0.24957009999999999</v>
      </c>
      <c r="D1818">
        <f t="shared" si="57"/>
        <v>100.52591194968554</v>
      </c>
      <c r="G1818" s="21">
        <v>-0.31967240000000002</v>
      </c>
      <c r="H1818" s="21">
        <v>0.24957009999999999</v>
      </c>
    </row>
    <row r="1819" spans="1:8" x14ac:dyDescent="0.15">
      <c r="A1819" s="21">
        <v>3.5488279999999997E-2</v>
      </c>
      <c r="B1819" s="21">
        <f t="shared" si="56"/>
        <v>0.24167620000000001</v>
      </c>
      <c r="D1819">
        <f t="shared" si="57"/>
        <v>97.451572327044019</v>
      </c>
      <c r="G1819" s="21">
        <v>-0.309896</v>
      </c>
      <c r="H1819" s="21">
        <v>0.24167620000000001</v>
      </c>
    </row>
    <row r="1820" spans="1:8" x14ac:dyDescent="0.15">
      <c r="A1820" s="21">
        <v>3.5507810000000001E-2</v>
      </c>
      <c r="B1820" s="21">
        <f t="shared" si="56"/>
        <v>0.2309871</v>
      </c>
      <c r="D1820">
        <f t="shared" si="57"/>
        <v>93.23798742138365</v>
      </c>
      <c r="G1820" s="21">
        <v>-0.2964968</v>
      </c>
      <c r="H1820" s="21">
        <v>0.2309871</v>
      </c>
    </row>
    <row r="1821" spans="1:8" x14ac:dyDescent="0.15">
      <c r="A1821" s="21">
        <v>3.5527339999999998E-2</v>
      </c>
      <c r="B1821" s="21">
        <f t="shared" si="56"/>
        <v>0.2164181</v>
      </c>
      <c r="D1821">
        <f t="shared" si="57"/>
        <v>87.365943396226427</v>
      </c>
      <c r="G1821" s="21">
        <v>-0.27782370000000001</v>
      </c>
      <c r="H1821" s="21">
        <v>0.2164181</v>
      </c>
    </row>
    <row r="1822" spans="1:8" x14ac:dyDescent="0.15">
      <c r="A1822" s="21">
        <v>3.5546870000000001E-2</v>
      </c>
      <c r="B1822" s="21">
        <f t="shared" si="56"/>
        <v>0.19874240000000001</v>
      </c>
      <c r="D1822">
        <f t="shared" si="57"/>
        <v>80.319213836477985</v>
      </c>
      <c r="G1822" s="21">
        <v>-0.25541510000000001</v>
      </c>
      <c r="H1822" s="21">
        <v>0.19874240000000001</v>
      </c>
    </row>
    <row r="1823" spans="1:8" x14ac:dyDescent="0.15">
      <c r="A1823" s="21">
        <v>3.556641E-2</v>
      </c>
      <c r="B1823" s="21">
        <f t="shared" si="56"/>
        <v>0.17788689999999999</v>
      </c>
      <c r="D1823">
        <f t="shared" si="57"/>
        <v>72.00732704402516</v>
      </c>
      <c r="G1823" s="21">
        <v>-0.2289833</v>
      </c>
      <c r="H1823" s="21">
        <v>0.17788689999999999</v>
      </c>
    </row>
    <row r="1824" spans="1:8" x14ac:dyDescent="0.15">
      <c r="A1824" s="21">
        <v>3.5585940000000003E-2</v>
      </c>
      <c r="B1824" s="21">
        <f t="shared" si="56"/>
        <v>0.1531197</v>
      </c>
      <c r="D1824">
        <f t="shared" si="57"/>
        <v>62.140094339622628</v>
      </c>
      <c r="G1824" s="21">
        <v>-0.19760549999999999</v>
      </c>
      <c r="H1824" s="21">
        <v>0.1531197</v>
      </c>
    </row>
    <row r="1825" spans="1:8" x14ac:dyDescent="0.15">
      <c r="A1825" s="21">
        <v>3.560547E-2</v>
      </c>
      <c r="B1825" s="21">
        <f t="shared" si="56"/>
        <v>0.1266292</v>
      </c>
      <c r="D1825">
        <f t="shared" si="57"/>
        <v>51.724496855345905</v>
      </c>
      <c r="G1825" s="21">
        <v>-0.16448389999999999</v>
      </c>
      <c r="H1825" s="21">
        <v>0.1266292</v>
      </c>
    </row>
    <row r="1826" spans="1:8" x14ac:dyDescent="0.15">
      <c r="A1826" s="21">
        <v>3.5624999999999997E-2</v>
      </c>
      <c r="B1826" s="21">
        <f t="shared" si="56"/>
        <v>9.9273860000000005E-2</v>
      </c>
      <c r="D1826">
        <f t="shared" si="57"/>
        <v>40.772955974842759</v>
      </c>
      <c r="G1826" s="21">
        <v>-0.129658</v>
      </c>
      <c r="H1826" s="21">
        <v>9.9273860000000005E-2</v>
      </c>
    </row>
    <row r="1827" spans="1:8" x14ac:dyDescent="0.15">
      <c r="A1827" s="21">
        <v>3.5644530000000001E-2</v>
      </c>
      <c r="B1827" s="21">
        <f t="shared" si="56"/>
        <v>6.9912810000000006E-2</v>
      </c>
      <c r="D1827">
        <f t="shared" si="57"/>
        <v>28.933600628930819</v>
      </c>
      <c r="G1827" s="21">
        <v>-9.2008850000000003E-2</v>
      </c>
      <c r="H1827" s="21">
        <v>6.9912810000000006E-2</v>
      </c>
    </row>
    <row r="1828" spans="1:8" x14ac:dyDescent="0.15">
      <c r="A1828" s="21">
        <v>3.5664059999999997E-2</v>
      </c>
      <c r="B1828" s="21">
        <f t="shared" si="56"/>
        <v>3.8991060000000001E-2</v>
      </c>
      <c r="D1828">
        <f t="shared" si="57"/>
        <v>16.667852201257858</v>
      </c>
      <c r="G1828" s="21">
        <v>-5.3003769999999999E-2</v>
      </c>
      <c r="H1828" s="21">
        <v>3.8991060000000001E-2</v>
      </c>
    </row>
    <row r="1829" spans="1:8" x14ac:dyDescent="0.15">
      <c r="A1829" s="21">
        <v>3.5683590000000001E-2</v>
      </c>
      <c r="B1829" s="21">
        <f t="shared" si="56"/>
        <v>7.1961569999999999E-3</v>
      </c>
      <c r="D1829">
        <f t="shared" si="57"/>
        <v>3.9932295597484275</v>
      </c>
      <c r="G1829" s="21">
        <v>-1.269847E-2</v>
      </c>
      <c r="H1829" s="21">
        <v>7.1961569999999999E-3</v>
      </c>
    </row>
    <row r="1830" spans="1:8" x14ac:dyDescent="0.15">
      <c r="A1830" s="21">
        <v>3.570313E-2</v>
      </c>
      <c r="B1830" s="21">
        <f t="shared" si="56"/>
        <v>-2.4790090000000001E-2</v>
      </c>
      <c r="D1830">
        <f t="shared" si="57"/>
        <v>-8.7708773584905657</v>
      </c>
      <c r="G1830" s="21">
        <v>2.7891389999999999E-2</v>
      </c>
      <c r="H1830" s="21">
        <v>-2.4790090000000001E-2</v>
      </c>
    </row>
    <row r="1831" spans="1:8" x14ac:dyDescent="0.15">
      <c r="A1831" s="21">
        <v>3.5722660000000003E-2</v>
      </c>
      <c r="B1831" s="21">
        <f t="shared" si="56"/>
        <v>-5.5720770000000003E-2</v>
      </c>
      <c r="D1831">
        <f t="shared" si="57"/>
        <v>-21.127770440251574</v>
      </c>
      <c r="G1831" s="21">
        <v>6.7186309999999999E-2</v>
      </c>
      <c r="H1831" s="21">
        <v>-5.5720770000000003E-2</v>
      </c>
    </row>
    <row r="1832" spans="1:8" x14ac:dyDescent="0.15">
      <c r="A1832" s="21">
        <v>3.574219E-2</v>
      </c>
      <c r="B1832" s="21">
        <f t="shared" si="56"/>
        <v>-8.5501499999999994E-2</v>
      </c>
      <c r="D1832">
        <f t="shared" si="57"/>
        <v>-33.134716981132073</v>
      </c>
      <c r="G1832" s="21">
        <v>0.1053684</v>
      </c>
      <c r="H1832" s="21">
        <v>-8.5501499999999994E-2</v>
      </c>
    </row>
    <row r="1833" spans="1:8" x14ac:dyDescent="0.15">
      <c r="A1833" s="21">
        <v>3.5761719999999997E-2</v>
      </c>
      <c r="B1833" s="21">
        <f t="shared" si="56"/>
        <v>-0.1138506</v>
      </c>
      <c r="D1833">
        <f t="shared" si="57"/>
        <v>-44.477327044025159</v>
      </c>
      <c r="G1833" s="21">
        <v>0.14143790000000001</v>
      </c>
      <c r="H1833" s="21">
        <v>-0.1138506</v>
      </c>
    </row>
    <row r="1834" spans="1:8" x14ac:dyDescent="0.15">
      <c r="A1834" s="21">
        <v>3.5781250000000001E-2</v>
      </c>
      <c r="B1834" s="21">
        <f t="shared" si="56"/>
        <v>-0.1405873</v>
      </c>
      <c r="D1834">
        <f t="shared" si="57"/>
        <v>-55.227452830188675</v>
      </c>
      <c r="G1834" s="21">
        <v>0.17562330000000001</v>
      </c>
      <c r="H1834" s="21">
        <v>-0.1405873</v>
      </c>
    </row>
    <row r="1835" spans="1:8" x14ac:dyDescent="0.15">
      <c r="A1835" s="21">
        <v>3.5800779999999997E-2</v>
      </c>
      <c r="B1835" s="21">
        <f t="shared" si="56"/>
        <v>-0.16583429999999999</v>
      </c>
      <c r="D1835">
        <f t="shared" si="57"/>
        <v>-65.440943396226402</v>
      </c>
      <c r="G1835" s="21">
        <v>0.20810219999999999</v>
      </c>
      <c r="H1835" s="21">
        <v>-0.16583429999999999</v>
      </c>
    </row>
    <row r="1836" spans="1:8" x14ac:dyDescent="0.15">
      <c r="A1836" s="21">
        <v>3.5820310000000001E-2</v>
      </c>
      <c r="B1836" s="21">
        <f t="shared" si="56"/>
        <v>-0.18838160000000001</v>
      </c>
      <c r="D1836">
        <f t="shared" si="57"/>
        <v>-74.451666666666668</v>
      </c>
      <c r="G1836" s="21">
        <v>0.2367563</v>
      </c>
      <c r="H1836" s="21">
        <v>-0.18838160000000001</v>
      </c>
    </row>
    <row r="1837" spans="1:8" x14ac:dyDescent="0.15">
      <c r="A1837" s="21">
        <v>3.5839839999999998E-2</v>
      </c>
      <c r="B1837" s="21">
        <f t="shared" si="56"/>
        <v>-0.2079617</v>
      </c>
      <c r="D1837">
        <f t="shared" si="57"/>
        <v>-82.349622641509427</v>
      </c>
      <c r="G1837" s="21">
        <v>0.26187179999999999</v>
      </c>
      <c r="H1837" s="21">
        <v>-0.2079617</v>
      </c>
    </row>
    <row r="1838" spans="1:8" x14ac:dyDescent="0.15">
      <c r="A1838" s="21">
        <v>3.5859370000000002E-2</v>
      </c>
      <c r="B1838" s="21">
        <f t="shared" si="56"/>
        <v>-0.2243407</v>
      </c>
      <c r="D1838">
        <f t="shared" si="57"/>
        <v>-89.042924528301882</v>
      </c>
      <c r="G1838" s="21">
        <v>0.28315649999999998</v>
      </c>
      <c r="H1838" s="21">
        <v>-0.2243407</v>
      </c>
    </row>
    <row r="1839" spans="1:8" x14ac:dyDescent="0.15">
      <c r="A1839" s="21">
        <v>3.587891E-2</v>
      </c>
      <c r="B1839" s="21">
        <f t="shared" si="56"/>
        <v>-0.23683270000000001</v>
      </c>
      <c r="D1839">
        <f t="shared" si="57"/>
        <v>-94.099213836477986</v>
      </c>
      <c r="G1839" s="21">
        <v>0.29923549999999999</v>
      </c>
      <c r="H1839" s="21">
        <v>-0.23683270000000001</v>
      </c>
    </row>
    <row r="1840" spans="1:8" x14ac:dyDescent="0.15">
      <c r="A1840" s="21">
        <v>3.5898439999999997E-2</v>
      </c>
      <c r="B1840" s="21">
        <f t="shared" si="56"/>
        <v>-0.24604400000000001</v>
      </c>
      <c r="D1840">
        <f t="shared" si="57"/>
        <v>-97.862641509433971</v>
      </c>
      <c r="G1840" s="21">
        <v>0.31120320000000001</v>
      </c>
      <c r="H1840" s="21">
        <v>-0.24604400000000001</v>
      </c>
    </row>
    <row r="1841" spans="1:8" x14ac:dyDescent="0.15">
      <c r="A1841" s="21">
        <v>3.591797E-2</v>
      </c>
      <c r="B1841" s="21">
        <f t="shared" si="56"/>
        <v>-0.25207030000000002</v>
      </c>
      <c r="D1841">
        <f t="shared" si="57"/>
        <v>-100.41911949685533</v>
      </c>
      <c r="G1841" s="21">
        <v>0.31933279999999997</v>
      </c>
      <c r="H1841" s="21">
        <v>-0.25207030000000002</v>
      </c>
    </row>
    <row r="1842" spans="1:8" x14ac:dyDescent="0.15">
      <c r="A1842" s="21">
        <v>3.5937499999999997E-2</v>
      </c>
      <c r="B1842" s="21">
        <f t="shared" si="56"/>
        <v>-0.25463010000000003</v>
      </c>
      <c r="D1842">
        <f t="shared" si="57"/>
        <v>-101.51163522012578</v>
      </c>
      <c r="G1842" s="21">
        <v>0.32280700000000001</v>
      </c>
      <c r="H1842" s="21">
        <v>-0.25463010000000003</v>
      </c>
    </row>
    <row r="1843" spans="1:8" x14ac:dyDescent="0.15">
      <c r="A1843" s="21">
        <v>3.5957030000000001E-2</v>
      </c>
      <c r="B1843" s="21">
        <f t="shared" si="56"/>
        <v>-0.25339060000000002</v>
      </c>
      <c r="D1843">
        <f t="shared" si="57"/>
        <v>-101.06301886792453</v>
      </c>
      <c r="G1843" s="21">
        <v>0.32138040000000001</v>
      </c>
      <c r="H1843" s="21">
        <v>-0.25339060000000002</v>
      </c>
    </row>
    <row r="1844" spans="1:8" x14ac:dyDescent="0.15">
      <c r="A1844" s="21">
        <v>3.5976559999999998E-2</v>
      </c>
      <c r="B1844" s="21">
        <f t="shared" si="56"/>
        <v>-0.2477356</v>
      </c>
      <c r="D1844">
        <f t="shared" si="57"/>
        <v>-98.88584905660376</v>
      </c>
      <c r="G1844" s="21">
        <v>0.31445699999999999</v>
      </c>
      <c r="H1844" s="21">
        <v>-0.2477356</v>
      </c>
    </row>
    <row r="1845" spans="1:8" x14ac:dyDescent="0.15">
      <c r="A1845" s="21">
        <v>3.5996090000000001E-2</v>
      </c>
      <c r="B1845" s="21">
        <f t="shared" si="56"/>
        <v>-0.23807700000000001</v>
      </c>
      <c r="D1845">
        <f t="shared" si="57"/>
        <v>-95.066509433962267</v>
      </c>
      <c r="G1845" s="21">
        <v>0.30231150000000001</v>
      </c>
      <c r="H1845" s="21">
        <v>-0.23807700000000001</v>
      </c>
    </row>
    <row r="1846" spans="1:8" x14ac:dyDescent="0.15">
      <c r="A1846" s="21">
        <v>3.601563E-2</v>
      </c>
      <c r="B1846" s="21">
        <f t="shared" si="56"/>
        <v>-0.22536819999999999</v>
      </c>
      <c r="D1846">
        <f t="shared" si="57"/>
        <v>-90.097295597484276</v>
      </c>
      <c r="G1846" s="21">
        <v>0.28650940000000003</v>
      </c>
      <c r="H1846" s="21">
        <v>-0.22536819999999999</v>
      </c>
    </row>
    <row r="1847" spans="1:8" x14ac:dyDescent="0.15">
      <c r="A1847" s="21">
        <v>3.6035159999999997E-2</v>
      </c>
      <c r="B1847" s="21">
        <f t="shared" si="56"/>
        <v>-0.20968229999999999</v>
      </c>
      <c r="D1847">
        <f t="shared" si="57"/>
        <v>-83.855943396226408</v>
      </c>
      <c r="G1847" s="21">
        <v>0.26666190000000001</v>
      </c>
      <c r="H1847" s="21">
        <v>-0.20968229999999999</v>
      </c>
    </row>
    <row r="1848" spans="1:8" x14ac:dyDescent="0.15">
      <c r="A1848" s="21">
        <v>3.605469E-2</v>
      </c>
      <c r="B1848" s="21">
        <f t="shared" si="56"/>
        <v>-0.19088340000000001</v>
      </c>
      <c r="D1848">
        <f t="shared" si="57"/>
        <v>-76.354874213836482</v>
      </c>
      <c r="G1848" s="21">
        <v>0.24280850000000001</v>
      </c>
      <c r="H1848" s="21">
        <v>-0.19088340000000001</v>
      </c>
    </row>
    <row r="1849" spans="1:8" x14ac:dyDescent="0.15">
      <c r="A1849" s="21">
        <v>3.6074219999999997E-2</v>
      </c>
      <c r="B1849" s="21">
        <f t="shared" si="56"/>
        <v>-0.16902639999999999</v>
      </c>
      <c r="D1849">
        <f t="shared" si="57"/>
        <v>-67.754591194968555</v>
      </c>
      <c r="G1849" s="21">
        <v>0.2154596</v>
      </c>
      <c r="H1849" s="21">
        <v>-0.16902639999999999</v>
      </c>
    </row>
    <row r="1850" spans="1:8" x14ac:dyDescent="0.15">
      <c r="A1850" s="21">
        <v>3.6093750000000001E-2</v>
      </c>
      <c r="B1850" s="21">
        <f t="shared" si="56"/>
        <v>-0.14374809999999999</v>
      </c>
      <c r="D1850">
        <f t="shared" si="57"/>
        <v>-57.601540880503144</v>
      </c>
      <c r="G1850" s="21">
        <v>0.1831729</v>
      </c>
      <c r="H1850" s="21">
        <v>-0.14374809999999999</v>
      </c>
    </row>
    <row r="1851" spans="1:8" x14ac:dyDescent="0.15">
      <c r="A1851" s="21">
        <v>3.6113279999999998E-2</v>
      </c>
      <c r="B1851" s="21">
        <f t="shared" si="56"/>
        <v>-0.1160185</v>
      </c>
      <c r="D1851">
        <f t="shared" si="57"/>
        <v>-46.584276729559747</v>
      </c>
      <c r="G1851" s="21">
        <v>0.14813799999999999</v>
      </c>
      <c r="H1851" s="21">
        <v>-0.1160185</v>
      </c>
    </row>
    <row r="1852" spans="1:8" x14ac:dyDescent="0.15">
      <c r="A1852" s="21">
        <v>3.6132810000000001E-2</v>
      </c>
      <c r="B1852" s="21">
        <f t="shared" si="56"/>
        <v>-8.7442640000000002E-2</v>
      </c>
      <c r="D1852">
        <f t="shared" si="57"/>
        <v>-35.254213836477987</v>
      </c>
      <c r="G1852" s="21">
        <v>0.1121084</v>
      </c>
      <c r="H1852" s="21">
        <v>-8.7442640000000002E-2</v>
      </c>
    </row>
    <row r="1853" spans="1:8" x14ac:dyDescent="0.15">
      <c r="A1853" s="21">
        <v>3.6152339999999998E-2</v>
      </c>
      <c r="B1853" s="21">
        <f t="shared" si="56"/>
        <v>-5.7899579999999999E-2</v>
      </c>
      <c r="D1853">
        <f t="shared" si="57"/>
        <v>-23.306679245283018</v>
      </c>
      <c r="G1853" s="21">
        <v>7.4115239999999999E-2</v>
      </c>
      <c r="H1853" s="21">
        <v>-5.7899579999999999E-2</v>
      </c>
    </row>
    <row r="1854" spans="1:8" x14ac:dyDescent="0.15">
      <c r="A1854" s="21">
        <v>3.6171870000000002E-2</v>
      </c>
      <c r="B1854" s="21">
        <f t="shared" si="56"/>
        <v>-2.7009430000000001E-2</v>
      </c>
      <c r="D1854">
        <f t="shared" si="57"/>
        <v>-10.99443396226415</v>
      </c>
      <c r="G1854" s="21">
        <v>3.4962300000000002E-2</v>
      </c>
      <c r="H1854" s="21">
        <v>-2.7009430000000001E-2</v>
      </c>
    </row>
    <row r="1855" spans="1:8" x14ac:dyDescent="0.15">
      <c r="A1855" s="21">
        <v>3.619141E-2</v>
      </c>
      <c r="B1855" s="21">
        <f t="shared" si="56"/>
        <v>4.9648579999999999E-3</v>
      </c>
      <c r="D1855">
        <f t="shared" si="57"/>
        <v>1.8022682389937104</v>
      </c>
      <c r="G1855" s="21">
        <v>-5.7312129999999998E-3</v>
      </c>
      <c r="H1855" s="21">
        <v>4.9648579999999999E-3</v>
      </c>
    </row>
    <row r="1856" spans="1:8" x14ac:dyDescent="0.15">
      <c r="A1856" s="21">
        <v>3.6210939999999997E-2</v>
      </c>
      <c r="B1856" s="21">
        <f t="shared" si="56"/>
        <v>3.6786190000000003E-2</v>
      </c>
      <c r="D1856">
        <f t="shared" si="57"/>
        <v>14.561355345911949</v>
      </c>
      <c r="G1856" s="21">
        <v>-4.6305109999999997E-2</v>
      </c>
      <c r="H1856" s="21">
        <v>3.6786190000000003E-2</v>
      </c>
    </row>
    <row r="1857" spans="1:8" x14ac:dyDescent="0.15">
      <c r="A1857" s="21">
        <v>3.6230470000000001E-2</v>
      </c>
      <c r="B1857" s="21">
        <f t="shared" si="56"/>
        <v>6.6934960000000002E-2</v>
      </c>
      <c r="D1857">
        <f t="shared" si="57"/>
        <v>26.616028301886793</v>
      </c>
      <c r="G1857" s="21">
        <v>-8.4638969999999994E-2</v>
      </c>
      <c r="H1857" s="21">
        <v>6.6934960000000002E-2</v>
      </c>
    </row>
    <row r="1858" spans="1:8" x14ac:dyDescent="0.15">
      <c r="A1858" s="21">
        <v>3.6249999999999998E-2</v>
      </c>
      <c r="B1858" s="21">
        <f t="shared" ref="B1858:B1921" si="58">H1858</f>
        <v>9.6056359999999993E-2</v>
      </c>
      <c r="D1858">
        <f t="shared" ref="D1858:D1921" si="59">G1858*-1000/3.18</f>
        <v>38.481949685534588</v>
      </c>
      <c r="G1858" s="21">
        <v>-0.1223726</v>
      </c>
      <c r="H1858" s="21">
        <v>9.6056359999999993E-2</v>
      </c>
    </row>
    <row r="1859" spans="1:8" x14ac:dyDescent="0.15">
      <c r="A1859" s="21">
        <v>3.6269530000000001E-2</v>
      </c>
      <c r="B1859" s="21">
        <f t="shared" si="58"/>
        <v>0.1242582</v>
      </c>
      <c r="D1859">
        <f t="shared" si="59"/>
        <v>49.79669811320754</v>
      </c>
      <c r="G1859" s="21">
        <v>-0.15835350000000001</v>
      </c>
      <c r="H1859" s="21">
        <v>0.1242582</v>
      </c>
    </row>
    <row r="1860" spans="1:8" x14ac:dyDescent="0.15">
      <c r="A1860" s="21">
        <v>3.6289059999999998E-2</v>
      </c>
      <c r="B1860" s="21">
        <f t="shared" si="58"/>
        <v>0.15037220000000001</v>
      </c>
      <c r="D1860">
        <f t="shared" si="59"/>
        <v>60.20301886792452</v>
      </c>
      <c r="G1860" s="21">
        <v>-0.19144559999999999</v>
      </c>
      <c r="H1860" s="21">
        <v>0.15037220000000001</v>
      </c>
    </row>
    <row r="1861" spans="1:8" x14ac:dyDescent="0.15">
      <c r="A1861" s="21">
        <v>3.6308590000000002E-2</v>
      </c>
      <c r="B1861" s="21">
        <f t="shared" si="58"/>
        <v>0.17481679999999999</v>
      </c>
      <c r="D1861">
        <f t="shared" si="59"/>
        <v>70.183805031446539</v>
      </c>
      <c r="G1861" s="21">
        <v>-0.22318450000000001</v>
      </c>
      <c r="H1861" s="21">
        <v>0.17481679999999999</v>
      </c>
    </row>
    <row r="1862" spans="1:8" x14ac:dyDescent="0.15">
      <c r="A1862" s="21">
        <v>3.632813E-2</v>
      </c>
      <c r="B1862" s="21">
        <f t="shared" si="58"/>
        <v>0.19654079999999999</v>
      </c>
      <c r="D1862">
        <f t="shared" si="59"/>
        <v>78.973584905660374</v>
      </c>
      <c r="G1862" s="21">
        <v>-0.25113600000000003</v>
      </c>
      <c r="H1862" s="21">
        <v>0.19654079999999999</v>
      </c>
    </row>
    <row r="1863" spans="1:8" x14ac:dyDescent="0.15">
      <c r="A1863" s="21">
        <v>3.6347659999999997E-2</v>
      </c>
      <c r="B1863" s="21">
        <f t="shared" si="58"/>
        <v>0.2140146</v>
      </c>
      <c r="D1863">
        <f t="shared" si="59"/>
        <v>85.968899371069185</v>
      </c>
      <c r="G1863" s="21">
        <v>-0.27338109999999999</v>
      </c>
      <c r="H1863" s="21">
        <v>0.2140146</v>
      </c>
    </row>
    <row r="1864" spans="1:8" x14ac:dyDescent="0.15">
      <c r="A1864" s="21">
        <v>3.6367190000000001E-2</v>
      </c>
      <c r="B1864" s="21">
        <f t="shared" si="58"/>
        <v>0.22832710000000001</v>
      </c>
      <c r="D1864">
        <f t="shared" si="59"/>
        <v>91.803773584905656</v>
      </c>
      <c r="G1864" s="21">
        <v>-0.29193599999999997</v>
      </c>
      <c r="H1864" s="21">
        <v>0.22832710000000001</v>
      </c>
    </row>
    <row r="1865" spans="1:8" x14ac:dyDescent="0.15">
      <c r="A1865" s="21">
        <v>3.6386719999999997E-2</v>
      </c>
      <c r="B1865" s="21">
        <f t="shared" si="58"/>
        <v>0.23997859999999999</v>
      </c>
      <c r="D1865">
        <f t="shared" si="59"/>
        <v>96.600628930817606</v>
      </c>
      <c r="G1865" s="21">
        <v>-0.30719000000000002</v>
      </c>
      <c r="H1865" s="21">
        <v>0.23997859999999999</v>
      </c>
    </row>
    <row r="1866" spans="1:8" x14ac:dyDescent="0.15">
      <c r="A1866" s="21">
        <v>3.6406250000000001E-2</v>
      </c>
      <c r="B1866" s="21">
        <f t="shared" si="58"/>
        <v>0.24840970000000001</v>
      </c>
      <c r="D1866">
        <f t="shared" si="59"/>
        <v>100.07949685534589</v>
      </c>
      <c r="G1866" s="21">
        <v>-0.3182528</v>
      </c>
      <c r="H1866" s="21">
        <v>0.24840970000000001</v>
      </c>
    </row>
    <row r="1867" spans="1:8" x14ac:dyDescent="0.15">
      <c r="A1867" s="21">
        <v>3.6425779999999998E-2</v>
      </c>
      <c r="B1867" s="21">
        <f t="shared" si="58"/>
        <v>0.25320379999999998</v>
      </c>
      <c r="D1867">
        <f t="shared" si="59"/>
        <v>101.96377358490565</v>
      </c>
      <c r="G1867" s="21">
        <v>-0.3242448</v>
      </c>
      <c r="H1867" s="21">
        <v>0.25320379999999998</v>
      </c>
    </row>
    <row r="1868" spans="1:8" x14ac:dyDescent="0.15">
      <c r="A1868" s="21">
        <v>3.6445310000000002E-2</v>
      </c>
      <c r="B1868" s="21">
        <f t="shared" si="58"/>
        <v>0.25396239999999998</v>
      </c>
      <c r="D1868">
        <f t="shared" si="59"/>
        <v>102.20638364779873</v>
      </c>
      <c r="G1868" s="21">
        <v>-0.32501629999999998</v>
      </c>
      <c r="H1868" s="21">
        <v>0.25396239999999998</v>
      </c>
    </row>
    <row r="1869" spans="1:8" x14ac:dyDescent="0.15">
      <c r="A1869" s="21">
        <v>3.6464839999999998E-2</v>
      </c>
      <c r="B1869" s="21">
        <f t="shared" si="58"/>
        <v>0.25065949999999998</v>
      </c>
      <c r="D1869">
        <f t="shared" si="59"/>
        <v>101.02874213836476</v>
      </c>
      <c r="G1869" s="21">
        <v>-0.32127139999999998</v>
      </c>
      <c r="H1869" s="21">
        <v>0.25065949999999998</v>
      </c>
    </row>
    <row r="1870" spans="1:8" x14ac:dyDescent="0.15">
      <c r="A1870" s="21">
        <v>3.6484370000000002E-2</v>
      </c>
      <c r="B1870" s="21">
        <f t="shared" si="58"/>
        <v>0.243502</v>
      </c>
      <c r="D1870">
        <f t="shared" si="59"/>
        <v>98.221540880503156</v>
      </c>
      <c r="G1870" s="21">
        <v>-0.31234450000000002</v>
      </c>
      <c r="H1870" s="21">
        <v>0.243502</v>
      </c>
    </row>
    <row r="1871" spans="1:8" x14ac:dyDescent="0.15">
      <c r="A1871" s="21">
        <v>3.6503910000000001E-2</v>
      </c>
      <c r="B1871" s="21">
        <f t="shared" si="58"/>
        <v>0.232819</v>
      </c>
      <c r="D1871">
        <f t="shared" si="59"/>
        <v>93.870943396226409</v>
      </c>
      <c r="G1871" s="21">
        <v>-0.29850959999999999</v>
      </c>
      <c r="H1871" s="21">
        <v>0.232819</v>
      </c>
    </row>
    <row r="1872" spans="1:8" x14ac:dyDescent="0.15">
      <c r="A1872" s="21">
        <v>3.6523439999999997E-2</v>
      </c>
      <c r="B1872" s="21">
        <f t="shared" si="58"/>
        <v>0.21899560000000001</v>
      </c>
      <c r="D1872">
        <f t="shared" si="59"/>
        <v>88.427893081761013</v>
      </c>
      <c r="G1872" s="21">
        <v>-0.28120070000000003</v>
      </c>
      <c r="H1872" s="21">
        <v>0.21899560000000001</v>
      </c>
    </row>
    <row r="1873" spans="1:8" x14ac:dyDescent="0.15">
      <c r="A1873" s="21">
        <v>3.6542970000000001E-2</v>
      </c>
      <c r="B1873" s="21">
        <f t="shared" si="58"/>
        <v>0.2019773</v>
      </c>
      <c r="D1873">
        <f t="shared" si="59"/>
        <v>81.653364779874209</v>
      </c>
      <c r="G1873" s="21">
        <v>-0.25965769999999999</v>
      </c>
      <c r="H1873" s="21">
        <v>0.2019773</v>
      </c>
    </row>
    <row r="1874" spans="1:8" x14ac:dyDescent="0.15">
      <c r="A1874" s="21">
        <v>3.6562499999999998E-2</v>
      </c>
      <c r="B1874" s="21">
        <f t="shared" si="58"/>
        <v>0.18155019999999999</v>
      </c>
      <c r="D1874">
        <f t="shared" si="59"/>
        <v>73.497264150943394</v>
      </c>
      <c r="G1874" s="21">
        <v>-0.23372129999999999</v>
      </c>
      <c r="H1874" s="21">
        <v>0.18155019999999999</v>
      </c>
    </row>
    <row r="1875" spans="1:8" x14ac:dyDescent="0.15">
      <c r="A1875" s="21">
        <v>3.6582030000000001E-2</v>
      </c>
      <c r="B1875" s="21">
        <f t="shared" si="58"/>
        <v>0.15814690000000001</v>
      </c>
      <c r="D1875">
        <f t="shared" si="59"/>
        <v>64.245062893081752</v>
      </c>
      <c r="G1875" s="21">
        <v>-0.20429929999999999</v>
      </c>
      <c r="H1875" s="21">
        <v>0.15814690000000001</v>
      </c>
    </row>
    <row r="1876" spans="1:8" x14ac:dyDescent="0.15">
      <c r="A1876" s="21">
        <v>3.6601559999999998E-2</v>
      </c>
      <c r="B1876" s="21">
        <f t="shared" si="58"/>
        <v>0.13225799999999999</v>
      </c>
      <c r="D1876">
        <f t="shared" si="59"/>
        <v>53.909716981132071</v>
      </c>
      <c r="G1876" s="21">
        <v>-0.1714329</v>
      </c>
      <c r="H1876" s="21">
        <v>0.13225799999999999</v>
      </c>
    </row>
    <row r="1877" spans="1:8" x14ac:dyDescent="0.15">
      <c r="A1877" s="21">
        <v>3.6621090000000002E-2</v>
      </c>
      <c r="B1877" s="21">
        <f t="shared" si="58"/>
        <v>0.1044055</v>
      </c>
      <c r="D1877">
        <f t="shared" si="59"/>
        <v>42.784779874213832</v>
      </c>
      <c r="G1877" s="21">
        <v>-0.1360556</v>
      </c>
      <c r="H1877" s="21">
        <v>0.1044055</v>
      </c>
    </row>
    <row r="1878" spans="1:8" x14ac:dyDescent="0.15">
      <c r="A1878" s="21">
        <v>3.664063E-2</v>
      </c>
      <c r="B1878" s="21">
        <f t="shared" si="58"/>
        <v>7.5052900000000006E-2</v>
      </c>
      <c r="D1878">
        <f t="shared" si="59"/>
        <v>31.049267295597485</v>
      </c>
      <c r="G1878" s="21">
        <v>-9.8736669999999999E-2</v>
      </c>
      <c r="H1878" s="21">
        <v>7.5052900000000006E-2</v>
      </c>
    </row>
    <row r="1879" spans="1:8" x14ac:dyDescent="0.15">
      <c r="A1879" s="21">
        <v>3.6660159999999997E-2</v>
      </c>
      <c r="B1879" s="21">
        <f t="shared" si="58"/>
        <v>4.450022E-2</v>
      </c>
      <c r="D1879">
        <f t="shared" si="59"/>
        <v>18.900506289308176</v>
      </c>
      <c r="G1879" s="21">
        <v>-6.0103610000000002E-2</v>
      </c>
      <c r="H1879" s="21">
        <v>4.450022E-2</v>
      </c>
    </row>
    <row r="1880" spans="1:8" x14ac:dyDescent="0.15">
      <c r="A1880" s="21">
        <v>3.6679690000000001E-2</v>
      </c>
      <c r="B1880" s="21">
        <f t="shared" si="58"/>
        <v>1.3447590000000001E-2</v>
      </c>
      <c r="D1880">
        <f t="shared" si="59"/>
        <v>6.5522264150943386</v>
      </c>
      <c r="G1880" s="21">
        <v>-2.083608E-2</v>
      </c>
      <c r="H1880" s="21">
        <v>1.3447590000000001E-2</v>
      </c>
    </row>
    <row r="1881" spans="1:8" x14ac:dyDescent="0.15">
      <c r="A1881" s="21">
        <v>3.6699219999999998E-2</v>
      </c>
      <c r="B1881" s="21">
        <f t="shared" si="58"/>
        <v>-1.824129E-2</v>
      </c>
      <c r="D1881">
        <f t="shared" si="59"/>
        <v>-6.1997012578616353</v>
      </c>
      <c r="G1881" s="21">
        <v>1.9715050000000001E-2</v>
      </c>
      <c r="H1881" s="21">
        <v>-1.824129E-2</v>
      </c>
    </row>
    <row r="1882" spans="1:8" x14ac:dyDescent="0.15">
      <c r="A1882" s="21">
        <v>3.6718750000000001E-2</v>
      </c>
      <c r="B1882" s="21">
        <f t="shared" si="58"/>
        <v>-4.9861929999999999E-2</v>
      </c>
      <c r="D1882">
        <f t="shared" si="59"/>
        <v>-18.806845911949686</v>
      </c>
      <c r="G1882" s="21">
        <v>5.9805770000000001E-2</v>
      </c>
      <c r="H1882" s="21">
        <v>-4.9861929999999999E-2</v>
      </c>
    </row>
    <row r="1883" spans="1:8" x14ac:dyDescent="0.15">
      <c r="A1883" s="21">
        <v>3.6738279999999998E-2</v>
      </c>
      <c r="B1883" s="21">
        <f t="shared" si="58"/>
        <v>-7.9851080000000005E-2</v>
      </c>
      <c r="D1883">
        <f t="shared" si="59"/>
        <v>-30.738374213836476</v>
      </c>
      <c r="G1883" s="21">
        <v>9.774803E-2</v>
      </c>
      <c r="H1883" s="21">
        <v>-7.9851080000000005E-2</v>
      </c>
    </row>
    <row r="1884" spans="1:8" x14ac:dyDescent="0.15">
      <c r="A1884" s="21">
        <v>3.6757810000000002E-2</v>
      </c>
      <c r="B1884" s="21">
        <f t="shared" si="58"/>
        <v>-0.108692</v>
      </c>
      <c r="D1884">
        <f t="shared" si="59"/>
        <v>-42.357767295597483</v>
      </c>
      <c r="G1884" s="21">
        <v>0.1346977</v>
      </c>
      <c r="H1884" s="21">
        <v>-0.108692</v>
      </c>
    </row>
    <row r="1885" spans="1:8" x14ac:dyDescent="0.15">
      <c r="A1885" s="21">
        <v>3.6777339999999999E-2</v>
      </c>
      <c r="B1885" s="21">
        <f t="shared" si="58"/>
        <v>-0.1358877</v>
      </c>
      <c r="D1885">
        <f t="shared" si="59"/>
        <v>-53.307735849056598</v>
      </c>
      <c r="G1885" s="21">
        <v>0.16951859999999999</v>
      </c>
      <c r="H1885" s="21">
        <v>-0.1358877</v>
      </c>
    </row>
    <row r="1886" spans="1:8" x14ac:dyDescent="0.15">
      <c r="A1886" s="21">
        <v>3.6796870000000002E-2</v>
      </c>
      <c r="B1886" s="21">
        <f t="shared" si="58"/>
        <v>-0.16075510000000001</v>
      </c>
      <c r="D1886">
        <f t="shared" si="59"/>
        <v>-63.346540880503142</v>
      </c>
      <c r="G1886" s="21">
        <v>0.20144200000000001</v>
      </c>
      <c r="H1886" s="21">
        <v>-0.16075510000000001</v>
      </c>
    </row>
    <row r="1887" spans="1:8" x14ac:dyDescent="0.15">
      <c r="A1887" s="21">
        <v>3.6816410000000001E-2</v>
      </c>
      <c r="B1887" s="21">
        <f t="shared" si="58"/>
        <v>-0.18416260000000001</v>
      </c>
      <c r="D1887">
        <f t="shared" si="59"/>
        <v>-72.804056603773574</v>
      </c>
      <c r="G1887" s="21">
        <v>0.2315169</v>
      </c>
      <c r="H1887" s="21">
        <v>-0.18416260000000001</v>
      </c>
    </row>
    <row r="1888" spans="1:8" x14ac:dyDescent="0.15">
      <c r="A1888" s="21">
        <v>3.6835939999999998E-2</v>
      </c>
      <c r="B1888" s="21">
        <f t="shared" si="58"/>
        <v>-0.20472290000000001</v>
      </c>
      <c r="D1888">
        <f t="shared" si="59"/>
        <v>-81.000786163522008</v>
      </c>
      <c r="G1888" s="21">
        <v>0.25758249999999999</v>
      </c>
      <c r="H1888" s="21">
        <v>-0.20472290000000001</v>
      </c>
    </row>
    <row r="1889" spans="1:8" x14ac:dyDescent="0.15">
      <c r="A1889" s="21">
        <v>3.6855470000000001E-2</v>
      </c>
      <c r="B1889" s="21">
        <f t="shared" si="58"/>
        <v>-0.22131480000000001</v>
      </c>
      <c r="D1889">
        <f t="shared" si="59"/>
        <v>-87.718867924528311</v>
      </c>
      <c r="G1889" s="21">
        <v>0.27894600000000003</v>
      </c>
      <c r="H1889" s="21">
        <v>-0.22131480000000001</v>
      </c>
    </row>
    <row r="1890" spans="1:8" x14ac:dyDescent="0.15">
      <c r="A1890" s="21">
        <v>3.6874999999999998E-2</v>
      </c>
      <c r="B1890" s="21">
        <f t="shared" si="58"/>
        <v>-0.2346521</v>
      </c>
      <c r="D1890">
        <f t="shared" si="59"/>
        <v>-93.262735849056597</v>
      </c>
      <c r="G1890" s="21">
        <v>0.29657549999999999</v>
      </c>
      <c r="H1890" s="21">
        <v>-0.2346521</v>
      </c>
    </row>
    <row r="1891" spans="1:8" x14ac:dyDescent="0.15">
      <c r="A1891" s="21">
        <v>3.6894530000000002E-2</v>
      </c>
      <c r="B1891" s="21">
        <f t="shared" si="58"/>
        <v>-0.24452090000000001</v>
      </c>
      <c r="D1891">
        <f t="shared" si="59"/>
        <v>-97.2475786163522</v>
      </c>
      <c r="G1891" s="21">
        <v>0.3092473</v>
      </c>
      <c r="H1891" s="21">
        <v>-0.24452090000000001</v>
      </c>
    </row>
    <row r="1892" spans="1:8" x14ac:dyDescent="0.15">
      <c r="A1892" s="21">
        <v>3.6914059999999999E-2</v>
      </c>
      <c r="B1892" s="21">
        <f t="shared" si="58"/>
        <v>-0.25124109999999999</v>
      </c>
      <c r="D1892">
        <f t="shared" si="59"/>
        <v>-100.00588050314464</v>
      </c>
      <c r="G1892" s="21">
        <v>0.31801869999999999</v>
      </c>
      <c r="H1892" s="21">
        <v>-0.25124109999999999</v>
      </c>
    </row>
    <row r="1893" spans="1:8" x14ac:dyDescent="0.15">
      <c r="A1893" s="21">
        <v>3.6933590000000002E-2</v>
      </c>
      <c r="B1893" s="21">
        <f t="shared" si="58"/>
        <v>-0.2547507</v>
      </c>
      <c r="D1893">
        <f t="shared" si="59"/>
        <v>-101.51238993710693</v>
      </c>
      <c r="G1893" s="21">
        <v>0.32280940000000002</v>
      </c>
      <c r="H1893" s="21">
        <v>-0.2547507</v>
      </c>
    </row>
    <row r="1894" spans="1:8" x14ac:dyDescent="0.15">
      <c r="A1894" s="21">
        <v>3.6953130000000001E-2</v>
      </c>
      <c r="B1894" s="21">
        <f t="shared" si="58"/>
        <v>-0.25392559999999997</v>
      </c>
      <c r="D1894">
        <f t="shared" si="59"/>
        <v>-101.19999999999999</v>
      </c>
      <c r="G1894" s="21">
        <v>0.32181599999999999</v>
      </c>
      <c r="H1894" s="21">
        <v>-0.25392559999999997</v>
      </c>
    </row>
    <row r="1895" spans="1:8" x14ac:dyDescent="0.15">
      <c r="A1895" s="21">
        <v>3.6972659999999997E-2</v>
      </c>
      <c r="B1895" s="21">
        <f t="shared" si="58"/>
        <v>-0.24902150000000001</v>
      </c>
      <c r="D1895">
        <f t="shared" si="59"/>
        <v>-99.369433962264139</v>
      </c>
      <c r="G1895" s="21">
        <v>0.31599480000000002</v>
      </c>
      <c r="H1895" s="21">
        <v>-0.24902150000000001</v>
      </c>
    </row>
    <row r="1896" spans="1:8" x14ac:dyDescent="0.15">
      <c r="A1896" s="21">
        <v>3.6992190000000001E-2</v>
      </c>
      <c r="B1896" s="21">
        <f t="shared" si="58"/>
        <v>-0.24013399999999999</v>
      </c>
      <c r="D1896">
        <f t="shared" si="59"/>
        <v>-95.924496855345907</v>
      </c>
      <c r="G1896" s="21">
        <v>0.30503989999999997</v>
      </c>
      <c r="H1896" s="21">
        <v>-0.24013399999999999</v>
      </c>
    </row>
    <row r="1897" spans="1:8" x14ac:dyDescent="0.15">
      <c r="A1897" s="21">
        <v>3.7011719999999998E-2</v>
      </c>
      <c r="B1897" s="21">
        <f t="shared" si="58"/>
        <v>-0.22768620000000001</v>
      </c>
      <c r="D1897">
        <f t="shared" si="59"/>
        <v>-91.05396226415094</v>
      </c>
      <c r="G1897" s="21">
        <v>0.28955160000000002</v>
      </c>
      <c r="H1897" s="21">
        <v>-0.22768620000000001</v>
      </c>
    </row>
    <row r="1898" spans="1:8" x14ac:dyDescent="0.15">
      <c r="A1898" s="21">
        <v>3.7031250000000002E-2</v>
      </c>
      <c r="B1898" s="21">
        <f t="shared" si="58"/>
        <v>-0.2130417</v>
      </c>
      <c r="D1898">
        <f t="shared" si="59"/>
        <v>-85.247610062893074</v>
      </c>
      <c r="G1898" s="21">
        <v>0.27108739999999998</v>
      </c>
      <c r="H1898" s="21">
        <v>-0.2130417</v>
      </c>
    </row>
    <row r="1899" spans="1:8" x14ac:dyDescent="0.15">
      <c r="A1899" s="21">
        <v>3.7050779999999998E-2</v>
      </c>
      <c r="B1899" s="21">
        <f t="shared" si="58"/>
        <v>-0.1950751</v>
      </c>
      <c r="D1899">
        <f t="shared" si="59"/>
        <v>-77.956792452830186</v>
      </c>
      <c r="G1899" s="21">
        <v>0.2479026</v>
      </c>
      <c r="H1899" s="21">
        <v>-0.1950751</v>
      </c>
    </row>
    <row r="1900" spans="1:8" x14ac:dyDescent="0.15">
      <c r="A1900" s="21">
        <v>3.7070310000000002E-2</v>
      </c>
      <c r="B1900" s="21">
        <f t="shared" si="58"/>
        <v>-0.17300560000000001</v>
      </c>
      <c r="D1900">
        <f t="shared" si="59"/>
        <v>-69.187610062893086</v>
      </c>
      <c r="G1900" s="21">
        <v>0.22001660000000001</v>
      </c>
      <c r="H1900" s="21">
        <v>-0.17300560000000001</v>
      </c>
    </row>
    <row r="1901" spans="1:8" x14ac:dyDescent="0.15">
      <c r="A1901" s="21">
        <v>3.7089839999999999E-2</v>
      </c>
      <c r="B1901" s="21">
        <f t="shared" si="58"/>
        <v>-0.1483266</v>
      </c>
      <c r="D1901">
        <f t="shared" si="59"/>
        <v>-59.456006289308171</v>
      </c>
      <c r="G1901" s="21">
        <v>0.18907009999999999</v>
      </c>
      <c r="H1901" s="21">
        <v>-0.1483266</v>
      </c>
    </row>
    <row r="1902" spans="1:8" x14ac:dyDescent="0.15">
      <c r="A1902" s="21">
        <v>3.7109379999999997E-2</v>
      </c>
      <c r="B1902" s="21">
        <f t="shared" si="58"/>
        <v>-0.12141979999999999</v>
      </c>
      <c r="D1902">
        <f t="shared" si="59"/>
        <v>-48.733301886792454</v>
      </c>
      <c r="G1902" s="21">
        <v>0.1549719</v>
      </c>
      <c r="H1902" s="21">
        <v>-0.12141979999999999</v>
      </c>
    </row>
    <row r="1903" spans="1:8" x14ac:dyDescent="0.15">
      <c r="A1903" s="21">
        <v>3.7128910000000001E-2</v>
      </c>
      <c r="B1903" s="21">
        <f t="shared" si="58"/>
        <v>-9.298215E-2</v>
      </c>
      <c r="D1903">
        <f t="shared" si="59"/>
        <v>-37.356792452830184</v>
      </c>
      <c r="G1903" s="21">
        <v>0.1187946</v>
      </c>
      <c r="H1903" s="21">
        <v>-9.298215E-2</v>
      </c>
    </row>
    <row r="1904" spans="1:8" x14ac:dyDescent="0.15">
      <c r="A1904" s="21">
        <v>3.7148439999999998E-2</v>
      </c>
      <c r="B1904" s="21">
        <f t="shared" si="58"/>
        <v>-6.3737340000000003E-2</v>
      </c>
      <c r="D1904">
        <f t="shared" si="59"/>
        <v>-25.625232704402517</v>
      </c>
      <c r="G1904" s="21">
        <v>8.1488240000000003E-2</v>
      </c>
      <c r="H1904" s="21">
        <v>-6.3737340000000003E-2</v>
      </c>
    </row>
    <row r="1905" spans="1:8" x14ac:dyDescent="0.15">
      <c r="A1905" s="21">
        <v>3.7167970000000002E-2</v>
      </c>
      <c r="B1905" s="21">
        <f t="shared" si="58"/>
        <v>-3.28998E-2</v>
      </c>
      <c r="D1905">
        <f t="shared" si="59"/>
        <v>-13.304119496855344</v>
      </c>
      <c r="G1905" s="21">
        <v>4.23071E-2</v>
      </c>
      <c r="H1905" s="21">
        <v>-3.28998E-2</v>
      </c>
    </row>
    <row r="1906" spans="1:8" x14ac:dyDescent="0.15">
      <c r="A1906" s="21">
        <v>3.7187499999999998E-2</v>
      </c>
      <c r="B1906" s="21">
        <f t="shared" si="58"/>
        <v>-9.26361E-4</v>
      </c>
      <c r="D1906">
        <f t="shared" si="59"/>
        <v>-0.52342232704402514</v>
      </c>
      <c r="G1906" s="21">
        <v>1.664483E-3</v>
      </c>
      <c r="H1906" s="21">
        <v>-9.26361E-4</v>
      </c>
    </row>
    <row r="1907" spans="1:8" x14ac:dyDescent="0.15">
      <c r="A1907" s="21">
        <v>3.7207030000000002E-2</v>
      </c>
      <c r="B1907" s="21">
        <f t="shared" si="58"/>
        <v>3.083315E-2</v>
      </c>
      <c r="D1907">
        <f t="shared" si="59"/>
        <v>12.228040880503142</v>
      </c>
      <c r="G1907" s="21">
        <v>-3.8885169999999997E-2</v>
      </c>
      <c r="H1907" s="21">
        <v>3.083315E-2</v>
      </c>
    </row>
    <row r="1908" spans="1:8" x14ac:dyDescent="0.15">
      <c r="A1908" s="21">
        <v>3.7226559999999999E-2</v>
      </c>
      <c r="B1908" s="21">
        <f t="shared" si="58"/>
        <v>6.1576989999999998E-2</v>
      </c>
      <c r="D1908">
        <f t="shared" si="59"/>
        <v>24.561886792452832</v>
      </c>
      <c r="G1908" s="21">
        <v>-7.8106800000000004E-2</v>
      </c>
      <c r="H1908" s="21">
        <v>6.1576989999999998E-2</v>
      </c>
    </row>
    <row r="1909" spans="1:8" x14ac:dyDescent="0.15">
      <c r="A1909" s="21">
        <v>3.7246090000000003E-2</v>
      </c>
      <c r="B1909" s="21">
        <f t="shared" si="58"/>
        <v>9.1000419999999999E-2</v>
      </c>
      <c r="D1909">
        <f t="shared" si="59"/>
        <v>36.372138364779872</v>
      </c>
      <c r="G1909" s="21">
        <v>-0.1156634</v>
      </c>
      <c r="H1909" s="21">
        <v>9.1000419999999999E-2</v>
      </c>
    </row>
    <row r="1910" spans="1:8" x14ac:dyDescent="0.15">
      <c r="A1910" s="21">
        <v>3.7265630000000001E-2</v>
      </c>
      <c r="B1910" s="21">
        <f t="shared" si="58"/>
        <v>0.1191989</v>
      </c>
      <c r="D1910">
        <f t="shared" si="59"/>
        <v>47.728238993710683</v>
      </c>
      <c r="G1910" s="21">
        <v>-0.15177579999999999</v>
      </c>
      <c r="H1910" s="21">
        <v>0.1191989</v>
      </c>
    </row>
    <row r="1911" spans="1:8" x14ac:dyDescent="0.15">
      <c r="A1911" s="21">
        <v>3.7285159999999998E-2</v>
      </c>
      <c r="B1911" s="21">
        <f t="shared" si="58"/>
        <v>0.14579329999999999</v>
      </c>
      <c r="D1911">
        <f t="shared" si="59"/>
        <v>58.443333333333335</v>
      </c>
      <c r="G1911" s="21">
        <v>-0.18584980000000001</v>
      </c>
      <c r="H1911" s="21">
        <v>0.14579329999999999</v>
      </c>
    </row>
    <row r="1912" spans="1:8" x14ac:dyDescent="0.15">
      <c r="A1912" s="21">
        <v>3.7304690000000001E-2</v>
      </c>
      <c r="B1912" s="21">
        <f t="shared" si="58"/>
        <v>0.17029440000000001</v>
      </c>
      <c r="D1912">
        <f t="shared" si="59"/>
        <v>68.31654088050314</v>
      </c>
      <c r="G1912" s="21">
        <v>-0.21724660000000001</v>
      </c>
      <c r="H1912" s="21">
        <v>0.17029440000000001</v>
      </c>
    </row>
    <row r="1913" spans="1:8" x14ac:dyDescent="0.15">
      <c r="A1913" s="21">
        <v>3.7324219999999998E-2</v>
      </c>
      <c r="B1913" s="21">
        <f t="shared" si="58"/>
        <v>0.19240209999999999</v>
      </c>
      <c r="D1913">
        <f t="shared" si="59"/>
        <v>77.24792452830188</v>
      </c>
      <c r="G1913" s="21">
        <v>-0.24564839999999999</v>
      </c>
      <c r="H1913" s="21">
        <v>0.19240209999999999</v>
      </c>
    </row>
    <row r="1914" spans="1:8" x14ac:dyDescent="0.15">
      <c r="A1914" s="21">
        <v>3.7343750000000002E-2</v>
      </c>
      <c r="B1914" s="21">
        <f t="shared" si="58"/>
        <v>0.21140439999999999</v>
      </c>
      <c r="D1914">
        <f t="shared" si="59"/>
        <v>84.929716981132074</v>
      </c>
      <c r="G1914" s="21">
        <v>-0.2700765</v>
      </c>
      <c r="H1914" s="21">
        <v>0.21140439999999999</v>
      </c>
    </row>
    <row r="1915" spans="1:8" x14ac:dyDescent="0.15">
      <c r="A1915" s="21">
        <v>3.7363279999999999E-2</v>
      </c>
      <c r="B1915" s="21">
        <f t="shared" si="58"/>
        <v>0.2265441</v>
      </c>
      <c r="D1915">
        <f t="shared" si="59"/>
        <v>91.079685534591192</v>
      </c>
      <c r="G1915" s="21">
        <v>-0.28963339999999999</v>
      </c>
      <c r="H1915" s="21">
        <v>0.2265441</v>
      </c>
    </row>
    <row r="1916" spans="1:8" x14ac:dyDescent="0.15">
      <c r="A1916" s="21">
        <v>3.7382810000000002E-2</v>
      </c>
      <c r="B1916" s="21">
        <f t="shared" si="58"/>
        <v>0.2382628</v>
      </c>
      <c r="D1916">
        <f t="shared" si="59"/>
        <v>95.870031446540864</v>
      </c>
      <c r="G1916" s="21">
        <v>-0.30486669999999999</v>
      </c>
      <c r="H1916" s="21">
        <v>0.2382628</v>
      </c>
    </row>
    <row r="1917" spans="1:8" x14ac:dyDescent="0.15">
      <c r="A1917" s="21">
        <v>3.7402339999999999E-2</v>
      </c>
      <c r="B1917" s="21">
        <f t="shared" si="58"/>
        <v>0.24722479999999999</v>
      </c>
      <c r="D1917">
        <f t="shared" si="59"/>
        <v>99.539088050314447</v>
      </c>
      <c r="G1917" s="21">
        <v>-0.31653429999999999</v>
      </c>
      <c r="H1917" s="21">
        <v>0.24722479999999999</v>
      </c>
    </row>
    <row r="1918" spans="1:8" x14ac:dyDescent="0.15">
      <c r="A1918" s="21">
        <v>3.7421879999999998E-2</v>
      </c>
      <c r="B1918" s="21">
        <f t="shared" si="58"/>
        <v>0.25278430000000002</v>
      </c>
      <c r="D1918">
        <f t="shared" si="59"/>
        <v>101.79632075471699</v>
      </c>
      <c r="G1918" s="21">
        <v>-0.32371230000000001</v>
      </c>
      <c r="H1918" s="21">
        <v>0.25278430000000002</v>
      </c>
    </row>
    <row r="1919" spans="1:8" x14ac:dyDescent="0.15">
      <c r="A1919" s="21">
        <v>3.7441410000000001E-2</v>
      </c>
      <c r="B1919" s="21">
        <f t="shared" si="58"/>
        <v>0.25447310000000001</v>
      </c>
      <c r="D1919">
        <f t="shared" si="59"/>
        <v>102.44389937106916</v>
      </c>
      <c r="G1919" s="21">
        <v>-0.32577159999999999</v>
      </c>
      <c r="H1919" s="21">
        <v>0.25447310000000001</v>
      </c>
    </row>
    <row r="1920" spans="1:8" x14ac:dyDescent="0.15">
      <c r="A1920" s="21">
        <v>3.7460939999999998E-2</v>
      </c>
      <c r="B1920" s="21">
        <f t="shared" si="58"/>
        <v>0.2522083</v>
      </c>
      <c r="D1920">
        <f t="shared" si="59"/>
        <v>101.58635220125785</v>
      </c>
      <c r="G1920" s="21">
        <v>-0.32304460000000002</v>
      </c>
      <c r="H1920" s="21">
        <v>0.2522083</v>
      </c>
    </row>
    <row r="1921" spans="1:8" x14ac:dyDescent="0.15">
      <c r="A1921" s="21">
        <v>3.7480470000000002E-2</v>
      </c>
      <c r="B1921" s="21">
        <f t="shared" si="58"/>
        <v>0.2457056</v>
      </c>
      <c r="D1921">
        <f t="shared" si="59"/>
        <v>99.101761006289323</v>
      </c>
      <c r="G1921" s="21">
        <v>-0.31514360000000002</v>
      </c>
      <c r="H1921" s="21">
        <v>0.2457056</v>
      </c>
    </row>
    <row r="1922" spans="1:8" x14ac:dyDescent="0.15">
      <c r="A1922" s="21">
        <v>3.7499999999999999E-2</v>
      </c>
      <c r="B1922" s="21">
        <f t="shared" ref="B1922:B1985" si="60">H1922</f>
        <v>0.23535890000000001</v>
      </c>
      <c r="D1922">
        <f t="shared" ref="D1922:D1985" si="61">G1922*-1000/3.18</f>
        <v>94.992358490566033</v>
      </c>
      <c r="G1922" s="21">
        <v>-0.3020757</v>
      </c>
      <c r="H1922" s="21">
        <v>0.23535890000000001</v>
      </c>
    </row>
    <row r="1923" spans="1:8" x14ac:dyDescent="0.15">
      <c r="A1923" s="21">
        <v>3.7519530000000002E-2</v>
      </c>
      <c r="B1923" s="21">
        <f t="shared" si="60"/>
        <v>0.22200810000000001</v>
      </c>
      <c r="D1923">
        <f t="shared" si="61"/>
        <v>89.634842767295581</v>
      </c>
      <c r="G1923" s="21">
        <v>-0.28503879999999998</v>
      </c>
      <c r="H1923" s="21">
        <v>0.22200810000000001</v>
      </c>
    </row>
    <row r="1924" spans="1:8" x14ac:dyDescent="0.15">
      <c r="A1924" s="21">
        <v>3.7539059999999999E-2</v>
      </c>
      <c r="B1924" s="21">
        <f t="shared" si="60"/>
        <v>0.20587359999999999</v>
      </c>
      <c r="D1924">
        <f t="shared" si="61"/>
        <v>83.213962264150922</v>
      </c>
      <c r="G1924" s="21">
        <v>-0.26462039999999998</v>
      </c>
      <c r="H1924" s="21">
        <v>0.20587359999999999</v>
      </c>
    </row>
    <row r="1925" spans="1:8" x14ac:dyDescent="0.15">
      <c r="A1925" s="21">
        <v>3.7558590000000003E-2</v>
      </c>
      <c r="B1925" s="21">
        <f t="shared" si="60"/>
        <v>0.1865501</v>
      </c>
      <c r="D1925">
        <f t="shared" si="61"/>
        <v>75.515628930817613</v>
      </c>
      <c r="G1925" s="21">
        <v>-0.24013970000000001</v>
      </c>
      <c r="H1925" s="21">
        <v>0.1865501</v>
      </c>
    </row>
    <row r="1926" spans="1:8" x14ac:dyDescent="0.15">
      <c r="A1926" s="21">
        <v>3.7578130000000001E-2</v>
      </c>
      <c r="B1926" s="21">
        <f t="shared" si="60"/>
        <v>0.16383</v>
      </c>
      <c r="D1926">
        <f t="shared" si="61"/>
        <v>66.42094339622642</v>
      </c>
      <c r="G1926" s="21">
        <v>-0.21121860000000001</v>
      </c>
      <c r="H1926" s="21">
        <v>0.16383</v>
      </c>
    </row>
    <row r="1927" spans="1:8" x14ac:dyDescent="0.15">
      <c r="A1927" s="21">
        <v>3.7597659999999998E-2</v>
      </c>
      <c r="B1927" s="21">
        <f t="shared" si="60"/>
        <v>0.13792479999999999</v>
      </c>
      <c r="D1927">
        <f t="shared" si="61"/>
        <v>56.122169811320752</v>
      </c>
      <c r="G1927" s="21">
        <v>-0.1784685</v>
      </c>
      <c r="H1927" s="21">
        <v>0.13792479999999999</v>
      </c>
    </row>
    <row r="1928" spans="1:8" x14ac:dyDescent="0.15">
      <c r="A1928" s="21">
        <v>3.7617190000000002E-2</v>
      </c>
      <c r="B1928" s="21">
        <f t="shared" si="60"/>
        <v>0.1099753</v>
      </c>
      <c r="D1928">
        <f t="shared" si="61"/>
        <v>45.03849056603773</v>
      </c>
      <c r="G1928" s="21">
        <v>-0.1432224</v>
      </c>
      <c r="H1928" s="21">
        <v>0.1099753</v>
      </c>
    </row>
    <row r="1929" spans="1:8" x14ac:dyDescent="0.15">
      <c r="A1929" s="21">
        <v>3.7636719999999999E-2</v>
      </c>
      <c r="B1929" s="21">
        <f t="shared" si="60"/>
        <v>8.1123230000000005E-2</v>
      </c>
      <c r="D1929">
        <f t="shared" si="61"/>
        <v>33.49320754716981</v>
      </c>
      <c r="G1929" s="21">
        <v>-0.1065084</v>
      </c>
      <c r="H1929" s="21">
        <v>8.1123230000000005E-2</v>
      </c>
    </row>
    <row r="1930" spans="1:8" x14ac:dyDescent="0.15">
      <c r="A1930" s="21">
        <v>3.7656250000000002E-2</v>
      </c>
      <c r="B1930" s="21">
        <f t="shared" si="60"/>
        <v>5.1217760000000001E-2</v>
      </c>
      <c r="D1930">
        <f t="shared" si="61"/>
        <v>21.486264150943395</v>
      </c>
      <c r="G1930" s="21">
        <v>-6.8326319999999996E-2</v>
      </c>
      <c r="H1930" s="21">
        <v>5.1217760000000001E-2</v>
      </c>
    </row>
    <row r="1931" spans="1:8" x14ac:dyDescent="0.15">
      <c r="A1931" s="21">
        <v>3.7675779999999999E-2</v>
      </c>
      <c r="B1931" s="21">
        <f t="shared" si="60"/>
        <v>2.012736E-2</v>
      </c>
      <c r="D1931">
        <f t="shared" si="61"/>
        <v>9.1032861635220126</v>
      </c>
      <c r="G1931" s="21">
        <v>-2.8948450000000001E-2</v>
      </c>
      <c r="H1931" s="21">
        <v>2.012736E-2</v>
      </c>
    </row>
    <row r="1932" spans="1:8" x14ac:dyDescent="0.15">
      <c r="A1932" s="21">
        <v>3.7695310000000003E-2</v>
      </c>
      <c r="B1932" s="21">
        <f t="shared" si="60"/>
        <v>-1.170033E-2</v>
      </c>
      <c r="D1932">
        <f t="shared" si="61"/>
        <v>-3.526062893081761</v>
      </c>
      <c r="G1932" s="21">
        <v>1.121288E-2</v>
      </c>
      <c r="H1932" s="21">
        <v>-1.170033E-2</v>
      </c>
    </row>
    <row r="1933" spans="1:8" x14ac:dyDescent="0.15">
      <c r="A1933" s="21">
        <v>3.7714839999999999E-2</v>
      </c>
      <c r="B1933" s="21">
        <f t="shared" si="60"/>
        <v>-4.345707E-2</v>
      </c>
      <c r="D1933">
        <f t="shared" si="61"/>
        <v>-16.241446540880503</v>
      </c>
      <c r="G1933" s="21">
        <v>5.1647800000000001E-2</v>
      </c>
      <c r="H1933" s="21">
        <v>-4.345707E-2</v>
      </c>
    </row>
    <row r="1934" spans="1:8" x14ac:dyDescent="0.15">
      <c r="A1934" s="21">
        <v>3.7734379999999998E-2</v>
      </c>
      <c r="B1934" s="21">
        <f t="shared" si="60"/>
        <v>-7.4104249999999997E-2</v>
      </c>
      <c r="D1934">
        <f t="shared" si="61"/>
        <v>-28.538761006289306</v>
      </c>
      <c r="G1934" s="21">
        <v>9.0753260000000002E-2</v>
      </c>
      <c r="H1934" s="21">
        <v>-7.4104249999999997E-2</v>
      </c>
    </row>
    <row r="1935" spans="1:8" x14ac:dyDescent="0.15">
      <c r="A1935" s="21">
        <v>3.7753910000000002E-2</v>
      </c>
      <c r="B1935" s="21">
        <f t="shared" si="60"/>
        <v>-0.102979</v>
      </c>
      <c r="D1935">
        <f t="shared" si="61"/>
        <v>-40.096792452830186</v>
      </c>
      <c r="G1935" s="21">
        <v>0.1275078</v>
      </c>
      <c r="H1935" s="21">
        <v>-0.102979</v>
      </c>
    </row>
    <row r="1936" spans="1:8" x14ac:dyDescent="0.15">
      <c r="A1936" s="21">
        <v>3.7773439999999998E-2</v>
      </c>
      <c r="B1936" s="21">
        <f t="shared" si="60"/>
        <v>-0.13016820000000001</v>
      </c>
      <c r="D1936">
        <f t="shared" si="61"/>
        <v>-51.025754716981126</v>
      </c>
      <c r="G1936" s="21">
        <v>0.16226189999999999</v>
      </c>
      <c r="H1936" s="21">
        <v>-0.13016820000000001</v>
      </c>
    </row>
    <row r="1937" spans="1:8" x14ac:dyDescent="0.15">
      <c r="A1937" s="21">
        <v>3.7792970000000002E-2</v>
      </c>
      <c r="B1937" s="21">
        <f t="shared" si="60"/>
        <v>-0.1559625</v>
      </c>
      <c r="D1937">
        <f t="shared" si="61"/>
        <v>-61.374905660377358</v>
      </c>
      <c r="G1937" s="21">
        <v>0.19517219999999999</v>
      </c>
      <c r="H1937" s="21">
        <v>-0.1559625</v>
      </c>
    </row>
    <row r="1938" spans="1:8" x14ac:dyDescent="0.15">
      <c r="A1938" s="21">
        <v>3.7812499999999999E-2</v>
      </c>
      <c r="B1938" s="21">
        <f t="shared" si="60"/>
        <v>-0.1796876</v>
      </c>
      <c r="D1938">
        <f t="shared" si="61"/>
        <v>-70.937421383647802</v>
      </c>
      <c r="G1938" s="21">
        <v>0.225581</v>
      </c>
      <c r="H1938" s="21">
        <v>-0.1796876</v>
      </c>
    </row>
    <row r="1939" spans="1:8" x14ac:dyDescent="0.15">
      <c r="A1939" s="21">
        <v>3.7832030000000003E-2</v>
      </c>
      <c r="B1939" s="21">
        <f t="shared" si="60"/>
        <v>-0.20051669999999999</v>
      </c>
      <c r="D1939">
        <f t="shared" si="61"/>
        <v>-79.357389937106902</v>
      </c>
      <c r="G1939" s="21">
        <v>0.25235649999999998</v>
      </c>
      <c r="H1939" s="21">
        <v>-0.20051669999999999</v>
      </c>
    </row>
    <row r="1940" spans="1:8" x14ac:dyDescent="0.15">
      <c r="A1940" s="21">
        <v>3.7851559999999999E-2</v>
      </c>
      <c r="B1940" s="21">
        <f t="shared" si="60"/>
        <v>-0.21823680000000001</v>
      </c>
      <c r="D1940">
        <f t="shared" si="61"/>
        <v>-86.492987421383646</v>
      </c>
      <c r="G1940" s="21">
        <v>0.27504770000000001</v>
      </c>
      <c r="H1940" s="21">
        <v>-0.21823680000000001</v>
      </c>
    </row>
    <row r="1941" spans="1:8" x14ac:dyDescent="0.15">
      <c r="A1941" s="21">
        <v>3.7871090000000003E-2</v>
      </c>
      <c r="B1941" s="21">
        <f t="shared" si="60"/>
        <v>-0.2324273</v>
      </c>
      <c r="D1941">
        <f t="shared" si="61"/>
        <v>-92.317452830188671</v>
      </c>
      <c r="G1941" s="21">
        <v>0.29356949999999998</v>
      </c>
      <c r="H1941" s="21">
        <v>-0.2324273</v>
      </c>
    </row>
    <row r="1942" spans="1:8" x14ac:dyDescent="0.15">
      <c r="A1942" s="21">
        <v>3.7890630000000002E-2</v>
      </c>
      <c r="B1942" s="21">
        <f t="shared" si="60"/>
        <v>-0.2429029</v>
      </c>
      <c r="D1942">
        <f t="shared" si="61"/>
        <v>-96.599528301886778</v>
      </c>
      <c r="G1942" s="21">
        <v>0.30718649999999997</v>
      </c>
      <c r="H1942" s="21">
        <v>-0.2429029</v>
      </c>
    </row>
    <row r="1943" spans="1:8" x14ac:dyDescent="0.15">
      <c r="A1943" s="21">
        <v>3.7910159999999998E-2</v>
      </c>
      <c r="B1943" s="21">
        <f t="shared" si="60"/>
        <v>-0.25000529999999999</v>
      </c>
      <c r="D1943">
        <f t="shared" si="61"/>
        <v>-99.494339622641505</v>
      </c>
      <c r="G1943" s="21">
        <v>0.31639200000000001</v>
      </c>
      <c r="H1943" s="21">
        <v>-0.25000529999999999</v>
      </c>
    </row>
    <row r="1944" spans="1:8" x14ac:dyDescent="0.15">
      <c r="A1944" s="21">
        <v>3.7929690000000002E-2</v>
      </c>
      <c r="B1944" s="21">
        <f t="shared" si="60"/>
        <v>-0.2536871</v>
      </c>
      <c r="D1944">
        <f t="shared" si="61"/>
        <v>-101.11572327044024</v>
      </c>
      <c r="G1944" s="21">
        <v>0.321548</v>
      </c>
      <c r="H1944" s="21">
        <v>-0.2536871</v>
      </c>
    </row>
    <row r="1945" spans="1:8" x14ac:dyDescent="0.15">
      <c r="A1945" s="21">
        <v>3.7949219999999999E-2</v>
      </c>
      <c r="B1945" s="21">
        <f t="shared" si="60"/>
        <v>-0.25377440000000001</v>
      </c>
      <c r="D1945">
        <f t="shared" si="61"/>
        <v>-101.20827044025157</v>
      </c>
      <c r="G1945" s="21">
        <v>0.32184230000000003</v>
      </c>
      <c r="H1945" s="21">
        <v>-0.25377440000000001</v>
      </c>
    </row>
    <row r="1946" spans="1:8" x14ac:dyDescent="0.15">
      <c r="A1946" s="21">
        <v>3.7968750000000002E-2</v>
      </c>
      <c r="B1946" s="21">
        <f t="shared" si="60"/>
        <v>-0.25014589999999998</v>
      </c>
      <c r="D1946">
        <f t="shared" si="61"/>
        <v>-99.833710691823896</v>
      </c>
      <c r="G1946" s="21">
        <v>0.31747120000000001</v>
      </c>
      <c r="H1946" s="21">
        <v>-0.25014589999999998</v>
      </c>
    </row>
    <row r="1947" spans="1:8" x14ac:dyDescent="0.15">
      <c r="A1947" s="21">
        <v>3.7988279999999999E-2</v>
      </c>
      <c r="B1947" s="21">
        <f t="shared" si="60"/>
        <v>-0.2424695</v>
      </c>
      <c r="D1947">
        <f t="shared" si="61"/>
        <v>-96.888742138364776</v>
      </c>
      <c r="G1947" s="21">
        <v>0.3081062</v>
      </c>
      <c r="H1947" s="21">
        <v>-0.2424695</v>
      </c>
    </row>
    <row r="1948" spans="1:8" x14ac:dyDescent="0.15">
      <c r="A1948" s="21">
        <v>3.8007810000000003E-2</v>
      </c>
      <c r="B1948" s="21">
        <f t="shared" si="60"/>
        <v>-0.2307662</v>
      </c>
      <c r="D1948">
        <f t="shared" si="61"/>
        <v>-92.263459119496844</v>
      </c>
      <c r="G1948" s="21">
        <v>0.29339779999999999</v>
      </c>
      <c r="H1948" s="21">
        <v>-0.2307662</v>
      </c>
    </row>
    <row r="1949" spans="1:8" x14ac:dyDescent="0.15">
      <c r="A1949" s="21">
        <v>3.802734E-2</v>
      </c>
      <c r="B1949" s="21">
        <f t="shared" si="60"/>
        <v>-0.21585599999999999</v>
      </c>
      <c r="D1949">
        <f t="shared" si="61"/>
        <v>-86.359622641509432</v>
      </c>
      <c r="G1949" s="21">
        <v>0.27462360000000002</v>
      </c>
      <c r="H1949" s="21">
        <v>-0.21585599999999999</v>
      </c>
    </row>
    <row r="1950" spans="1:8" x14ac:dyDescent="0.15">
      <c r="A1950" s="21">
        <v>3.8046879999999998E-2</v>
      </c>
      <c r="B1950" s="21">
        <f t="shared" si="60"/>
        <v>-0.19831009999999999</v>
      </c>
      <c r="D1950">
        <f t="shared" si="61"/>
        <v>-79.366761006289309</v>
      </c>
      <c r="G1950" s="21">
        <v>0.25238630000000001</v>
      </c>
      <c r="H1950" s="21">
        <v>-0.19831009999999999</v>
      </c>
    </row>
    <row r="1951" spans="1:8" x14ac:dyDescent="0.15">
      <c r="A1951" s="21">
        <v>3.8066410000000002E-2</v>
      </c>
      <c r="B1951" s="21">
        <f t="shared" si="60"/>
        <v>-0.17752680000000001</v>
      </c>
      <c r="D1951">
        <f t="shared" si="61"/>
        <v>-71.053836477987417</v>
      </c>
      <c r="G1951" s="21">
        <v>0.22595119999999999</v>
      </c>
      <c r="H1951" s="21">
        <v>-0.17752680000000001</v>
      </c>
    </row>
    <row r="1952" spans="1:8" x14ac:dyDescent="0.15">
      <c r="A1952" s="21">
        <v>3.8085939999999999E-2</v>
      </c>
      <c r="B1952" s="21">
        <f t="shared" si="60"/>
        <v>-0.15366070000000001</v>
      </c>
      <c r="D1952">
        <f t="shared" si="61"/>
        <v>-61.553584905660379</v>
      </c>
      <c r="G1952" s="21">
        <v>0.19574040000000001</v>
      </c>
      <c r="H1952" s="21">
        <v>-0.15366070000000001</v>
      </c>
    </row>
    <row r="1953" spans="1:8" x14ac:dyDescent="0.15">
      <c r="A1953" s="21">
        <v>3.8105470000000002E-2</v>
      </c>
      <c r="B1953" s="21">
        <f t="shared" si="60"/>
        <v>-0.12728900000000001</v>
      </c>
      <c r="D1953">
        <f t="shared" si="61"/>
        <v>-51.05783018867924</v>
      </c>
      <c r="G1953" s="21">
        <v>0.16236390000000001</v>
      </c>
      <c r="H1953" s="21">
        <v>-0.12728900000000001</v>
      </c>
    </row>
    <row r="1954" spans="1:8" x14ac:dyDescent="0.15">
      <c r="A1954" s="21">
        <v>3.8124999999999999E-2</v>
      </c>
      <c r="B1954" s="21">
        <f t="shared" si="60"/>
        <v>-9.8734680000000005E-2</v>
      </c>
      <c r="D1954">
        <f t="shared" si="61"/>
        <v>-39.657955974842764</v>
      </c>
      <c r="G1954" s="21">
        <v>0.12611230000000001</v>
      </c>
      <c r="H1954" s="21">
        <v>-9.8734680000000005E-2</v>
      </c>
    </row>
    <row r="1955" spans="1:8" x14ac:dyDescent="0.15">
      <c r="A1955" s="21">
        <v>3.8144530000000003E-2</v>
      </c>
      <c r="B1955" s="21">
        <f t="shared" si="60"/>
        <v>-6.9278900000000004E-2</v>
      </c>
      <c r="D1955">
        <f t="shared" si="61"/>
        <v>-27.917311320754717</v>
      </c>
      <c r="G1955" s="21">
        <v>8.8777049999999996E-2</v>
      </c>
      <c r="H1955" s="21">
        <v>-6.9278900000000004E-2</v>
      </c>
    </row>
    <row r="1956" spans="1:8" x14ac:dyDescent="0.15">
      <c r="A1956" s="21">
        <v>3.816406E-2</v>
      </c>
      <c r="B1956" s="21">
        <f t="shared" si="60"/>
        <v>-3.8851660000000003E-2</v>
      </c>
      <c r="D1956">
        <f t="shared" si="61"/>
        <v>-15.766443396226414</v>
      </c>
      <c r="G1956" s="21">
        <v>5.0137290000000001E-2</v>
      </c>
      <c r="H1956" s="21">
        <v>-3.8851660000000003E-2</v>
      </c>
    </row>
    <row r="1957" spans="1:8" x14ac:dyDescent="0.15">
      <c r="A1957" s="21">
        <v>3.8183590000000003E-2</v>
      </c>
      <c r="B1957" s="21">
        <f t="shared" si="60"/>
        <v>-7.0749949999999997E-3</v>
      </c>
      <c r="D1957">
        <f t="shared" si="61"/>
        <v>-3.022769811320754</v>
      </c>
      <c r="G1957" s="21">
        <v>9.6124079999999994E-3</v>
      </c>
      <c r="H1957" s="21">
        <v>-7.0749949999999997E-3</v>
      </c>
    </row>
    <row r="1958" spans="1:8" x14ac:dyDescent="0.15">
      <c r="A1958" s="21">
        <v>3.820312E-2</v>
      </c>
      <c r="B1958" s="21">
        <f t="shared" si="60"/>
        <v>2.456786E-2</v>
      </c>
      <c r="D1958">
        <f t="shared" si="61"/>
        <v>9.6149654088050305</v>
      </c>
      <c r="G1958" s="21">
        <v>-3.057559E-2</v>
      </c>
      <c r="H1958" s="21">
        <v>2.456786E-2</v>
      </c>
    </row>
    <row r="1959" spans="1:8" x14ac:dyDescent="0.15">
      <c r="A1959" s="21">
        <v>3.8222659999999999E-2</v>
      </c>
      <c r="B1959" s="21">
        <f t="shared" si="60"/>
        <v>5.5324100000000001E-2</v>
      </c>
      <c r="D1959">
        <f t="shared" si="61"/>
        <v>21.931927672955972</v>
      </c>
      <c r="G1959" s="21">
        <v>-6.9743529999999998E-2</v>
      </c>
      <c r="H1959" s="21">
        <v>5.5324100000000001E-2</v>
      </c>
    </row>
    <row r="1960" spans="1:8" x14ac:dyDescent="0.15">
      <c r="A1960" s="21">
        <v>3.8242190000000002E-2</v>
      </c>
      <c r="B1960" s="21">
        <f t="shared" si="60"/>
        <v>8.5289649999999995E-2</v>
      </c>
      <c r="D1960">
        <f t="shared" si="61"/>
        <v>34.007484276729556</v>
      </c>
      <c r="G1960" s="21">
        <v>-0.1081438</v>
      </c>
      <c r="H1960" s="21">
        <v>8.5289649999999995E-2</v>
      </c>
    </row>
    <row r="1961" spans="1:8" x14ac:dyDescent="0.15">
      <c r="A1961" s="21">
        <v>3.8261719999999999E-2</v>
      </c>
      <c r="B1961" s="21">
        <f t="shared" si="60"/>
        <v>0.1139941</v>
      </c>
      <c r="D1961">
        <f t="shared" si="61"/>
        <v>45.570283018867919</v>
      </c>
      <c r="G1961" s="21">
        <v>-0.1449135</v>
      </c>
      <c r="H1961" s="21">
        <v>0.1139941</v>
      </c>
    </row>
    <row r="1962" spans="1:8" x14ac:dyDescent="0.15">
      <c r="A1962" s="21">
        <v>3.8281250000000003E-2</v>
      </c>
      <c r="B1962" s="21">
        <f t="shared" si="60"/>
        <v>0.14097190000000001</v>
      </c>
      <c r="D1962">
        <f t="shared" si="61"/>
        <v>56.470943396226417</v>
      </c>
      <c r="G1962" s="21">
        <v>-0.1795776</v>
      </c>
      <c r="H1962" s="21">
        <v>0.14097190000000001</v>
      </c>
    </row>
    <row r="1963" spans="1:8" x14ac:dyDescent="0.15">
      <c r="A1963" s="21">
        <v>3.830078E-2</v>
      </c>
      <c r="B1963" s="21">
        <f t="shared" si="60"/>
        <v>0.16613890000000001</v>
      </c>
      <c r="D1963">
        <f t="shared" si="61"/>
        <v>66.614371069182397</v>
      </c>
      <c r="G1963" s="21">
        <v>-0.21183370000000001</v>
      </c>
      <c r="H1963" s="21">
        <v>0.16613890000000001</v>
      </c>
    </row>
    <row r="1964" spans="1:8" x14ac:dyDescent="0.15">
      <c r="A1964" s="21">
        <v>3.8320310000000003E-2</v>
      </c>
      <c r="B1964" s="21">
        <f t="shared" si="60"/>
        <v>0.18863779999999999</v>
      </c>
      <c r="D1964">
        <f t="shared" si="61"/>
        <v>75.672830188679242</v>
      </c>
      <c r="G1964" s="21">
        <v>-0.24063960000000001</v>
      </c>
      <c r="H1964" s="21">
        <v>0.18863779999999999</v>
      </c>
    </row>
    <row r="1965" spans="1:8" x14ac:dyDescent="0.15">
      <c r="A1965" s="21">
        <v>3.833984E-2</v>
      </c>
      <c r="B1965" s="21">
        <f t="shared" si="60"/>
        <v>0.2076334</v>
      </c>
      <c r="D1965">
        <f t="shared" si="61"/>
        <v>83.344622641509417</v>
      </c>
      <c r="G1965" s="21">
        <v>-0.26503589999999999</v>
      </c>
      <c r="H1965" s="21">
        <v>0.2076334</v>
      </c>
    </row>
    <row r="1966" spans="1:8" x14ac:dyDescent="0.15">
      <c r="A1966" s="21">
        <v>3.8359379999999998E-2</v>
      </c>
      <c r="B1966" s="21">
        <f t="shared" si="60"/>
        <v>0.22339010000000001</v>
      </c>
      <c r="D1966">
        <f t="shared" si="61"/>
        <v>89.70738993710691</v>
      </c>
      <c r="G1966" s="21">
        <v>-0.28526950000000001</v>
      </c>
      <c r="H1966" s="21">
        <v>0.22339010000000001</v>
      </c>
    </row>
    <row r="1967" spans="1:8" x14ac:dyDescent="0.15">
      <c r="A1967" s="21">
        <v>3.8378910000000002E-2</v>
      </c>
      <c r="B1967" s="21">
        <f t="shared" si="60"/>
        <v>0.23628669999999999</v>
      </c>
      <c r="D1967">
        <f t="shared" si="61"/>
        <v>95.052358490566036</v>
      </c>
      <c r="G1967" s="21">
        <v>-0.30226649999999999</v>
      </c>
      <c r="H1967" s="21">
        <v>0.23628669999999999</v>
      </c>
    </row>
    <row r="1968" spans="1:8" x14ac:dyDescent="0.15">
      <c r="A1968" s="21">
        <v>3.8398439999999999E-2</v>
      </c>
      <c r="B1968" s="21">
        <f t="shared" si="60"/>
        <v>0.24653149999999999</v>
      </c>
      <c r="D1968">
        <f t="shared" si="61"/>
        <v>99.233867924528298</v>
      </c>
      <c r="G1968" s="21">
        <v>-0.3155637</v>
      </c>
      <c r="H1968" s="21">
        <v>0.24653149999999999</v>
      </c>
    </row>
    <row r="1969" spans="1:8" x14ac:dyDescent="0.15">
      <c r="A1969" s="21">
        <v>3.8417970000000003E-2</v>
      </c>
      <c r="B1969" s="21">
        <f t="shared" si="60"/>
        <v>0.25275429999999999</v>
      </c>
      <c r="D1969">
        <f t="shared" si="61"/>
        <v>101.65575471698112</v>
      </c>
      <c r="G1969" s="21">
        <v>-0.32326529999999998</v>
      </c>
      <c r="H1969" s="21">
        <v>0.25275429999999999</v>
      </c>
    </row>
    <row r="1970" spans="1:8" x14ac:dyDescent="0.15">
      <c r="A1970" s="21">
        <v>3.8437499999999999E-2</v>
      </c>
      <c r="B1970" s="21">
        <f t="shared" si="60"/>
        <v>0.25443480000000002</v>
      </c>
      <c r="D1970">
        <f t="shared" si="61"/>
        <v>102.45955974842767</v>
      </c>
      <c r="G1970" s="21">
        <v>-0.32582139999999998</v>
      </c>
      <c r="H1970" s="21">
        <v>0.25443480000000002</v>
      </c>
    </row>
    <row r="1971" spans="1:8" x14ac:dyDescent="0.15">
      <c r="A1971" s="21">
        <v>3.8457030000000003E-2</v>
      </c>
      <c r="B1971" s="21">
        <f t="shared" si="60"/>
        <v>0.25278709999999999</v>
      </c>
      <c r="D1971">
        <f t="shared" si="61"/>
        <v>101.87842767295598</v>
      </c>
      <c r="G1971" s="21">
        <v>-0.32397340000000002</v>
      </c>
      <c r="H1971" s="21">
        <v>0.25278709999999999</v>
      </c>
    </row>
    <row r="1972" spans="1:8" x14ac:dyDescent="0.15">
      <c r="A1972" s="21">
        <v>3.847656E-2</v>
      </c>
      <c r="B1972" s="21">
        <f t="shared" si="60"/>
        <v>0.24714059999999999</v>
      </c>
      <c r="D1972">
        <f t="shared" si="61"/>
        <v>99.583113207547171</v>
      </c>
      <c r="G1972" s="21">
        <v>-0.31667430000000002</v>
      </c>
      <c r="H1972" s="21">
        <v>0.24714059999999999</v>
      </c>
    </row>
    <row r="1973" spans="1:8" x14ac:dyDescent="0.15">
      <c r="A1973" s="21">
        <v>3.8496089999999997E-2</v>
      </c>
      <c r="B1973" s="21">
        <f t="shared" si="60"/>
        <v>0.23784330000000001</v>
      </c>
      <c r="D1973">
        <f t="shared" si="61"/>
        <v>95.8767610062893</v>
      </c>
      <c r="G1973" s="21">
        <v>-0.3048881</v>
      </c>
      <c r="H1973" s="21">
        <v>0.23784330000000001</v>
      </c>
    </row>
    <row r="1974" spans="1:8" x14ac:dyDescent="0.15">
      <c r="A1974" s="21">
        <v>3.851562E-2</v>
      </c>
      <c r="B1974" s="21">
        <f t="shared" si="60"/>
        <v>0.22575049999999999</v>
      </c>
      <c r="D1974">
        <f t="shared" si="61"/>
        <v>91.042389937106918</v>
      </c>
      <c r="G1974" s="21">
        <v>-0.28951480000000002</v>
      </c>
      <c r="H1974" s="21">
        <v>0.22575049999999999</v>
      </c>
    </row>
    <row r="1975" spans="1:8" x14ac:dyDescent="0.15">
      <c r="A1975" s="21">
        <v>3.8535159999999999E-2</v>
      </c>
      <c r="B1975" s="21">
        <f t="shared" si="60"/>
        <v>0.20989669999999999</v>
      </c>
      <c r="D1975">
        <f t="shared" si="61"/>
        <v>84.79336477987421</v>
      </c>
      <c r="G1975" s="21">
        <v>-0.26964290000000002</v>
      </c>
      <c r="H1975" s="21">
        <v>0.20989669999999999</v>
      </c>
    </row>
    <row r="1976" spans="1:8" x14ac:dyDescent="0.15">
      <c r="A1976" s="21">
        <v>3.8554690000000003E-2</v>
      </c>
      <c r="B1976" s="21">
        <f t="shared" si="60"/>
        <v>0.19077839999999999</v>
      </c>
      <c r="D1976">
        <f t="shared" si="61"/>
        <v>77.154874213836479</v>
      </c>
      <c r="G1976" s="21">
        <v>-0.2453525</v>
      </c>
      <c r="H1976" s="21">
        <v>0.19077839999999999</v>
      </c>
    </row>
    <row r="1977" spans="1:8" x14ac:dyDescent="0.15">
      <c r="A1977" s="21">
        <v>3.8574219999999999E-2</v>
      </c>
      <c r="B1977" s="21">
        <f t="shared" si="60"/>
        <v>0.168681</v>
      </c>
      <c r="D1977">
        <f t="shared" si="61"/>
        <v>68.26251572327044</v>
      </c>
      <c r="G1977" s="21">
        <v>-0.21707480000000001</v>
      </c>
      <c r="H1977" s="21">
        <v>0.168681</v>
      </c>
    </row>
    <row r="1978" spans="1:8" x14ac:dyDescent="0.15">
      <c r="A1978" s="21">
        <v>3.8593750000000003E-2</v>
      </c>
      <c r="B1978" s="21">
        <f t="shared" si="60"/>
        <v>0.14320440000000001</v>
      </c>
      <c r="D1978">
        <f t="shared" si="61"/>
        <v>58.179308176100633</v>
      </c>
      <c r="G1978" s="21">
        <v>-0.18501020000000001</v>
      </c>
      <c r="H1978" s="21">
        <v>0.14320440000000001</v>
      </c>
    </row>
    <row r="1979" spans="1:8" x14ac:dyDescent="0.15">
      <c r="A1979" s="21">
        <v>3.861328E-2</v>
      </c>
      <c r="B1979" s="21">
        <f t="shared" si="60"/>
        <v>0.1159693</v>
      </c>
      <c r="D1979">
        <f t="shared" si="61"/>
        <v>47.382830188679236</v>
      </c>
      <c r="G1979" s="21">
        <v>-0.15067739999999999</v>
      </c>
      <c r="H1979" s="21">
        <v>0.1159693</v>
      </c>
    </row>
    <row r="1980" spans="1:8" x14ac:dyDescent="0.15">
      <c r="A1980" s="21">
        <v>3.8632809999999997E-2</v>
      </c>
      <c r="B1980" s="21">
        <f t="shared" si="60"/>
        <v>8.7617780000000006E-2</v>
      </c>
      <c r="D1980">
        <f t="shared" si="61"/>
        <v>36.066509433962267</v>
      </c>
      <c r="G1980" s="21">
        <v>-0.1146915</v>
      </c>
      <c r="H1980" s="21">
        <v>8.7617780000000006E-2</v>
      </c>
    </row>
    <row r="1981" spans="1:8" x14ac:dyDescent="0.15">
      <c r="A1981" s="21">
        <v>3.865234E-2</v>
      </c>
      <c r="B1981" s="21">
        <f t="shared" si="60"/>
        <v>5.76389E-2</v>
      </c>
      <c r="D1981">
        <f t="shared" si="61"/>
        <v>24.066562893081755</v>
      </c>
      <c r="G1981" s="21">
        <v>-7.6531669999999996E-2</v>
      </c>
      <c r="H1981" s="21">
        <v>5.76389E-2</v>
      </c>
    </row>
    <row r="1982" spans="1:8" x14ac:dyDescent="0.15">
      <c r="A1982" s="21">
        <v>3.8671879999999999E-2</v>
      </c>
      <c r="B1982" s="21">
        <f t="shared" si="60"/>
        <v>2.667276E-2</v>
      </c>
      <c r="D1982">
        <f t="shared" si="61"/>
        <v>11.70004716981132</v>
      </c>
      <c r="G1982" s="21">
        <v>-3.720615E-2</v>
      </c>
      <c r="H1982" s="21">
        <v>2.667276E-2</v>
      </c>
    </row>
    <row r="1983" spans="1:8" x14ac:dyDescent="0.15">
      <c r="A1983" s="21">
        <v>3.8691410000000002E-2</v>
      </c>
      <c r="B1983" s="21">
        <f t="shared" si="60"/>
        <v>-5.1999799999999999E-3</v>
      </c>
      <c r="D1983">
        <f t="shared" si="61"/>
        <v>-0.9448921383647797</v>
      </c>
      <c r="G1983" s="21">
        <v>3.0047569999999998E-3</v>
      </c>
      <c r="H1983" s="21">
        <v>-5.1999799999999999E-3</v>
      </c>
    </row>
    <row r="1984" spans="1:8" x14ac:dyDescent="0.15">
      <c r="A1984" s="21">
        <v>3.8710939999999999E-2</v>
      </c>
      <c r="B1984" s="21">
        <f t="shared" si="60"/>
        <v>-3.708347E-2</v>
      </c>
      <c r="D1984">
        <f t="shared" si="61"/>
        <v>-13.671959119496854</v>
      </c>
      <c r="G1984" s="21">
        <v>4.3476830000000001E-2</v>
      </c>
      <c r="H1984" s="21">
        <v>-3.708347E-2</v>
      </c>
    </row>
    <row r="1985" spans="1:8" x14ac:dyDescent="0.15">
      <c r="A1985" s="21">
        <v>3.8730470000000003E-2</v>
      </c>
      <c r="B1985" s="21">
        <f t="shared" si="60"/>
        <v>-6.7555820000000003E-2</v>
      </c>
      <c r="D1985">
        <f t="shared" si="61"/>
        <v>-25.90141823899371</v>
      </c>
      <c r="G1985" s="21">
        <v>8.2366510000000004E-2</v>
      </c>
      <c r="H1985" s="21">
        <v>-6.7555820000000003E-2</v>
      </c>
    </row>
    <row r="1986" spans="1:8" x14ac:dyDescent="0.15">
      <c r="A1986" s="21">
        <v>3.875E-2</v>
      </c>
      <c r="B1986" s="21">
        <f t="shared" ref="B1986:B2001" si="62">H1986</f>
        <v>-9.6793439999999994E-2</v>
      </c>
      <c r="D1986">
        <f t="shared" ref="D1986:D2001" si="63">G1986*-1000/3.18</f>
        <v>-37.59314465408805</v>
      </c>
      <c r="G1986" s="21">
        <v>0.11954620000000001</v>
      </c>
      <c r="H1986" s="21">
        <v>-9.6793439999999994E-2</v>
      </c>
    </row>
    <row r="1987" spans="1:8" x14ac:dyDescent="0.15">
      <c r="A1987" s="21">
        <v>3.8769530000000003E-2</v>
      </c>
      <c r="B1987" s="21">
        <f t="shared" si="62"/>
        <v>-0.12446599999999999</v>
      </c>
      <c r="D1987">
        <f t="shared" si="63"/>
        <v>-48.726509433962271</v>
      </c>
      <c r="G1987" s="21">
        <v>0.15495030000000001</v>
      </c>
      <c r="H1987" s="21">
        <v>-0.12446599999999999</v>
      </c>
    </row>
    <row r="1988" spans="1:8" x14ac:dyDescent="0.15">
      <c r="A1988" s="21">
        <v>3.878906E-2</v>
      </c>
      <c r="B1988" s="21">
        <f t="shared" si="62"/>
        <v>-0.1505503</v>
      </c>
      <c r="D1988">
        <f t="shared" si="63"/>
        <v>-59.285314465408803</v>
      </c>
      <c r="G1988" s="21">
        <v>0.18852730000000001</v>
      </c>
      <c r="H1988" s="21">
        <v>-0.1505503</v>
      </c>
    </row>
    <row r="1989" spans="1:8" x14ac:dyDescent="0.15">
      <c r="A1989" s="21">
        <v>3.8808589999999997E-2</v>
      </c>
      <c r="B1989" s="21">
        <f t="shared" si="62"/>
        <v>-0.1748769</v>
      </c>
      <c r="D1989">
        <f t="shared" si="63"/>
        <v>-69.066257861635222</v>
      </c>
      <c r="G1989" s="21">
        <v>0.21963070000000001</v>
      </c>
      <c r="H1989" s="21">
        <v>-0.1748769</v>
      </c>
    </row>
    <row r="1990" spans="1:8" x14ac:dyDescent="0.15">
      <c r="A1990" s="21">
        <v>3.8828120000000001E-2</v>
      </c>
      <c r="B1990" s="21">
        <f t="shared" si="62"/>
        <v>-0.1962988</v>
      </c>
      <c r="D1990">
        <f t="shared" si="63"/>
        <v>-77.684999999999988</v>
      </c>
      <c r="G1990" s="21">
        <v>0.24703829999999999</v>
      </c>
      <c r="H1990" s="21">
        <v>-0.1962988</v>
      </c>
    </row>
    <row r="1991" spans="1:8" x14ac:dyDescent="0.15">
      <c r="A1991" s="21">
        <v>3.8847659999999999E-2</v>
      </c>
      <c r="B1991" s="21">
        <f t="shared" si="62"/>
        <v>-0.21456310000000001</v>
      </c>
      <c r="D1991">
        <f t="shared" si="63"/>
        <v>-85.087798742138361</v>
      </c>
      <c r="G1991" s="21">
        <v>0.27057920000000002</v>
      </c>
      <c r="H1991" s="21">
        <v>-0.21456310000000001</v>
      </c>
    </row>
    <row r="1992" spans="1:8" x14ac:dyDescent="0.15">
      <c r="A1992" s="21">
        <v>3.8867190000000003E-2</v>
      </c>
      <c r="B1992" s="21">
        <f t="shared" si="62"/>
        <v>-0.22913269999999999</v>
      </c>
      <c r="D1992">
        <f t="shared" si="63"/>
        <v>-90.991257861635205</v>
      </c>
      <c r="G1992" s="21">
        <v>0.2893522</v>
      </c>
      <c r="H1992" s="21">
        <v>-0.22913269999999999</v>
      </c>
    </row>
    <row r="1993" spans="1:8" x14ac:dyDescent="0.15">
      <c r="A1993" s="21">
        <v>3.888672E-2</v>
      </c>
      <c r="B1993" s="21">
        <f t="shared" si="62"/>
        <v>-0.24028450000000001</v>
      </c>
      <c r="D1993">
        <f t="shared" si="63"/>
        <v>-95.563836477987422</v>
      </c>
      <c r="G1993" s="21">
        <v>0.30389300000000002</v>
      </c>
      <c r="H1993" s="21">
        <v>-0.24028450000000001</v>
      </c>
    </row>
    <row r="1994" spans="1:8" x14ac:dyDescent="0.15">
      <c r="A1994" s="21">
        <v>3.8906250000000003E-2</v>
      </c>
      <c r="B1994" s="21">
        <f t="shared" si="62"/>
        <v>-0.24870129999999999</v>
      </c>
      <c r="D1994">
        <f t="shared" si="63"/>
        <v>-99.092547169811326</v>
      </c>
      <c r="G1994" s="21">
        <v>0.31511430000000001</v>
      </c>
      <c r="H1994" s="21">
        <v>-0.24870129999999999</v>
      </c>
    </row>
    <row r="1995" spans="1:8" x14ac:dyDescent="0.15">
      <c r="A1995" s="21">
        <v>3.892578E-2</v>
      </c>
      <c r="B1995" s="21">
        <f t="shared" si="62"/>
        <v>-0.25325989999999998</v>
      </c>
      <c r="D1995">
        <f t="shared" si="63"/>
        <v>-100.98597484276729</v>
      </c>
      <c r="G1995" s="21">
        <v>0.32113540000000002</v>
      </c>
      <c r="H1995" s="21">
        <v>-0.25325989999999998</v>
      </c>
    </row>
    <row r="1996" spans="1:8" x14ac:dyDescent="0.15">
      <c r="A1996" s="21">
        <v>3.8945309999999997E-2</v>
      </c>
      <c r="B1996" s="21">
        <f t="shared" si="62"/>
        <v>-0.25378079999999997</v>
      </c>
      <c r="D1996">
        <f t="shared" si="63"/>
        <v>-101.15327044025156</v>
      </c>
      <c r="G1996" s="21">
        <v>0.32166739999999999</v>
      </c>
      <c r="H1996" s="21">
        <v>-0.25378079999999997</v>
      </c>
    </row>
    <row r="1997" spans="1:8" x14ac:dyDescent="0.15">
      <c r="A1997" s="21">
        <v>3.8964840000000001E-2</v>
      </c>
      <c r="B1997" s="21">
        <f t="shared" si="62"/>
        <v>-0.2507373</v>
      </c>
      <c r="D1997">
        <f t="shared" si="63"/>
        <v>-100.04094339622641</v>
      </c>
      <c r="G1997" s="21">
        <v>0.31813019999999997</v>
      </c>
      <c r="H1997" s="21">
        <v>-0.2507373</v>
      </c>
    </row>
    <row r="1998" spans="1:8" x14ac:dyDescent="0.15">
      <c r="A1998" s="21">
        <v>3.8984379999999999E-2</v>
      </c>
      <c r="B1998" s="21">
        <f t="shared" si="62"/>
        <v>-0.24355930000000001</v>
      </c>
      <c r="D1998">
        <f t="shared" si="63"/>
        <v>-97.328459119496856</v>
      </c>
      <c r="G1998" s="21">
        <v>0.30950450000000002</v>
      </c>
      <c r="H1998" s="21">
        <v>-0.24355930000000001</v>
      </c>
    </row>
    <row r="1999" spans="1:8" x14ac:dyDescent="0.15">
      <c r="A1999" s="21">
        <v>3.9003910000000003E-2</v>
      </c>
      <c r="B1999" s="21">
        <f t="shared" si="62"/>
        <v>-0.2326696</v>
      </c>
      <c r="D1999">
        <f t="shared" si="63"/>
        <v>-92.972955974842762</v>
      </c>
      <c r="G1999" s="21">
        <v>0.29565399999999997</v>
      </c>
      <c r="H1999" s="21">
        <v>-0.2326696</v>
      </c>
    </row>
    <row r="2000" spans="1:8" x14ac:dyDescent="0.15">
      <c r="A2000" s="21">
        <v>3.902344E-2</v>
      </c>
      <c r="B2000" s="21">
        <f t="shared" si="62"/>
        <v>-0.21906700000000001</v>
      </c>
      <c r="D2000">
        <f t="shared" si="63"/>
        <v>-87.589559748427675</v>
      </c>
      <c r="G2000" s="21">
        <v>0.27853480000000003</v>
      </c>
      <c r="H2000" s="21">
        <v>-0.21906700000000001</v>
      </c>
    </row>
    <row r="2001" spans="1:8" x14ac:dyDescent="0.15">
      <c r="A2001" s="21">
        <v>3.9042970000000003E-2</v>
      </c>
      <c r="B2001" s="21">
        <f t="shared" si="62"/>
        <v>-0.20223679999999999</v>
      </c>
      <c r="D2001">
        <f t="shared" si="63"/>
        <v>-80.86314465408806</v>
      </c>
      <c r="G2001" s="21">
        <v>0.25714480000000001</v>
      </c>
      <c r="H2001" s="21">
        <v>-0.20223679999999999</v>
      </c>
    </row>
    <row r="2002" spans="1:8" x14ac:dyDescent="0.15">
      <c r="A2002" s="21"/>
      <c r="B2002" s="21"/>
      <c r="G2002" s="21">
        <v>0.2310681</v>
      </c>
      <c r="H2002" s="21">
        <v>-0.1817008</v>
      </c>
    </row>
    <row r="2003" spans="1:8" x14ac:dyDescent="0.15">
      <c r="A2003" s="21"/>
      <c r="B2003" s="21"/>
      <c r="G2003" s="21">
        <v>0.2014541</v>
      </c>
      <c r="H2003" s="21">
        <v>-0.15804509999999999</v>
      </c>
    </row>
    <row r="2004" spans="1:8" x14ac:dyDescent="0.15">
      <c r="A2004" s="21"/>
      <c r="B2004" s="21"/>
      <c r="G2004" s="21">
        <v>0.16800300000000001</v>
      </c>
      <c r="H2004" s="21">
        <v>-0.13176660000000001</v>
      </c>
    </row>
    <row r="2005" spans="1:8" x14ac:dyDescent="0.15">
      <c r="A2005" s="21"/>
      <c r="B2005" s="21"/>
      <c r="G2005" s="21">
        <v>0.13276679999999999</v>
      </c>
      <c r="H2005" s="21">
        <v>-0.10396569999999999</v>
      </c>
    </row>
    <row r="2006" spans="1:8" x14ac:dyDescent="0.15">
      <c r="A2006" s="21"/>
      <c r="B2006" s="21"/>
      <c r="G2006" s="21">
        <v>9.6383869999999996E-2</v>
      </c>
      <c r="H2006" s="21">
        <v>-7.5178060000000005E-2</v>
      </c>
    </row>
    <row r="2007" spans="1:8" x14ac:dyDescent="0.15">
      <c r="A2007" s="21"/>
      <c r="B2007" s="21"/>
      <c r="G2007" s="21">
        <v>5.7669860000000003E-2</v>
      </c>
      <c r="H2007" s="21">
        <v>-4.4818509999999999E-2</v>
      </c>
    </row>
    <row r="2008" spans="1:8" x14ac:dyDescent="0.15">
      <c r="A2008" s="21"/>
      <c r="B2008" s="21"/>
      <c r="G2008" s="21">
        <v>1.7565420000000002E-2</v>
      </c>
      <c r="H2008" s="21">
        <v>-1.319739E-2</v>
      </c>
    </row>
    <row r="2009" spans="1:8" x14ac:dyDescent="0.15">
      <c r="A2009" s="21"/>
      <c r="B2009" s="21"/>
      <c r="G2009" s="21">
        <v>-2.338811E-2</v>
      </c>
      <c r="H2009" s="21">
        <v>1.889091E-2</v>
      </c>
    </row>
    <row r="2010" spans="1:8" x14ac:dyDescent="0.15">
      <c r="A2010" s="21"/>
      <c r="B2010" s="21"/>
      <c r="G2010" s="21">
        <v>-6.3323779999999996E-2</v>
      </c>
      <c r="H2010" s="21">
        <v>5.0183230000000002E-2</v>
      </c>
    </row>
    <row r="2011" spans="1:8" x14ac:dyDescent="0.15">
      <c r="A2011" s="21"/>
      <c r="B2011" s="21"/>
      <c r="G2011" s="21">
        <v>-0.1014355</v>
      </c>
      <c r="H2011" s="21">
        <v>8.0022480000000007E-2</v>
      </c>
    </row>
    <row r="2012" spans="1:8" x14ac:dyDescent="0.15">
      <c r="A2012" s="21"/>
      <c r="B2012" s="21"/>
      <c r="G2012" s="21">
        <v>-0.1382292</v>
      </c>
      <c r="H2012" s="21">
        <v>0.10866629999999999</v>
      </c>
    </row>
    <row r="2013" spans="1:8" x14ac:dyDescent="0.15">
      <c r="A2013" s="21"/>
      <c r="B2013" s="21"/>
      <c r="G2013" s="21">
        <v>-0.17284720000000001</v>
      </c>
      <c r="H2013" s="21">
        <v>0.13570199999999999</v>
      </c>
    </row>
    <row r="2014" spans="1:8" x14ac:dyDescent="0.15">
      <c r="A2014" s="21"/>
      <c r="B2014" s="21"/>
      <c r="G2014" s="21">
        <v>-0.20575599999999999</v>
      </c>
      <c r="H2014" s="21">
        <v>0.16120409999999999</v>
      </c>
    </row>
    <row r="2015" spans="1:8" x14ac:dyDescent="0.15">
      <c r="A2015" s="21"/>
      <c r="B2015" s="21"/>
      <c r="G2015" s="21">
        <v>-0.23590459999999999</v>
      </c>
      <c r="H2015" s="21">
        <v>0.18467990000000001</v>
      </c>
    </row>
    <row r="2016" spans="1:8" x14ac:dyDescent="0.15">
      <c r="A2016" s="21"/>
      <c r="B2016" s="21"/>
      <c r="G2016" s="21">
        <v>-0.26141769999999998</v>
      </c>
      <c r="H2016" s="21">
        <v>0.20471510000000001</v>
      </c>
    </row>
    <row r="2017" spans="1:8" x14ac:dyDescent="0.15">
      <c r="A2017" s="21"/>
      <c r="B2017" s="21"/>
      <c r="G2017" s="21">
        <v>-0.28251700000000002</v>
      </c>
      <c r="H2017" s="21">
        <v>0.22112039999999999</v>
      </c>
    </row>
    <row r="2018" spans="1:8" x14ac:dyDescent="0.15">
      <c r="A2018" s="21"/>
      <c r="B2018" s="21"/>
      <c r="G2018" s="21">
        <v>-0.29980400000000001</v>
      </c>
      <c r="H2018" s="21">
        <v>0.23425599999999999</v>
      </c>
    </row>
    <row r="2019" spans="1:8" x14ac:dyDescent="0.15">
      <c r="A2019" s="21"/>
      <c r="B2019" s="21"/>
      <c r="G2019" s="21">
        <v>-0.31339919999999999</v>
      </c>
      <c r="H2019" s="21">
        <v>0.24461279999999999</v>
      </c>
    </row>
    <row r="2020" spans="1:8" x14ac:dyDescent="0.15">
      <c r="A2020" s="21"/>
      <c r="B2020" s="21"/>
      <c r="G2020" s="21">
        <v>-0.32234550000000001</v>
      </c>
      <c r="H2020" s="21">
        <v>0.2518068</v>
      </c>
    </row>
    <row r="2021" spans="1:8" x14ac:dyDescent="0.15">
      <c r="A2021" s="21"/>
      <c r="B2021" s="21"/>
      <c r="G2021" s="21">
        <v>-0.3261462</v>
      </c>
      <c r="H2021" s="21">
        <v>0.2547393</v>
      </c>
    </row>
    <row r="2022" spans="1:8" x14ac:dyDescent="0.15">
      <c r="A2022" s="21"/>
      <c r="B2022" s="21"/>
      <c r="G2022" s="21">
        <v>-0.32513839999999999</v>
      </c>
      <c r="H2022" s="21">
        <v>0.25380360000000002</v>
      </c>
    </row>
    <row r="2023" spans="1:8" x14ac:dyDescent="0.15">
      <c r="A2023" s="21"/>
      <c r="B2023" s="21"/>
      <c r="G2023" s="21">
        <v>-0.31935150000000001</v>
      </c>
      <c r="H2023" s="21">
        <v>0.249226</v>
      </c>
    </row>
    <row r="2024" spans="1:8" x14ac:dyDescent="0.15">
      <c r="A2024" s="21"/>
      <c r="B2024" s="21"/>
      <c r="G2024" s="21">
        <v>-0.30841790000000002</v>
      </c>
      <c r="H2024" s="21">
        <v>0.2405516</v>
      </c>
    </row>
    <row r="2025" spans="1:8" x14ac:dyDescent="0.15">
      <c r="A2025" s="21"/>
      <c r="B2025" s="21"/>
      <c r="G2025" s="21">
        <v>-0.29298940000000001</v>
      </c>
      <c r="H2025" s="21">
        <v>0.22837750000000001</v>
      </c>
    </row>
    <row r="2026" spans="1:8" x14ac:dyDescent="0.15">
      <c r="A2026" s="21"/>
      <c r="B2026" s="21"/>
      <c r="G2026" s="21">
        <v>-0.27415250000000002</v>
      </c>
      <c r="H2026" s="21">
        <v>0.21329699999999999</v>
      </c>
    </row>
    <row r="2027" spans="1:8" x14ac:dyDescent="0.15">
      <c r="A2027" s="21"/>
      <c r="B2027" s="21"/>
      <c r="G2027" s="21">
        <v>-0.25102360000000001</v>
      </c>
      <c r="H2027" s="21">
        <v>0.19509760000000001</v>
      </c>
    </row>
    <row r="2028" spans="1:8" x14ac:dyDescent="0.15">
      <c r="A2028" s="21"/>
      <c r="B2028" s="21"/>
      <c r="G2028" s="21">
        <v>-0.22342680000000001</v>
      </c>
      <c r="H2028" s="21">
        <v>0.17353579999999999</v>
      </c>
    </row>
    <row r="2029" spans="1:8" x14ac:dyDescent="0.15">
      <c r="A2029" s="21"/>
      <c r="B2029" s="21"/>
      <c r="G2029" s="21">
        <v>-0.1924913</v>
      </c>
      <c r="H2029" s="21">
        <v>0.14893400000000001</v>
      </c>
    </row>
    <row r="2030" spans="1:8" x14ac:dyDescent="0.15">
      <c r="A2030" s="21"/>
      <c r="B2030" s="21"/>
      <c r="G2030" s="21">
        <v>-0.15857550000000001</v>
      </c>
      <c r="H2030" s="21">
        <v>0.12200709999999999</v>
      </c>
    </row>
    <row r="2031" spans="1:8" x14ac:dyDescent="0.15">
      <c r="A2031" s="21"/>
      <c r="B2031" s="21"/>
      <c r="G2031" s="21">
        <v>-0.122488</v>
      </c>
      <c r="H2031" s="21">
        <v>9.3511940000000002E-2</v>
      </c>
    </row>
    <row r="2032" spans="1:8" x14ac:dyDescent="0.15">
      <c r="A2032" s="21"/>
      <c r="B2032" s="21"/>
      <c r="G2032" s="21">
        <v>-8.4461149999999999E-2</v>
      </c>
      <c r="H2032" s="21">
        <v>6.3669050000000005E-2</v>
      </c>
    </row>
    <row r="2033" spans="1:8" x14ac:dyDescent="0.15">
      <c r="A2033" s="21"/>
      <c r="B2033" s="21"/>
      <c r="G2033" s="21">
        <v>-4.5082700000000003E-2</v>
      </c>
      <c r="H2033" s="21">
        <v>3.2678550000000001E-2</v>
      </c>
    </row>
    <row r="2034" spans="1:8" x14ac:dyDescent="0.15">
      <c r="A2034" s="21"/>
      <c r="B2034" s="21"/>
      <c r="G2034" s="21">
        <v>-5.5309690000000002E-3</v>
      </c>
      <c r="H2034" s="21">
        <v>1.2922949999999999E-3</v>
      </c>
    </row>
    <row r="2035" spans="1:8" x14ac:dyDescent="0.15">
      <c r="A2035" s="21"/>
      <c r="B2035" s="21"/>
      <c r="G2035" s="21">
        <v>3.5185660000000001E-2</v>
      </c>
      <c r="H2035" s="21">
        <v>-3.051386E-2</v>
      </c>
    </row>
    <row r="2036" spans="1:8" x14ac:dyDescent="0.15">
      <c r="A2036" s="21"/>
      <c r="B2036" s="21"/>
      <c r="G2036" s="21">
        <v>7.4979400000000002E-2</v>
      </c>
      <c r="H2036" s="21">
        <v>-6.1606439999999998E-2</v>
      </c>
    </row>
    <row r="2037" spans="1:8" x14ac:dyDescent="0.15">
      <c r="A2037" s="21"/>
      <c r="B2037" s="21"/>
      <c r="G2037" s="21">
        <v>0.1118717</v>
      </c>
      <c r="H2037" s="21">
        <v>-9.0789919999999996E-2</v>
      </c>
    </row>
    <row r="2038" spans="1:8" x14ac:dyDescent="0.15">
      <c r="A2038" s="21"/>
      <c r="B2038" s="21"/>
      <c r="G2038" s="21">
        <v>0.14830260000000001</v>
      </c>
      <c r="H2038" s="21">
        <v>-0.119256</v>
      </c>
    </row>
    <row r="2039" spans="1:8" x14ac:dyDescent="0.15">
      <c r="A2039" s="21"/>
      <c r="B2039" s="21"/>
      <c r="G2039" s="21">
        <v>0.18267600000000001</v>
      </c>
      <c r="H2039" s="21">
        <v>-0.1461537</v>
      </c>
    </row>
    <row r="2040" spans="1:8" x14ac:dyDescent="0.15">
      <c r="A2040" s="21"/>
      <c r="B2040" s="21"/>
      <c r="G2040" s="21">
        <v>0.21340249999999999</v>
      </c>
      <c r="H2040" s="21">
        <v>-0.1702545</v>
      </c>
    </row>
    <row r="2041" spans="1:8" x14ac:dyDescent="0.15">
      <c r="A2041" s="21"/>
      <c r="B2041" s="21"/>
      <c r="G2041" s="21">
        <v>0.24175160000000001</v>
      </c>
      <c r="H2041" s="21">
        <v>-0.19225030000000001</v>
      </c>
    </row>
    <row r="2042" spans="1:8" x14ac:dyDescent="0.15">
      <c r="A2042" s="21"/>
      <c r="B2042" s="21"/>
      <c r="G2042" s="21">
        <v>0.26599200000000001</v>
      </c>
      <c r="H2042" s="21">
        <v>-0.21121329999999999</v>
      </c>
    </row>
    <row r="2043" spans="1:8" x14ac:dyDescent="0.15">
      <c r="A2043" s="21"/>
      <c r="B2043" s="21"/>
      <c r="G2043" s="21">
        <v>0.28578369999999997</v>
      </c>
      <c r="H2043" s="21">
        <v>-0.22658400000000001</v>
      </c>
    </row>
    <row r="2044" spans="1:8" x14ac:dyDescent="0.15">
      <c r="A2044" s="21"/>
      <c r="B2044" s="21"/>
      <c r="G2044" s="21">
        <v>0.30197079999999998</v>
      </c>
      <c r="H2044" s="21">
        <v>-0.23898920000000001</v>
      </c>
    </row>
    <row r="2045" spans="1:8" x14ac:dyDescent="0.15">
      <c r="A2045" s="21"/>
      <c r="B2045" s="21"/>
      <c r="G2045" s="21">
        <v>0.31351649999999998</v>
      </c>
      <c r="H2045" s="21">
        <v>-0.24792330000000001</v>
      </c>
    </row>
    <row r="2046" spans="1:8" x14ac:dyDescent="0.15">
      <c r="A2046" s="21"/>
      <c r="B2046" s="21"/>
      <c r="G2046" s="21">
        <v>0.32057219999999997</v>
      </c>
      <c r="H2046" s="21">
        <v>-0.25309340000000002</v>
      </c>
    </row>
    <row r="2047" spans="1:8" x14ac:dyDescent="0.15">
      <c r="A2047" s="21"/>
      <c r="B2047" s="21"/>
      <c r="G2047" s="21">
        <v>0.32260929999999999</v>
      </c>
      <c r="H2047" s="21">
        <v>-0.25449690000000003</v>
      </c>
    </row>
    <row r="2048" spans="1:8" x14ac:dyDescent="0.15">
      <c r="A2048" s="21"/>
      <c r="B2048" s="21"/>
      <c r="G2048" s="21">
        <v>0.31894090000000003</v>
      </c>
      <c r="H2048" s="21">
        <v>-0.25167499999999998</v>
      </c>
    </row>
    <row r="2049" spans="1:8" x14ac:dyDescent="0.15">
      <c r="A2049" s="21"/>
      <c r="B2049" s="21"/>
      <c r="G2049" s="21">
        <v>0.3115253</v>
      </c>
      <c r="H2049" s="21">
        <v>-0.2453736</v>
      </c>
    </row>
    <row r="2050" spans="1:8" x14ac:dyDescent="0.15">
      <c r="D2050">
        <f t="shared" ref="D2050" si="64">G2050*-1000/3.18</f>
        <v>0</v>
      </c>
    </row>
  </sheetData>
  <phoneticPr fontId="1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F2451E0501</cp:lastModifiedBy>
  <dcterms:created xsi:type="dcterms:W3CDTF">2026-05-16T13:35:05Z</dcterms:created>
  <dcterms:modified xsi:type="dcterms:W3CDTF">2026-09-25T13:00:29Z</dcterms:modified>
</cp:coreProperties>
</file>