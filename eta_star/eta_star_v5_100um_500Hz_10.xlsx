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100um\500\"/>
    </mc:Choice>
  </mc:AlternateContent>
  <xr:revisionPtr revIDLastSave="0" documentId="13_ncr:1_{E15DA142-0C23-4CFA-B7F6-1A3D481D68AF}" xr6:coauthVersionLast="47" xr6:coauthVersionMax="47" xr10:uidLastSave="{00000000-0000-0000-0000-000000000000}"/>
  <bookViews>
    <workbookView xWindow="39030" yWindow="570" windowWidth="19200" windowHeight="19890" activeTab="2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<sst xmlns="http://schemas.openxmlformats.org/spreadsheetml/2006/main" count="123" uniqueCount="69">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</sst>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-7.1368982227686582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-0.96018402571914518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>
      <pane ySplit="3" topLeftCell="A4" activePane="bottomLeft" state="frozen"/>
      <selection pane="bottomLeft" activeCell="A54" sqref="A54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0.76900000000000002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1.649</v>
      </c>
      <c r="C9" s="2" t="s">
        <v>10</v>
      </c>
    </row>
    <row r="10" spans="1:8" x14ac:dyDescent="0.35">
      <c r="A10" s="2" t="s">
        <v>15</v>
      </c>
      <c r="B10" s="8">
        <f>2*PI()*B6</f>
        <v>3141.5926535897929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151.84035715808864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216.92665283884693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51206.059748117841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89125.523826605626</v>
      </c>
      <c r="C32" s="2"/>
    </row>
    <row r="33" spans="1:4" x14ac:dyDescent="0.35">
      <c r="A33" s="2" t="s">
        <v>38</v>
      </c>
      <c r="B33" s="10">
        <f>B31^2+B32^2</f>
        <v>10565419552.294661</v>
      </c>
      <c r="C33" s="2"/>
    </row>
    <row r="34" spans="1:4" x14ac:dyDescent="0.35">
      <c r="A34" s="2" t="s">
        <v>39</v>
      </c>
      <c r="B34" s="10">
        <f>B31*B29+B32*B30</f>
        <v>27108847.967027098</v>
      </c>
      <c r="C34" s="2"/>
    </row>
    <row r="35" spans="1:4" x14ac:dyDescent="0.35">
      <c r="A35" s="2" t="s">
        <v>40</v>
      </c>
      <c r="B35" s="10">
        <f>B31*B30-B32*B29</f>
        <v>-2424892.2235083245</v>
      </c>
      <c r="C35" s="2"/>
    </row>
    <row r="36" spans="1:4" x14ac:dyDescent="0.35">
      <c r="A36" s="2" t="s">
        <v>43</v>
      </c>
      <c r="B36" s="12">
        <f>2*SQRT(B33)/B5</f>
        <v>102.78822672025557</v>
      </c>
      <c r="C36" s="2" t="s">
        <v>44</v>
      </c>
    </row>
    <row r="37" spans="1:4" x14ac:dyDescent="0.35">
      <c r="A37" s="2" t="s">
        <v>45</v>
      </c>
      <c r="B37" s="13">
        <f>B36/B10</f>
        <v>3.2718508748358223E-2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0.87451025360356238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7.7186716767289397E-7</v>
      </c>
      <c r="C39" s="2" t="s">
        <v>51</v>
      </c>
    </row>
    <row r="40" spans="1:4" x14ac:dyDescent="0.35">
      <c r="A40" s="2" t="s">
        <v>52</v>
      </c>
      <c r="B40" s="16">
        <f>0.5*(B9/1000)*B37^2</f>
        <v>8.8262792173366657E-7</v>
      </c>
      <c r="C40" s="2" t="s">
        <v>51</v>
      </c>
    </row>
    <row r="41" spans="1:4" x14ac:dyDescent="0.35">
      <c r="A41" s="2" t="s">
        <v>53</v>
      </c>
      <c r="B41" s="17">
        <f>B39/B40</f>
        <v>0.87451025360356238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tabSelected="1" workbookViewId="0">
      <pane ySplit="1" topLeftCell="A2" activePane="bottomLeft" state="frozen"/>
      <selection pane="bottomLeft" activeCell="F38" sqref="F37:F38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0.1533679</v>
      </c>
      <c r="D2">
        <f>G2*-1000/3.18</f>
        <v>51.667798742138359</v>
      </c>
      <c r="F2" s="18" t="s">
        <v>65</v>
      </c>
      <c r="G2" s="23">
        <v>-0.16430359999999999</v>
      </c>
      <c r="H2" s="23">
        <v>0.1533679</v>
      </c>
    </row>
    <row r="3" spans="1:8" x14ac:dyDescent="0.35">
      <c r="A3" s="23">
        <v>1.953125E-5</v>
      </c>
      <c r="B3" s="23">
        <f t="shared" ref="B3:B66" si="0">H3</f>
        <v>0.1420718</v>
      </c>
      <c r="D3" s="22">
        <f t="shared" ref="D3:D66" si="1">G3*-1000/3.18</f>
        <v>46.503899371069174</v>
      </c>
      <c r="E3" s="21"/>
      <c r="F3" s="19" t="s">
        <v>66</v>
      </c>
      <c r="G3" s="23">
        <v>-0.1478824</v>
      </c>
      <c r="H3" s="23">
        <v>0.1420718</v>
      </c>
    </row>
    <row r="4" spans="1:8" x14ac:dyDescent="0.35">
      <c r="A4" s="23">
        <v>3.9062500000000001E-5</v>
      </c>
      <c r="B4" s="23">
        <f t="shared" si="0"/>
        <v>0.1285519</v>
      </c>
      <c r="D4" s="22">
        <f t="shared" si="1"/>
        <v>40.519213836477988</v>
      </c>
      <c r="E4" s="21"/>
      <c r="F4" s="20" t="s">
        <v>67</v>
      </c>
      <c r="G4" s="23">
        <v>-0.1288511</v>
      </c>
      <c r="H4" s="23">
        <v>0.1285519</v>
      </c>
    </row>
    <row r="5" spans="1:8" x14ac:dyDescent="0.35">
      <c r="A5" s="23">
        <v>5.8593749999999998E-5</v>
      </c>
      <c r="B5" s="23">
        <f t="shared" si="0"/>
        <v>0.1147817</v>
      </c>
      <c r="D5" s="22">
        <f t="shared" si="1"/>
        <v>34.310125786163518</v>
      </c>
      <c r="E5" s="21"/>
      <c r="F5" s="4" t="s">
        <v>68</v>
      </c>
      <c r="G5" s="23">
        <v>-0.1091062</v>
      </c>
      <c r="H5" s="23">
        <v>0.1147817</v>
      </c>
    </row>
    <row r="6" spans="1:8" x14ac:dyDescent="0.35">
      <c r="A6" s="23">
        <v>7.8125000000000002E-5</v>
      </c>
      <c r="B6" s="23">
        <f t="shared" si="0"/>
        <v>0.10242850000000001</v>
      </c>
      <c r="D6" s="22">
        <f t="shared" si="1"/>
        <v>28.792053459119497</v>
      </c>
      <c r="E6" s="21"/>
      <c r="G6" s="23">
        <v>-9.1558730000000005E-2</v>
      </c>
      <c r="H6" s="23">
        <v>0.10242850000000001</v>
      </c>
    </row>
    <row r="7" spans="1:8" x14ac:dyDescent="0.35">
      <c r="A7" s="23">
        <v>9.7656250000000005E-5</v>
      </c>
      <c r="B7" s="23">
        <f t="shared" si="0"/>
        <v>9.0791960000000005E-2</v>
      </c>
      <c r="D7" s="22">
        <f t="shared" si="1"/>
        <v>23.056490566037738</v>
      </c>
      <c r="E7" s="21"/>
      <c r="G7" s="23">
        <v>-7.3319640000000005E-2</v>
      </c>
      <c r="H7" s="23">
        <v>9.0791960000000005E-2</v>
      </c>
    </row>
    <row r="8" spans="1:8" x14ac:dyDescent="0.35">
      <c r="A8" s="23">
        <v>1.171875E-4</v>
      </c>
      <c r="B8" s="23">
        <f t="shared" si="0"/>
        <v>7.7569579999999999E-2</v>
      </c>
      <c r="D8" s="22">
        <f t="shared" si="1"/>
        <v>17.008003144654086</v>
      </c>
      <c r="E8" s="21"/>
      <c r="G8" s="23">
        <v>-5.408545E-2</v>
      </c>
      <c r="H8" s="23">
        <v>7.7569579999999999E-2</v>
      </c>
    </row>
    <row r="9" spans="1:8" x14ac:dyDescent="0.35">
      <c r="A9" s="23">
        <v>1.367188E-4</v>
      </c>
      <c r="B9" s="23">
        <f t="shared" si="0"/>
        <v>6.3335600000000006E-2</v>
      </c>
      <c r="D9" s="22">
        <f t="shared" si="1"/>
        <v>10.942600628930816</v>
      </c>
      <c r="E9" s="21"/>
      <c r="G9" s="23">
        <v>-3.4797469999999997E-2</v>
      </c>
      <c r="H9" s="23">
        <v>6.3335600000000006E-2</v>
      </c>
    </row>
    <row r="10" spans="1:8" x14ac:dyDescent="0.35">
      <c r="A10" s="23">
        <v>1.5625E-4</v>
      </c>
      <c r="B10" s="23">
        <f t="shared" si="0"/>
        <v>4.9964460000000002E-2</v>
      </c>
      <c r="D10" s="22">
        <f t="shared" si="1"/>
        <v>4.5557358490566031</v>
      </c>
      <c r="E10" s="21"/>
      <c r="G10" s="23">
        <v>-1.448724E-2</v>
      </c>
      <c r="H10" s="23">
        <v>4.9964460000000002E-2</v>
      </c>
    </row>
    <row r="11" spans="1:8" x14ac:dyDescent="0.35">
      <c r="A11" s="23">
        <v>1.757812E-4</v>
      </c>
      <c r="B11" s="23">
        <f t="shared" si="0"/>
        <v>3.5867410000000002E-2</v>
      </c>
      <c r="D11" s="22">
        <f t="shared" si="1"/>
        <v>-1.8095783018867924</v>
      </c>
      <c r="E11" s="21"/>
      <c r="G11" s="23">
        <v>5.754459E-3</v>
      </c>
      <c r="H11" s="23">
        <v>3.5867410000000002E-2</v>
      </c>
    </row>
    <row r="12" spans="1:8" x14ac:dyDescent="0.35">
      <c r="A12" s="23">
        <v>1.9531250000000001E-4</v>
      </c>
      <c r="B12" s="23">
        <f t="shared" si="0"/>
        <v>2.093194E-2</v>
      </c>
      <c r="D12" s="22">
        <f t="shared" si="1"/>
        <v>-8.0386477987421383</v>
      </c>
      <c r="E12" s="21"/>
      <c r="G12" s="23">
        <v>2.55629E-2</v>
      </c>
      <c r="H12" s="23">
        <v>2.093194E-2</v>
      </c>
    </row>
    <row r="13" spans="1:8" x14ac:dyDescent="0.35">
      <c r="A13" s="23">
        <v>2.1484379999999999E-4</v>
      </c>
      <c r="B13" s="23">
        <f t="shared" si="0"/>
        <v>5.4862959999999999E-3</v>
      </c>
      <c r="D13" s="22">
        <f t="shared" si="1"/>
        <v>-14.416959119496855</v>
      </c>
      <c r="E13" s="21"/>
      <c r="G13" s="23">
        <v>4.584593E-2</v>
      </c>
      <c r="H13" s="23">
        <v>5.4862959999999999E-3</v>
      </c>
    </row>
    <row r="14" spans="1:8" x14ac:dyDescent="0.35">
      <c r="A14" s="23">
        <v>2.3437499999999999E-4</v>
      </c>
      <c r="B14" s="23">
        <f t="shared" si="0"/>
        <v>-1.0895999999999999E-2</v>
      </c>
      <c r="D14" s="22">
        <f t="shared" si="1"/>
        <v>-20.527632075471701</v>
      </c>
      <c r="E14" s="21"/>
      <c r="G14" s="23">
        <v>6.5277870000000002E-2</v>
      </c>
      <c r="H14" s="23">
        <v>-1.0895999999999999E-2</v>
      </c>
    </row>
    <row r="15" spans="1:8" x14ac:dyDescent="0.35">
      <c r="A15" s="23">
        <v>2.5390630000000003E-4</v>
      </c>
      <c r="B15" s="23">
        <f t="shared" si="0"/>
        <v>-2.841231E-2</v>
      </c>
      <c r="D15" s="22">
        <f t="shared" si="1"/>
        <v>-26.406522012578616</v>
      </c>
      <c r="E15" s="21"/>
      <c r="G15" s="23">
        <v>8.3972740000000004E-2</v>
      </c>
      <c r="H15" s="23">
        <v>-2.841231E-2</v>
      </c>
    </row>
    <row r="16" spans="1:8" x14ac:dyDescent="0.35">
      <c r="A16" s="23">
        <v>2.7343750000000003E-4</v>
      </c>
      <c r="B16" s="23">
        <f t="shared" si="0"/>
        <v>-4.7461169999999997E-2</v>
      </c>
      <c r="D16" s="22">
        <f t="shared" si="1"/>
        <v>-32.224748427672957</v>
      </c>
      <c r="E16" s="21"/>
      <c r="G16" s="23">
        <v>0.1024747</v>
      </c>
      <c r="H16" s="23">
        <v>-4.7461169999999997E-2</v>
      </c>
    </row>
    <row r="17" spans="1:8" x14ac:dyDescent="0.35">
      <c r="A17" s="23">
        <v>2.9296870000000003E-4</v>
      </c>
      <c r="B17" s="23">
        <f t="shared" si="0"/>
        <v>-6.6862930000000001E-2</v>
      </c>
      <c r="D17" s="22">
        <f t="shared" si="1"/>
        <v>-37.873238993710686</v>
      </c>
      <c r="E17" s="21"/>
      <c r="G17" s="23">
        <v>0.1204369</v>
      </c>
      <c r="H17" s="23">
        <v>-6.6862930000000001E-2</v>
      </c>
    </row>
    <row r="18" spans="1:8" x14ac:dyDescent="0.35">
      <c r="A18" s="23">
        <v>3.1250000000000001E-4</v>
      </c>
      <c r="B18" s="23">
        <f t="shared" si="0"/>
        <v>-8.6914489999999997E-2</v>
      </c>
      <c r="D18" s="22">
        <f t="shared" si="1"/>
        <v>-43.790691823899373</v>
      </c>
      <c r="E18" s="21"/>
      <c r="G18" s="23">
        <v>0.1392544</v>
      </c>
      <c r="H18" s="23">
        <v>-8.6914489999999997E-2</v>
      </c>
    </row>
    <row r="19" spans="1:8" x14ac:dyDescent="0.35">
      <c r="A19" s="23">
        <v>3.3203129999999999E-4</v>
      </c>
      <c r="B19" s="23">
        <f t="shared" si="0"/>
        <v>-0.10658280000000001</v>
      </c>
      <c r="D19" s="22">
        <f t="shared" si="1"/>
        <v>-49.497641509433961</v>
      </c>
      <c r="E19" s="21"/>
      <c r="G19" s="23">
        <v>0.1574025</v>
      </c>
      <c r="H19" s="23">
        <v>-0.10658280000000001</v>
      </c>
    </row>
    <row r="20" spans="1:8" x14ac:dyDescent="0.35">
      <c r="A20" s="23">
        <v>3.5156249999999999E-4</v>
      </c>
      <c r="B20" s="23">
        <f t="shared" si="0"/>
        <v>-0.12467689999999999</v>
      </c>
      <c r="D20" s="22">
        <f t="shared" si="1"/>
        <v>-54.755283018867921</v>
      </c>
      <c r="E20" s="21"/>
      <c r="G20" s="23">
        <v>0.17412179999999999</v>
      </c>
      <c r="H20" s="23">
        <v>-0.12467689999999999</v>
      </c>
    </row>
    <row r="21" spans="1:8" x14ac:dyDescent="0.35">
      <c r="A21" s="23">
        <v>3.7109380000000002E-4</v>
      </c>
      <c r="B21" s="23">
        <f t="shared" si="0"/>
        <v>-0.14297660000000001</v>
      </c>
      <c r="D21" s="22">
        <f t="shared" si="1"/>
        <v>-59.981886792452826</v>
      </c>
      <c r="E21" s="21"/>
      <c r="G21" s="23">
        <v>0.19074240000000001</v>
      </c>
      <c r="H21" s="23">
        <v>-0.14297660000000001</v>
      </c>
    </row>
    <row r="22" spans="1:8" x14ac:dyDescent="0.35">
      <c r="A22" s="23">
        <v>3.9062500000000002E-4</v>
      </c>
      <c r="B22" s="23">
        <f t="shared" si="0"/>
        <v>-0.159446</v>
      </c>
      <c r="D22" s="22">
        <f t="shared" si="1"/>
        <v>-64.783584905660376</v>
      </c>
      <c r="E22" s="21"/>
      <c r="G22" s="23">
        <v>0.20601179999999999</v>
      </c>
      <c r="H22" s="23">
        <v>-0.159446</v>
      </c>
    </row>
    <row r="23" spans="1:8" x14ac:dyDescent="0.35">
      <c r="A23" s="23">
        <v>4.1015620000000002E-4</v>
      </c>
      <c r="B23" s="23">
        <f t="shared" si="0"/>
        <v>-0.17463020000000001</v>
      </c>
      <c r="D23" s="22">
        <f t="shared" si="1"/>
        <v>-69.541698113207545</v>
      </c>
      <c r="E23" s="21"/>
      <c r="G23" s="23">
        <v>0.22114259999999999</v>
      </c>
      <c r="H23" s="23">
        <v>-0.17463020000000001</v>
      </c>
    </row>
    <row r="24" spans="1:8" x14ac:dyDescent="0.35">
      <c r="A24" s="23">
        <v>4.296875E-4</v>
      </c>
      <c r="B24" s="23">
        <f t="shared" si="0"/>
        <v>-0.18971070000000001</v>
      </c>
      <c r="D24" s="22">
        <f t="shared" si="1"/>
        <v>-74.226320754716966</v>
      </c>
      <c r="E24" s="21"/>
      <c r="G24" s="23">
        <v>0.23603969999999999</v>
      </c>
      <c r="H24" s="23">
        <v>-0.18971070000000001</v>
      </c>
    </row>
    <row r="25" spans="1:8" x14ac:dyDescent="0.35">
      <c r="A25" s="23">
        <v>4.4921879999999998E-4</v>
      </c>
      <c r="B25" s="23">
        <f t="shared" si="0"/>
        <v>-0.20188249999999999</v>
      </c>
      <c r="D25" s="22">
        <f t="shared" si="1"/>
        <v>-78.256320754716981</v>
      </c>
      <c r="E25" s="21"/>
      <c r="G25" s="23">
        <v>0.2488551</v>
      </c>
      <c r="H25" s="23">
        <v>-0.20188249999999999</v>
      </c>
    </row>
    <row r="26" spans="1:8" x14ac:dyDescent="0.35">
      <c r="A26" s="23">
        <v>4.6874999999999998E-4</v>
      </c>
      <c r="B26" s="23">
        <f t="shared" si="0"/>
        <v>-0.21284420000000001</v>
      </c>
      <c r="D26" s="22">
        <f t="shared" si="1"/>
        <v>-82.238805031446546</v>
      </c>
      <c r="E26" s="21"/>
      <c r="G26" s="23">
        <v>0.26151940000000001</v>
      </c>
      <c r="H26" s="23">
        <v>-0.21284420000000001</v>
      </c>
    </row>
    <row r="27" spans="1:8" x14ac:dyDescent="0.35">
      <c r="A27" s="23">
        <v>4.8828119999999998E-4</v>
      </c>
      <c r="B27" s="23">
        <f t="shared" si="0"/>
        <v>-0.22263720000000001</v>
      </c>
      <c r="D27" s="22">
        <f t="shared" si="1"/>
        <v>-85.863930817610054</v>
      </c>
      <c r="E27" s="21"/>
      <c r="G27" s="23">
        <v>0.27304729999999999</v>
      </c>
      <c r="H27" s="23">
        <v>-0.22263720000000001</v>
      </c>
    </row>
    <row r="28" spans="1:8" x14ac:dyDescent="0.35">
      <c r="A28" s="23">
        <v>5.0781250000000002E-4</v>
      </c>
      <c r="B28" s="23">
        <f t="shared" si="0"/>
        <v>-0.23102220000000001</v>
      </c>
      <c r="D28" s="22">
        <f t="shared" si="1"/>
        <v>-88.911132075471698</v>
      </c>
      <c r="E28" s="21"/>
      <c r="G28" s="23">
        <v>0.28273740000000003</v>
      </c>
      <c r="H28" s="23">
        <v>-0.23102220000000001</v>
      </c>
    </row>
    <row r="29" spans="1:8" x14ac:dyDescent="0.35">
      <c r="A29" s="23">
        <v>5.2734380000000005E-4</v>
      </c>
      <c r="B29" s="23">
        <f t="shared" si="0"/>
        <v>-0.23981150000000001</v>
      </c>
      <c r="D29" s="22">
        <f t="shared" si="1"/>
        <v>-92.09556603773585</v>
      </c>
      <c r="E29" s="21"/>
      <c r="G29" s="23">
        <v>0.29286390000000001</v>
      </c>
      <c r="H29" s="23">
        <v>-0.23981150000000001</v>
      </c>
    </row>
    <row r="30" spans="1:8" x14ac:dyDescent="0.35">
      <c r="A30" s="23">
        <v>5.4687500000000005E-4</v>
      </c>
      <c r="B30" s="23">
        <f t="shared" si="0"/>
        <v>-0.2470417</v>
      </c>
      <c r="D30" s="22">
        <f t="shared" si="1"/>
        <v>-94.732955974842753</v>
      </c>
      <c r="E30" s="21"/>
      <c r="G30" s="23">
        <v>0.30125079999999999</v>
      </c>
      <c r="H30" s="23">
        <v>-0.2470417</v>
      </c>
    </row>
    <row r="31" spans="1:8" x14ac:dyDescent="0.35">
      <c r="A31" s="23">
        <v>5.6640620000000005E-4</v>
      </c>
      <c r="B31" s="23">
        <f t="shared" si="0"/>
        <v>-0.25344299999999997</v>
      </c>
      <c r="D31" s="22">
        <f t="shared" si="1"/>
        <v>-96.916320754716992</v>
      </c>
      <c r="E31" s="21"/>
      <c r="G31" s="23">
        <v>0.30819390000000002</v>
      </c>
      <c r="H31" s="23">
        <v>-0.25344299999999997</v>
      </c>
    </row>
    <row r="32" spans="1:8" x14ac:dyDescent="0.35">
      <c r="A32" s="23">
        <v>5.8593749999999998E-4</v>
      </c>
      <c r="B32" s="23">
        <f t="shared" si="0"/>
        <v>-0.26025350000000003</v>
      </c>
      <c r="D32" s="22">
        <f t="shared" si="1"/>
        <v>-99.359433962264134</v>
      </c>
      <c r="E32" s="21"/>
      <c r="G32" s="23">
        <v>0.31596299999999999</v>
      </c>
      <c r="H32" s="23">
        <v>-0.26025350000000003</v>
      </c>
    </row>
    <row r="33" spans="1:8" x14ac:dyDescent="0.35">
      <c r="A33" s="23">
        <v>6.0546869999999998E-4</v>
      </c>
      <c r="B33" s="23">
        <f t="shared" si="0"/>
        <v>-0.26510719999999999</v>
      </c>
      <c r="D33" s="22">
        <f t="shared" si="1"/>
        <v>-100.9680503144654</v>
      </c>
      <c r="E33" s="21"/>
      <c r="G33" s="23">
        <v>0.32107839999999999</v>
      </c>
      <c r="H33" s="23">
        <v>-0.26510719999999999</v>
      </c>
    </row>
    <row r="34" spans="1:8" x14ac:dyDescent="0.35">
      <c r="A34" s="23">
        <v>6.2500000000000001E-4</v>
      </c>
      <c r="B34" s="23">
        <f t="shared" si="0"/>
        <v>-0.26794699999999999</v>
      </c>
      <c r="D34" s="22">
        <f t="shared" si="1"/>
        <v>-101.77996855345911</v>
      </c>
      <c r="E34" s="21"/>
      <c r="G34" s="23">
        <v>0.32366030000000001</v>
      </c>
      <c r="H34" s="23">
        <v>-0.26794699999999999</v>
      </c>
    </row>
    <row r="35" spans="1:8" x14ac:dyDescent="0.35">
      <c r="A35" s="23">
        <v>6.4453130000000005E-4</v>
      </c>
      <c r="B35" s="23">
        <f t="shared" si="0"/>
        <v>-0.26993260000000002</v>
      </c>
      <c r="D35" s="22">
        <f t="shared" si="1"/>
        <v>-102.53157232704403</v>
      </c>
      <c r="E35" s="21"/>
      <c r="G35" s="23">
        <v>0.32605040000000002</v>
      </c>
      <c r="H35" s="23">
        <v>-0.26993260000000002</v>
      </c>
    </row>
    <row r="36" spans="1:8" x14ac:dyDescent="0.35">
      <c r="A36" s="23">
        <v>6.6406250000000005E-4</v>
      </c>
      <c r="B36" s="23">
        <f t="shared" si="0"/>
        <v>-0.2710419</v>
      </c>
      <c r="D36" s="22">
        <f t="shared" si="1"/>
        <v>-102.76496855345911</v>
      </c>
      <c r="E36" s="21"/>
      <c r="G36" s="23">
        <v>0.32679259999999999</v>
      </c>
      <c r="H36" s="23">
        <v>-0.2710419</v>
      </c>
    </row>
    <row r="37" spans="1:8" x14ac:dyDescent="0.35">
      <c r="A37" s="23">
        <v>6.8359379999999997E-4</v>
      </c>
      <c r="B37" s="23">
        <f t="shared" si="0"/>
        <v>-0.27178580000000002</v>
      </c>
      <c r="D37" s="22">
        <f t="shared" si="1"/>
        <v>-102.91666666666666</v>
      </c>
      <c r="E37" s="21"/>
      <c r="G37" s="23">
        <v>0.32727499999999998</v>
      </c>
      <c r="H37" s="23">
        <v>-0.27178580000000002</v>
      </c>
    </row>
    <row r="38" spans="1:8" x14ac:dyDescent="0.35">
      <c r="A38" s="23">
        <v>7.0312499999999997E-4</v>
      </c>
      <c r="B38" s="23">
        <f t="shared" si="0"/>
        <v>-0.2720436</v>
      </c>
      <c r="D38" s="22">
        <f t="shared" si="1"/>
        <v>-102.95575471698112</v>
      </c>
      <c r="E38" s="21"/>
      <c r="G38" s="23">
        <v>0.3273993</v>
      </c>
      <c r="H38" s="23">
        <v>-0.2720436</v>
      </c>
    </row>
    <row r="39" spans="1:8" x14ac:dyDescent="0.35">
      <c r="A39" s="23">
        <v>7.2265619999999997E-4</v>
      </c>
      <c r="B39" s="23">
        <f t="shared" si="0"/>
        <v>-0.27101560000000002</v>
      </c>
      <c r="D39" s="22">
        <f t="shared" si="1"/>
        <v>-102.25672955974842</v>
      </c>
      <c r="E39" s="21"/>
      <c r="G39" s="23">
        <v>0.32517639999999998</v>
      </c>
      <c r="H39" s="23">
        <v>-0.27101560000000002</v>
      </c>
    </row>
    <row r="40" spans="1:8" x14ac:dyDescent="0.35">
      <c r="A40" s="23">
        <v>7.4218750000000001E-4</v>
      </c>
      <c r="B40" s="23">
        <f t="shared" si="0"/>
        <v>-0.2683837</v>
      </c>
      <c r="D40" s="22">
        <f t="shared" si="1"/>
        <v>-101.07006289308175</v>
      </c>
      <c r="E40" s="21"/>
      <c r="G40" s="23">
        <v>0.32140279999999999</v>
      </c>
      <c r="H40" s="23">
        <v>-0.2683837</v>
      </c>
    </row>
    <row r="41" spans="1:8" x14ac:dyDescent="0.35">
      <c r="A41" s="23">
        <v>7.6171880000000004E-4</v>
      </c>
      <c r="B41" s="23">
        <f t="shared" si="0"/>
        <v>-0.26361950000000001</v>
      </c>
      <c r="D41" s="22">
        <f t="shared" si="1"/>
        <v>-99.034811320754713</v>
      </c>
      <c r="E41" s="21"/>
      <c r="G41" s="23">
        <v>0.31493070000000001</v>
      </c>
      <c r="H41" s="23">
        <v>-0.26361950000000001</v>
      </c>
    </row>
    <row r="42" spans="1:8" x14ac:dyDescent="0.35">
      <c r="A42" s="23">
        <v>7.8125000000000004E-4</v>
      </c>
      <c r="B42" s="23">
        <f t="shared" si="0"/>
        <v>-0.25842320000000002</v>
      </c>
      <c r="D42" s="22">
        <f t="shared" si="1"/>
        <v>-96.794182389937106</v>
      </c>
      <c r="E42" s="21"/>
      <c r="G42" s="23">
        <v>0.30780550000000001</v>
      </c>
      <c r="H42" s="23">
        <v>-0.25842320000000002</v>
      </c>
    </row>
    <row r="43" spans="1:8" x14ac:dyDescent="0.35">
      <c r="A43" s="23">
        <v>8.0078129999999997E-4</v>
      </c>
      <c r="B43" s="23">
        <f t="shared" si="0"/>
        <v>-0.25417020000000001</v>
      </c>
      <c r="D43" s="22">
        <f t="shared" si="1"/>
        <v>-94.971981132075484</v>
      </c>
      <c r="E43" s="21"/>
      <c r="G43" s="23">
        <v>0.30201090000000003</v>
      </c>
      <c r="H43" s="23">
        <v>-0.25417020000000001</v>
      </c>
    </row>
    <row r="44" spans="1:8" x14ac:dyDescent="0.35">
      <c r="A44" s="23">
        <v>8.2031249999999997E-4</v>
      </c>
      <c r="B44" s="23">
        <f t="shared" si="0"/>
        <v>-0.24832389999999999</v>
      </c>
      <c r="D44" s="22">
        <f t="shared" si="1"/>
        <v>-92.3520754716981</v>
      </c>
      <c r="E44" s="21"/>
      <c r="G44" s="23">
        <v>0.29367959999999999</v>
      </c>
      <c r="H44" s="23">
        <v>-0.24832389999999999</v>
      </c>
    </row>
    <row r="45" spans="1:8" x14ac:dyDescent="0.35">
      <c r="A45" s="23">
        <v>8.3984369999999997E-4</v>
      </c>
      <c r="B45" s="23">
        <f t="shared" si="0"/>
        <v>-0.24118600000000001</v>
      </c>
      <c r="D45" s="22">
        <f t="shared" si="1"/>
        <v>-89.334528301886792</v>
      </c>
      <c r="E45" s="21"/>
      <c r="G45" s="23">
        <v>0.2840838</v>
      </c>
      <c r="H45" s="23">
        <v>-0.24118600000000001</v>
      </c>
    </row>
    <row r="46" spans="1:8" x14ac:dyDescent="0.35">
      <c r="A46" s="23">
        <v>8.59375E-4</v>
      </c>
      <c r="B46" s="23">
        <f t="shared" si="0"/>
        <v>-0.23375509999999999</v>
      </c>
      <c r="D46" s="22">
        <f t="shared" si="1"/>
        <v>-86.103867924528288</v>
      </c>
      <c r="E46" s="21"/>
      <c r="G46" s="23">
        <v>0.27381030000000001</v>
      </c>
      <c r="H46" s="23">
        <v>-0.23375509999999999</v>
      </c>
    </row>
    <row r="47" spans="1:8" x14ac:dyDescent="0.35">
      <c r="A47" s="23">
        <v>8.7890630000000004E-4</v>
      </c>
      <c r="B47" s="23">
        <f t="shared" si="0"/>
        <v>-0.2240656</v>
      </c>
      <c r="D47" s="22">
        <f t="shared" si="1"/>
        <v>-81.907075471698107</v>
      </c>
      <c r="E47" s="21"/>
      <c r="G47" s="23">
        <v>0.26046449999999999</v>
      </c>
      <c r="H47" s="23">
        <v>-0.2240656</v>
      </c>
    </row>
    <row r="48" spans="1:8" x14ac:dyDescent="0.35">
      <c r="A48" s="23">
        <v>8.9843750000000004E-4</v>
      </c>
      <c r="B48" s="23">
        <f t="shared" si="0"/>
        <v>-0.21339739999999999</v>
      </c>
      <c r="D48" s="22">
        <f t="shared" si="1"/>
        <v>-77.722295597484276</v>
      </c>
      <c r="E48" s="21"/>
      <c r="G48" s="23">
        <v>0.24715690000000001</v>
      </c>
      <c r="H48" s="23">
        <v>-0.21339739999999999</v>
      </c>
    </row>
    <row r="49" spans="1:8" x14ac:dyDescent="0.35">
      <c r="A49" s="23">
        <v>9.1796879999999997E-4</v>
      </c>
      <c r="B49" s="23">
        <f t="shared" si="0"/>
        <v>-0.20276060000000001</v>
      </c>
      <c r="D49" s="22">
        <f t="shared" si="1"/>
        <v>-73.359779874213828</v>
      </c>
      <c r="E49" s="21"/>
      <c r="G49" s="23">
        <v>0.23328409999999999</v>
      </c>
      <c r="H49" s="23">
        <v>-0.20276060000000001</v>
      </c>
    </row>
    <row r="50" spans="1:8" x14ac:dyDescent="0.35">
      <c r="A50" s="23">
        <v>9.3749999999999997E-4</v>
      </c>
      <c r="B50" s="23">
        <f t="shared" si="0"/>
        <v>-0.19187969999999999</v>
      </c>
      <c r="D50" s="22">
        <f t="shared" si="1"/>
        <v>-68.673679245283026</v>
      </c>
      <c r="E50" s="21"/>
      <c r="G50" s="23">
        <v>0.2183823</v>
      </c>
      <c r="H50" s="23">
        <v>-0.19187969999999999</v>
      </c>
    </row>
    <row r="51" spans="1:8" x14ac:dyDescent="0.35">
      <c r="A51" s="23">
        <v>9.5703119999999997E-4</v>
      </c>
      <c r="B51" s="23">
        <f t="shared" si="0"/>
        <v>-0.18084639999999999</v>
      </c>
      <c r="D51" s="22">
        <f t="shared" si="1"/>
        <v>-64.238396226415091</v>
      </c>
      <c r="E51" s="21"/>
      <c r="G51" s="23">
        <v>0.20427809999999999</v>
      </c>
      <c r="H51" s="23">
        <v>-0.18084639999999999</v>
      </c>
    </row>
    <row r="52" spans="1:8" x14ac:dyDescent="0.35">
      <c r="A52" s="23">
        <v>9.765625E-4</v>
      </c>
      <c r="B52" s="23">
        <f t="shared" si="0"/>
        <v>-0.16740360000000001</v>
      </c>
      <c r="D52" s="22">
        <f t="shared" si="1"/>
        <v>-58.728490566037728</v>
      </c>
      <c r="E52" s="21"/>
      <c r="G52" s="23">
        <v>0.18675659999999999</v>
      </c>
      <c r="H52" s="23">
        <v>-0.16740360000000001</v>
      </c>
    </row>
    <row r="53" spans="1:8" x14ac:dyDescent="0.35">
      <c r="A53" s="23">
        <v>9.9609380000000003E-4</v>
      </c>
      <c r="B53" s="23">
        <f t="shared" si="0"/>
        <v>-0.1528959</v>
      </c>
      <c r="D53" s="22">
        <f t="shared" si="1"/>
        <v>-52.714968553459116</v>
      </c>
      <c r="E53" s="21"/>
      <c r="G53" s="23">
        <v>0.16763359999999999</v>
      </c>
      <c r="H53" s="23">
        <v>-0.1528959</v>
      </c>
    </row>
    <row r="54" spans="1:8" x14ac:dyDescent="0.35">
      <c r="A54" s="23">
        <v>1.015625E-3</v>
      </c>
      <c r="B54" s="23">
        <f t="shared" si="0"/>
        <v>-0.13878840000000001</v>
      </c>
      <c r="D54" s="22">
        <f t="shared" si="1"/>
        <v>-47.088176100628928</v>
      </c>
      <c r="E54" s="21"/>
      <c r="G54" s="23">
        <v>0.1497404</v>
      </c>
      <c r="H54" s="23">
        <v>-0.13878840000000001</v>
      </c>
    </row>
    <row r="55" spans="1:8" x14ac:dyDescent="0.35">
      <c r="A55" s="23">
        <v>1.035156E-3</v>
      </c>
      <c r="B55" s="23">
        <f t="shared" si="0"/>
        <v>-0.12304470000000001</v>
      </c>
      <c r="D55" s="22">
        <f t="shared" si="1"/>
        <v>-40.752169811320755</v>
      </c>
      <c r="E55" s="21"/>
      <c r="G55" s="23">
        <v>0.12959190000000001</v>
      </c>
      <c r="H55" s="23">
        <v>-0.12304470000000001</v>
      </c>
    </row>
    <row r="56" spans="1:8" x14ac:dyDescent="0.35">
      <c r="A56" s="23">
        <v>1.054688E-3</v>
      </c>
      <c r="B56" s="23">
        <f t="shared" si="0"/>
        <v>-0.1076626</v>
      </c>
      <c r="D56" s="22">
        <f t="shared" si="1"/>
        <v>-34.608710691823902</v>
      </c>
      <c r="E56" s="21"/>
      <c r="G56" s="23">
        <v>0.11005570000000001</v>
      </c>
      <c r="H56" s="23">
        <v>-0.1076626</v>
      </c>
    </row>
    <row r="57" spans="1:8" x14ac:dyDescent="0.35">
      <c r="A57" s="23">
        <v>1.074219E-3</v>
      </c>
      <c r="B57" s="23">
        <f t="shared" si="0"/>
        <v>-9.3612269999999997E-2</v>
      </c>
      <c r="D57" s="22">
        <f t="shared" si="1"/>
        <v>-28.961924528301889</v>
      </c>
      <c r="E57" s="21"/>
      <c r="G57" s="23">
        <v>9.2098920000000001E-2</v>
      </c>
      <c r="H57" s="23">
        <v>-9.3612269999999997E-2</v>
      </c>
    </row>
    <row r="58" spans="1:8" x14ac:dyDescent="0.35">
      <c r="A58" s="23">
        <v>1.0937500000000001E-3</v>
      </c>
      <c r="B58" s="23">
        <f t="shared" si="0"/>
        <v>-7.7799969999999996E-2</v>
      </c>
      <c r="D58" s="22">
        <f t="shared" si="1"/>
        <v>-22.550930817610062</v>
      </c>
      <c r="E58" s="21"/>
      <c r="G58" s="23">
        <v>7.1711960000000005E-2</v>
      </c>
      <c r="H58" s="23">
        <v>-7.7799969999999996E-2</v>
      </c>
    </row>
    <row r="59" spans="1:8" x14ac:dyDescent="0.35">
      <c r="A59" s="23">
        <v>1.113281E-3</v>
      </c>
      <c r="B59" s="23">
        <f t="shared" si="0"/>
        <v>-6.0622229999999999E-2</v>
      </c>
      <c r="D59" s="22">
        <f t="shared" si="1"/>
        <v>-15.778289308176099</v>
      </c>
      <c r="E59" s="21"/>
      <c r="G59" s="23">
        <v>5.0174959999999998E-2</v>
      </c>
      <c r="H59" s="23">
        <v>-6.0622229999999999E-2</v>
      </c>
    </row>
    <row r="60" spans="1:8" x14ac:dyDescent="0.35">
      <c r="A60" s="23">
        <v>1.132812E-3</v>
      </c>
      <c r="B60" s="23">
        <f t="shared" si="0"/>
        <v>-4.3718199999999999E-2</v>
      </c>
      <c r="D60" s="22">
        <f t="shared" si="1"/>
        <v>-9.156446540880502</v>
      </c>
      <c r="E60" s="21"/>
      <c r="G60" s="23">
        <v>2.9117500000000001E-2</v>
      </c>
      <c r="H60" s="23">
        <v>-4.3718199999999999E-2</v>
      </c>
    </row>
    <row r="61" spans="1:8" x14ac:dyDescent="0.35">
      <c r="A61" s="23">
        <v>1.152344E-3</v>
      </c>
      <c r="B61" s="23">
        <f t="shared" si="0"/>
        <v>-2.722714E-2</v>
      </c>
      <c r="D61" s="22">
        <f t="shared" si="1"/>
        <v>-2.6465764150943394</v>
      </c>
      <c r="E61" s="21"/>
      <c r="G61" s="23">
        <v>8.4161129999999994E-3</v>
      </c>
      <c r="H61" s="23">
        <v>-2.722714E-2</v>
      </c>
    </row>
    <row r="62" spans="1:8" x14ac:dyDescent="0.35">
      <c r="A62" s="23">
        <v>1.171875E-3</v>
      </c>
      <c r="B62" s="23">
        <f t="shared" si="0"/>
        <v>-1.0948950000000001E-2</v>
      </c>
      <c r="D62" s="22">
        <f t="shared" si="1"/>
        <v>3.7835314465408802</v>
      </c>
      <c r="E62" s="21"/>
      <c r="G62" s="23">
        <v>-1.203163E-2</v>
      </c>
      <c r="H62" s="23">
        <v>-1.0948950000000001E-2</v>
      </c>
    </row>
    <row r="63" spans="1:8" x14ac:dyDescent="0.35">
      <c r="A63" s="23">
        <v>1.1914060000000001E-3</v>
      </c>
      <c r="B63" s="23">
        <f t="shared" si="0"/>
        <v>5.753368E-3</v>
      </c>
      <c r="D63" s="22">
        <f t="shared" si="1"/>
        <v>10.253135220125785</v>
      </c>
      <c r="E63" s="21"/>
      <c r="G63" s="23">
        <v>-3.2604969999999997E-2</v>
      </c>
      <c r="H63" s="23">
        <v>5.753368E-3</v>
      </c>
    </row>
    <row r="64" spans="1:8" x14ac:dyDescent="0.35">
      <c r="A64" s="23">
        <v>1.210937E-3</v>
      </c>
      <c r="B64" s="23">
        <f t="shared" si="0"/>
        <v>2.1660889999999999E-2</v>
      </c>
      <c r="D64" s="22">
        <f t="shared" si="1"/>
        <v>16.434380503144652</v>
      </c>
      <c r="E64" s="21"/>
      <c r="G64" s="23">
        <v>-5.2261330000000002E-2</v>
      </c>
      <c r="H64" s="23">
        <v>2.1660889999999999E-2</v>
      </c>
    </row>
    <row r="65" spans="1:8" x14ac:dyDescent="0.35">
      <c r="A65" s="23">
        <v>1.2304690000000001E-3</v>
      </c>
      <c r="B65" s="23">
        <f t="shared" si="0"/>
        <v>3.7514529999999997E-2</v>
      </c>
      <c r="D65" s="22">
        <f t="shared" si="1"/>
        <v>22.698757861635219</v>
      </c>
      <c r="E65" s="21"/>
      <c r="G65" s="23">
        <v>-7.2182049999999998E-2</v>
      </c>
      <c r="H65" s="23">
        <v>3.7514529999999997E-2</v>
      </c>
    </row>
    <row r="66" spans="1:8" x14ac:dyDescent="0.35">
      <c r="A66" s="23">
        <v>1.25E-3</v>
      </c>
      <c r="B66" s="23">
        <f t="shared" si="0"/>
        <v>5.4914089999999999E-2</v>
      </c>
      <c r="D66" s="22">
        <f t="shared" si="1"/>
        <v>29.434858490566036</v>
      </c>
      <c r="E66" s="21"/>
      <c r="G66" s="23">
        <v>-9.3602850000000001E-2</v>
      </c>
      <c r="H66" s="23">
        <v>5.4914089999999999E-2</v>
      </c>
    </row>
    <row r="67" spans="1:8" x14ac:dyDescent="0.35">
      <c r="A67" s="23">
        <v>1.269531E-3</v>
      </c>
      <c r="B67" s="23">
        <f t="shared" ref="B67:B130" si="2">H67</f>
        <v>7.1047609999999997E-2</v>
      </c>
      <c r="D67" s="22">
        <f t="shared" ref="D67:D130" si="3">G67*-1000/3.18</f>
        <v>35.521949685534587</v>
      </c>
      <c r="E67" s="21"/>
      <c r="G67" s="23">
        <v>-0.1129598</v>
      </c>
      <c r="H67" s="23">
        <v>7.1047609999999997E-2</v>
      </c>
    </row>
    <row r="68" spans="1:8" x14ac:dyDescent="0.35">
      <c r="A68" s="23">
        <v>1.289063E-3</v>
      </c>
      <c r="B68" s="23">
        <f t="shared" si="2"/>
        <v>8.5977100000000001E-2</v>
      </c>
      <c r="D68" s="22">
        <f t="shared" si="3"/>
        <v>41.216666666666661</v>
      </c>
      <c r="E68" s="21"/>
      <c r="G68" s="23">
        <v>-0.13106899999999999</v>
      </c>
      <c r="H68" s="23">
        <v>8.5977100000000001E-2</v>
      </c>
    </row>
    <row r="69" spans="1:8" x14ac:dyDescent="0.35">
      <c r="A69" s="23">
        <v>1.3085939999999999E-3</v>
      </c>
      <c r="B69" s="23">
        <f t="shared" si="2"/>
        <v>0.101802</v>
      </c>
      <c r="D69" s="22">
        <f t="shared" si="3"/>
        <v>47.299119496855347</v>
      </c>
      <c r="E69" s="21"/>
      <c r="G69" s="23">
        <v>-0.15041119999999999</v>
      </c>
      <c r="H69" s="23">
        <v>0.101802</v>
      </c>
    </row>
    <row r="70" spans="1:8" x14ac:dyDescent="0.35">
      <c r="A70" s="23">
        <v>1.3281250000000001E-3</v>
      </c>
      <c r="B70" s="23">
        <f t="shared" si="2"/>
        <v>0.11643580000000001</v>
      </c>
      <c r="D70" s="22">
        <f t="shared" si="3"/>
        <v>52.676352201257856</v>
      </c>
      <c r="E70" s="21"/>
      <c r="G70" s="23">
        <v>-0.16751079999999999</v>
      </c>
      <c r="H70" s="23">
        <v>0.11643580000000001</v>
      </c>
    </row>
    <row r="71" spans="1:8" x14ac:dyDescent="0.35">
      <c r="A71" s="23">
        <v>1.347656E-3</v>
      </c>
      <c r="B71" s="23">
        <f t="shared" si="2"/>
        <v>0.12992339999999999</v>
      </c>
      <c r="D71" s="22">
        <f t="shared" si="3"/>
        <v>57.836100628930815</v>
      </c>
      <c r="E71" s="21"/>
      <c r="G71" s="23">
        <v>-0.18391879999999999</v>
      </c>
      <c r="H71" s="23">
        <v>0.12992339999999999</v>
      </c>
    </row>
    <row r="72" spans="1:8" x14ac:dyDescent="0.35">
      <c r="A72" s="23">
        <v>1.3671880000000001E-3</v>
      </c>
      <c r="B72" s="23">
        <f t="shared" si="2"/>
        <v>0.14352000000000001</v>
      </c>
      <c r="D72" s="22">
        <f t="shared" si="3"/>
        <v>63.217358490566028</v>
      </c>
      <c r="E72" s="21"/>
      <c r="G72" s="23">
        <v>-0.20103119999999999</v>
      </c>
      <c r="H72" s="23">
        <v>0.14352000000000001</v>
      </c>
    </row>
    <row r="73" spans="1:8" x14ac:dyDescent="0.35">
      <c r="A73" s="23">
        <v>1.386719E-3</v>
      </c>
      <c r="B73" s="23">
        <f t="shared" si="2"/>
        <v>0.15654760000000001</v>
      </c>
      <c r="D73" s="22">
        <f t="shared" si="3"/>
        <v>67.976100628930809</v>
      </c>
      <c r="E73" s="21"/>
      <c r="G73" s="23">
        <v>-0.216164</v>
      </c>
      <c r="H73" s="23">
        <v>0.15654760000000001</v>
      </c>
    </row>
    <row r="74" spans="1:8" x14ac:dyDescent="0.35">
      <c r="A74" s="23">
        <v>1.4062499999999999E-3</v>
      </c>
      <c r="B74" s="23">
        <f t="shared" si="2"/>
        <v>0.1689483</v>
      </c>
      <c r="D74" s="22">
        <f t="shared" si="3"/>
        <v>72.771540880503139</v>
      </c>
      <c r="E74" s="21"/>
      <c r="G74" s="23">
        <v>-0.23141349999999999</v>
      </c>
      <c r="H74" s="23">
        <v>0.1689483</v>
      </c>
    </row>
    <row r="75" spans="1:8" x14ac:dyDescent="0.35">
      <c r="A75" s="23">
        <v>1.4257810000000001E-3</v>
      </c>
      <c r="B75" s="23">
        <f t="shared" si="2"/>
        <v>0.18003250000000001</v>
      </c>
      <c r="D75" s="22">
        <f t="shared" si="3"/>
        <v>77.107138364779871</v>
      </c>
      <c r="E75" s="21"/>
      <c r="G75" s="23">
        <v>-0.24520069999999999</v>
      </c>
      <c r="H75" s="23">
        <v>0.18003250000000001</v>
      </c>
    </row>
    <row r="76" spans="1:8" x14ac:dyDescent="0.35">
      <c r="A76" s="23">
        <v>1.445312E-3</v>
      </c>
      <c r="B76" s="23">
        <f t="shared" si="2"/>
        <v>0.19011330000000001</v>
      </c>
      <c r="D76" s="22">
        <f t="shared" si="3"/>
        <v>80.629088050314451</v>
      </c>
      <c r="E76" s="21"/>
      <c r="G76" s="23">
        <v>-0.25640049999999998</v>
      </c>
      <c r="H76" s="23">
        <v>0.19011330000000001</v>
      </c>
    </row>
    <row r="77" spans="1:8" x14ac:dyDescent="0.35">
      <c r="A77" s="23">
        <v>1.4648440000000001E-3</v>
      </c>
      <c r="B77" s="23">
        <f t="shared" si="2"/>
        <v>0.19999030000000001</v>
      </c>
      <c r="D77" s="22">
        <f t="shared" si="3"/>
        <v>84.443930817610052</v>
      </c>
      <c r="E77" s="21"/>
      <c r="G77" s="23">
        <v>-0.26853169999999998</v>
      </c>
      <c r="H77" s="23">
        <v>0.19999030000000001</v>
      </c>
    </row>
    <row r="78" spans="1:8" x14ac:dyDescent="0.35">
      <c r="A78" s="23">
        <v>1.484375E-3</v>
      </c>
      <c r="B78" s="23">
        <f t="shared" si="2"/>
        <v>0.20895759999999999</v>
      </c>
      <c r="D78" s="22">
        <f t="shared" si="3"/>
        <v>87.869842767295594</v>
      </c>
      <c r="E78" s="21"/>
      <c r="G78" s="23">
        <v>-0.27942610000000001</v>
      </c>
      <c r="H78" s="23">
        <v>0.20895759999999999</v>
      </c>
    </row>
    <row r="79" spans="1:8" x14ac:dyDescent="0.35">
      <c r="A79" s="23">
        <v>1.5039059999999999E-3</v>
      </c>
      <c r="B79" s="23">
        <f t="shared" si="2"/>
        <v>0.2172799</v>
      </c>
      <c r="D79" s="22">
        <f t="shared" si="3"/>
        <v>90.805345911949672</v>
      </c>
      <c r="E79" s="21"/>
      <c r="G79" s="23">
        <v>-0.28876099999999999</v>
      </c>
      <c r="H79" s="23">
        <v>0.2172799</v>
      </c>
    </row>
    <row r="80" spans="1:8" x14ac:dyDescent="0.35">
      <c r="A80" s="23">
        <v>1.523438E-3</v>
      </c>
      <c r="B80" s="23">
        <f t="shared" si="2"/>
        <v>0.2249255</v>
      </c>
      <c r="D80" s="22">
        <f t="shared" si="3"/>
        <v>93.756635220125801</v>
      </c>
      <c r="E80" s="21"/>
      <c r="G80" s="23">
        <v>-0.29814610000000002</v>
      </c>
      <c r="H80" s="23">
        <v>0.2249255</v>
      </c>
    </row>
    <row r="81" spans="1:8" x14ac:dyDescent="0.35">
      <c r="A81" s="23">
        <v>1.5429689999999999E-3</v>
      </c>
      <c r="B81" s="23">
        <f t="shared" si="2"/>
        <v>0.2308239</v>
      </c>
      <c r="D81" s="22">
        <f t="shared" si="3"/>
        <v>95.861320754716971</v>
      </c>
      <c r="E81" s="21"/>
      <c r="G81" s="23">
        <v>-0.30483900000000003</v>
      </c>
      <c r="H81" s="23">
        <v>0.2308239</v>
      </c>
    </row>
    <row r="82" spans="1:8" x14ac:dyDescent="0.35">
      <c r="A82" s="23">
        <v>1.5625000000000001E-3</v>
      </c>
      <c r="B82" s="23">
        <f t="shared" si="2"/>
        <v>0.23581920000000001</v>
      </c>
      <c r="D82" s="22">
        <f t="shared" si="3"/>
        <v>97.543647798742143</v>
      </c>
      <c r="E82" s="21"/>
      <c r="G82" s="23">
        <v>-0.31018879999999999</v>
      </c>
      <c r="H82" s="23">
        <v>0.23581920000000001</v>
      </c>
    </row>
    <row r="83" spans="1:8" x14ac:dyDescent="0.35">
      <c r="A83" s="23">
        <v>1.582031E-3</v>
      </c>
      <c r="B83" s="23">
        <f t="shared" si="2"/>
        <v>0.24048559999999999</v>
      </c>
      <c r="D83" s="22">
        <f t="shared" si="3"/>
        <v>99.250911949685531</v>
      </c>
      <c r="E83" s="21"/>
      <c r="G83" s="23">
        <v>-0.31561790000000001</v>
      </c>
      <c r="H83" s="23">
        <v>0.24048559999999999</v>
      </c>
    </row>
    <row r="84" spans="1:8" x14ac:dyDescent="0.35">
      <c r="A84" s="23">
        <v>1.6015630000000001E-3</v>
      </c>
      <c r="B84" s="23">
        <f t="shared" si="2"/>
        <v>0.2441179</v>
      </c>
      <c r="D84" s="22">
        <f t="shared" si="3"/>
        <v>100.43455974842766</v>
      </c>
      <c r="E84" s="21"/>
      <c r="G84" s="23">
        <v>-0.3193819</v>
      </c>
      <c r="H84" s="23">
        <v>0.2441179</v>
      </c>
    </row>
    <row r="85" spans="1:8" x14ac:dyDescent="0.35">
      <c r="A85" s="23">
        <v>1.621094E-3</v>
      </c>
      <c r="B85" s="23">
        <f t="shared" si="2"/>
        <v>0.24751629999999999</v>
      </c>
      <c r="D85" s="22">
        <f t="shared" si="3"/>
        <v>101.57339622641508</v>
      </c>
      <c r="E85" s="21"/>
      <c r="G85" s="23">
        <v>-0.3230034</v>
      </c>
      <c r="H85" s="23">
        <v>0.24751629999999999</v>
      </c>
    </row>
    <row r="86" spans="1:8" x14ac:dyDescent="0.35">
      <c r="A86" s="23">
        <v>1.6406249999999999E-3</v>
      </c>
      <c r="B86" s="23">
        <f t="shared" si="2"/>
        <v>0.24999689999999999</v>
      </c>
      <c r="D86" s="22">
        <f t="shared" si="3"/>
        <v>102.21808176100627</v>
      </c>
      <c r="E86" s="21"/>
      <c r="G86" s="23">
        <v>-0.3250535</v>
      </c>
      <c r="H86" s="23">
        <v>0.24999689999999999</v>
      </c>
    </row>
    <row r="87" spans="1:8" x14ac:dyDescent="0.35">
      <c r="A87" s="23">
        <v>1.6601560000000001E-3</v>
      </c>
      <c r="B87" s="23">
        <f t="shared" si="2"/>
        <v>0.251023</v>
      </c>
      <c r="D87" s="22">
        <f t="shared" si="3"/>
        <v>102.15638364779873</v>
      </c>
      <c r="E87" s="21"/>
      <c r="G87" s="23">
        <v>-0.32485730000000002</v>
      </c>
      <c r="H87" s="23">
        <v>0.251023</v>
      </c>
    </row>
    <row r="88" spans="1:8" x14ac:dyDescent="0.35">
      <c r="A88" s="23">
        <v>1.679687E-3</v>
      </c>
      <c r="B88" s="23">
        <f t="shared" si="2"/>
        <v>0.2515926</v>
      </c>
      <c r="D88" s="22">
        <f t="shared" si="3"/>
        <v>102.08122641509435</v>
      </c>
      <c r="E88" s="21"/>
      <c r="G88" s="23">
        <v>-0.32461830000000003</v>
      </c>
      <c r="H88" s="23">
        <v>0.2515926</v>
      </c>
    </row>
    <row r="89" spans="1:8" x14ac:dyDescent="0.35">
      <c r="A89" s="23">
        <v>1.6992190000000001E-3</v>
      </c>
      <c r="B89" s="23">
        <f t="shared" si="2"/>
        <v>0.25089070000000002</v>
      </c>
      <c r="D89" s="22">
        <f t="shared" si="3"/>
        <v>101.20355345911949</v>
      </c>
      <c r="E89" s="21"/>
      <c r="G89" s="23">
        <v>-0.32182729999999998</v>
      </c>
      <c r="H89" s="23">
        <v>0.25089070000000002</v>
      </c>
    </row>
    <row r="90" spans="1:8" x14ac:dyDescent="0.35">
      <c r="A90" s="23">
        <v>1.71875E-3</v>
      </c>
      <c r="B90" s="23">
        <f t="shared" si="2"/>
        <v>0.24999070000000001</v>
      </c>
      <c r="D90" s="22">
        <f t="shared" si="3"/>
        <v>100.23443396226415</v>
      </c>
      <c r="E90" s="21"/>
      <c r="G90" s="23">
        <v>-0.31874550000000001</v>
      </c>
      <c r="H90" s="23">
        <v>0.24999070000000001</v>
      </c>
    </row>
    <row r="91" spans="1:8" x14ac:dyDescent="0.35">
      <c r="A91" s="23">
        <v>1.7382809999999999E-3</v>
      </c>
      <c r="B91" s="23">
        <f t="shared" si="2"/>
        <v>0.24922140000000001</v>
      </c>
      <c r="D91" s="22">
        <f t="shared" si="3"/>
        <v>99.48333333333332</v>
      </c>
      <c r="E91" s="21"/>
      <c r="G91" s="23">
        <v>-0.316357</v>
      </c>
      <c r="H91" s="23">
        <v>0.24922140000000001</v>
      </c>
    </row>
    <row r="92" spans="1:8" x14ac:dyDescent="0.35">
      <c r="A92" s="23">
        <v>1.757813E-3</v>
      </c>
      <c r="B92" s="23">
        <f t="shared" si="2"/>
        <v>0.2467413</v>
      </c>
      <c r="D92" s="22">
        <f t="shared" si="3"/>
        <v>97.648584905660371</v>
      </c>
      <c r="E92" s="21"/>
      <c r="G92" s="23">
        <v>-0.31052249999999998</v>
      </c>
      <c r="H92" s="23">
        <v>0.2467413</v>
      </c>
    </row>
    <row r="93" spans="1:8" x14ac:dyDescent="0.35">
      <c r="A93" s="23">
        <v>1.7773439999999999E-3</v>
      </c>
      <c r="B93" s="23">
        <f t="shared" si="2"/>
        <v>0.24358260000000001</v>
      </c>
      <c r="D93" s="22">
        <f t="shared" si="3"/>
        <v>95.789465408805029</v>
      </c>
      <c r="E93" s="21"/>
      <c r="G93" s="23">
        <v>-0.30461050000000001</v>
      </c>
      <c r="H93" s="23">
        <v>0.24358260000000001</v>
      </c>
    </row>
    <row r="94" spans="1:8" x14ac:dyDescent="0.35">
      <c r="A94" s="23">
        <v>1.7968750000000001E-3</v>
      </c>
      <c r="B94" s="23">
        <f t="shared" si="2"/>
        <v>0.23952799999999999</v>
      </c>
      <c r="D94" s="22">
        <f t="shared" si="3"/>
        <v>93.601257861635233</v>
      </c>
      <c r="E94" s="21"/>
      <c r="G94" s="23">
        <v>-0.29765200000000003</v>
      </c>
      <c r="H94" s="23">
        <v>0.23952799999999999</v>
      </c>
    </row>
    <row r="95" spans="1:8" x14ac:dyDescent="0.35">
      <c r="A95" s="23">
        <v>1.816406E-3</v>
      </c>
      <c r="B95" s="23">
        <f t="shared" si="2"/>
        <v>0.2339425</v>
      </c>
      <c r="D95" s="22">
        <f t="shared" si="3"/>
        <v>90.385031446540893</v>
      </c>
      <c r="E95" s="21"/>
      <c r="G95" s="23">
        <v>-0.28742440000000002</v>
      </c>
      <c r="H95" s="23">
        <v>0.2339425</v>
      </c>
    </row>
    <row r="96" spans="1:8" x14ac:dyDescent="0.35">
      <c r="A96" s="23">
        <v>1.8359380000000001E-3</v>
      </c>
      <c r="B96" s="23">
        <f t="shared" si="2"/>
        <v>0.2290286</v>
      </c>
      <c r="D96" s="22">
        <f t="shared" si="3"/>
        <v>87.631886792452818</v>
      </c>
      <c r="E96" s="21"/>
      <c r="G96" s="23">
        <v>-0.27866940000000001</v>
      </c>
      <c r="H96" s="23">
        <v>0.2290286</v>
      </c>
    </row>
    <row r="97" spans="1:8" x14ac:dyDescent="0.35">
      <c r="A97" s="23">
        <v>1.855469E-3</v>
      </c>
      <c r="B97" s="23">
        <f t="shared" si="2"/>
        <v>0.22353439999999999</v>
      </c>
      <c r="D97" s="22">
        <f t="shared" si="3"/>
        <v>84.615220125786152</v>
      </c>
      <c r="E97" s="21"/>
      <c r="G97" s="23">
        <v>-0.26907639999999999</v>
      </c>
      <c r="H97" s="23">
        <v>0.22353439999999999</v>
      </c>
    </row>
    <row r="98" spans="1:8" x14ac:dyDescent="0.35">
      <c r="A98" s="23">
        <v>1.8749999999999999E-3</v>
      </c>
      <c r="B98" s="23">
        <f t="shared" si="2"/>
        <v>0.21619959999999999</v>
      </c>
      <c r="D98" s="22">
        <f t="shared" si="3"/>
        <v>80.89534591194969</v>
      </c>
      <c r="E98" s="21"/>
      <c r="G98" s="23">
        <v>-0.25724720000000001</v>
      </c>
      <c r="H98" s="23">
        <v>0.21619959999999999</v>
      </c>
    </row>
    <row r="99" spans="1:8" x14ac:dyDescent="0.35">
      <c r="A99" s="23">
        <v>1.8945310000000001E-3</v>
      </c>
      <c r="B99" s="23">
        <f t="shared" si="2"/>
        <v>0.20828640000000001</v>
      </c>
      <c r="D99" s="22">
        <f t="shared" si="3"/>
        <v>77.261540880503148</v>
      </c>
      <c r="E99" s="21"/>
      <c r="G99" s="23">
        <v>-0.24569170000000001</v>
      </c>
      <c r="H99" s="23">
        <v>0.20828640000000001</v>
      </c>
    </row>
    <row r="100" spans="1:8" x14ac:dyDescent="0.35">
      <c r="A100" s="23">
        <v>1.914062E-3</v>
      </c>
      <c r="B100" s="23">
        <f t="shared" si="2"/>
        <v>0.19886789999999999</v>
      </c>
      <c r="D100" s="22">
        <f t="shared" si="3"/>
        <v>72.923679245283012</v>
      </c>
      <c r="E100" s="21"/>
      <c r="G100" s="23">
        <v>-0.2318973</v>
      </c>
      <c r="H100" s="23">
        <v>0.19886789999999999</v>
      </c>
    </row>
    <row r="101" spans="1:8" x14ac:dyDescent="0.35">
      <c r="A101" s="23">
        <v>1.9335940000000001E-3</v>
      </c>
      <c r="B101" s="23">
        <f t="shared" si="2"/>
        <v>0.188664</v>
      </c>
      <c r="D101" s="22">
        <f t="shared" si="3"/>
        <v>68.192327044025163</v>
      </c>
      <c r="E101" s="21"/>
      <c r="G101" s="23">
        <v>-0.21685160000000001</v>
      </c>
      <c r="H101" s="23">
        <v>0.188664</v>
      </c>
    </row>
    <row r="102" spans="1:8" x14ac:dyDescent="0.35">
      <c r="A102" s="23">
        <v>1.953125E-3</v>
      </c>
      <c r="B102" s="23">
        <f t="shared" si="2"/>
        <v>0.1789319</v>
      </c>
      <c r="D102" s="22">
        <f t="shared" si="3"/>
        <v>63.578490566037729</v>
      </c>
      <c r="E102" s="21"/>
      <c r="G102" s="23">
        <v>-0.20217959999999999</v>
      </c>
      <c r="H102" s="23">
        <v>0.1789319</v>
      </c>
    </row>
    <row r="103" spans="1:8" x14ac:dyDescent="0.35">
      <c r="A103" s="23">
        <v>1.9726560000000001E-3</v>
      </c>
      <c r="B103" s="23">
        <f t="shared" si="2"/>
        <v>0.16807050000000001</v>
      </c>
      <c r="D103" s="22">
        <f t="shared" si="3"/>
        <v>58.572547169811322</v>
      </c>
      <c r="E103" s="21"/>
      <c r="G103" s="23">
        <v>-0.1862607</v>
      </c>
      <c r="H103" s="23">
        <v>0.16807050000000001</v>
      </c>
    </row>
    <row r="104" spans="1:8" x14ac:dyDescent="0.35">
      <c r="A104" s="23">
        <v>1.9921880000000002E-3</v>
      </c>
      <c r="B104" s="23">
        <f t="shared" si="2"/>
        <v>0.15737129999999999</v>
      </c>
      <c r="D104" s="22">
        <f t="shared" si="3"/>
        <v>53.649402515723274</v>
      </c>
      <c r="E104" s="21"/>
      <c r="G104" s="23">
        <v>-0.17060510000000001</v>
      </c>
      <c r="H104" s="23">
        <v>0.15737129999999999</v>
      </c>
    </row>
    <row r="105" spans="1:8" x14ac:dyDescent="0.35">
      <c r="A105" s="23">
        <v>2.0117189999999999E-3</v>
      </c>
      <c r="B105" s="23">
        <f t="shared" si="2"/>
        <v>0.14640500000000001</v>
      </c>
      <c r="D105" s="22">
        <f t="shared" si="3"/>
        <v>48.558522012578614</v>
      </c>
      <c r="E105" s="21"/>
      <c r="G105" s="23">
        <v>-0.1544161</v>
      </c>
      <c r="H105" s="23">
        <v>0.14640500000000001</v>
      </c>
    </row>
    <row r="106" spans="1:8" x14ac:dyDescent="0.35">
      <c r="A106" s="23">
        <v>2.0312500000000001E-3</v>
      </c>
      <c r="B106" s="23">
        <f t="shared" si="2"/>
        <v>0.1322953</v>
      </c>
      <c r="D106" s="22">
        <f t="shared" si="3"/>
        <v>42.777547169811321</v>
      </c>
      <c r="E106" s="21"/>
      <c r="G106" s="23">
        <v>-0.1360326</v>
      </c>
      <c r="H106" s="23">
        <v>0.1322953</v>
      </c>
    </row>
    <row r="107" spans="1:8" x14ac:dyDescent="0.35">
      <c r="A107" s="23">
        <v>2.0507809999999998E-3</v>
      </c>
      <c r="B107" s="23">
        <f t="shared" si="2"/>
        <v>0.1187349</v>
      </c>
      <c r="D107" s="22">
        <f t="shared" si="3"/>
        <v>36.878899371069181</v>
      </c>
      <c r="E107" s="21"/>
      <c r="G107" s="23">
        <v>-0.1172749</v>
      </c>
      <c r="H107" s="23">
        <v>0.1187349</v>
      </c>
    </row>
    <row r="108" spans="1:8" x14ac:dyDescent="0.35">
      <c r="A108" s="23">
        <v>2.0703129999999998E-3</v>
      </c>
      <c r="B108" s="23">
        <f t="shared" si="2"/>
        <v>0.107637</v>
      </c>
      <c r="D108" s="22">
        <f t="shared" si="3"/>
        <v>30.802352201257857</v>
      </c>
      <c r="E108" s="21"/>
      <c r="G108" s="23">
        <v>-9.7951479999999994E-2</v>
      </c>
      <c r="H108" s="23">
        <v>0.107637</v>
      </c>
    </row>
    <row r="109" spans="1:8" x14ac:dyDescent="0.35">
      <c r="A109" s="23">
        <v>2.089844E-3</v>
      </c>
      <c r="B109" s="23">
        <f t="shared" si="2"/>
        <v>9.5443990000000006E-2</v>
      </c>
      <c r="D109" s="22">
        <f t="shared" si="3"/>
        <v>25.063761006289305</v>
      </c>
      <c r="E109" s="21"/>
      <c r="G109" s="23">
        <v>-7.9702759999999997E-2</v>
      </c>
      <c r="H109" s="23">
        <v>9.5443990000000006E-2</v>
      </c>
    </row>
    <row r="110" spans="1:8" x14ac:dyDescent="0.35">
      <c r="A110" s="23">
        <v>2.1093750000000001E-3</v>
      </c>
      <c r="B110" s="23">
        <f t="shared" si="2"/>
        <v>8.1178689999999998E-2</v>
      </c>
      <c r="D110" s="22">
        <f t="shared" si="3"/>
        <v>19.665103773584907</v>
      </c>
      <c r="E110" s="21"/>
      <c r="G110" s="23">
        <v>-6.2535030000000005E-2</v>
      </c>
      <c r="H110" s="23">
        <v>8.1178689999999998E-2</v>
      </c>
    </row>
    <row r="111" spans="1:8" x14ac:dyDescent="0.35">
      <c r="A111" s="23">
        <v>2.1289059999999999E-3</v>
      </c>
      <c r="B111" s="23">
        <f t="shared" si="2"/>
        <v>6.7852480000000007E-2</v>
      </c>
      <c r="D111" s="22">
        <f t="shared" si="3"/>
        <v>13.364540880503144</v>
      </c>
      <c r="E111" s="21"/>
      <c r="G111" s="23">
        <v>-4.2499240000000001E-2</v>
      </c>
      <c r="H111" s="23">
        <v>6.7852480000000007E-2</v>
      </c>
    </row>
    <row r="112" spans="1:8" x14ac:dyDescent="0.35">
      <c r="A112" s="23">
        <v>2.1484379999999999E-3</v>
      </c>
      <c r="B112" s="23">
        <f t="shared" si="2"/>
        <v>5.4828420000000003E-2</v>
      </c>
      <c r="D112" s="22">
        <f t="shared" si="3"/>
        <v>6.9497515723270427</v>
      </c>
      <c r="E112" s="21"/>
      <c r="G112" s="23">
        <v>-2.2100209999999999E-2</v>
      </c>
      <c r="H112" s="23">
        <v>5.4828420000000003E-2</v>
      </c>
    </row>
    <row r="113" spans="1:8" x14ac:dyDescent="0.35">
      <c r="A113" s="23">
        <v>2.1679690000000001E-3</v>
      </c>
      <c r="B113" s="23">
        <f t="shared" si="2"/>
        <v>4.10453E-2</v>
      </c>
      <c r="D113" s="22">
        <f t="shared" si="3"/>
        <v>0.74013679245283015</v>
      </c>
      <c r="E113" s="21"/>
      <c r="G113" s="23">
        <v>-2.3536350000000002E-3</v>
      </c>
      <c r="H113" s="23">
        <v>4.10453E-2</v>
      </c>
    </row>
    <row r="114" spans="1:8" x14ac:dyDescent="0.35">
      <c r="A114" s="23">
        <v>2.1875000000000002E-3</v>
      </c>
      <c r="B114" s="23">
        <f t="shared" si="2"/>
        <v>2.7361859999999998E-2</v>
      </c>
      <c r="D114" s="22">
        <f t="shared" si="3"/>
        <v>-5.794880503144654</v>
      </c>
      <c r="E114" s="21"/>
      <c r="G114" s="23">
        <v>1.8427720000000002E-2</v>
      </c>
      <c r="H114" s="23">
        <v>2.7361859999999998E-2</v>
      </c>
    </row>
    <row r="115" spans="1:8" x14ac:dyDescent="0.35">
      <c r="A115" s="23">
        <v>2.2070309999999999E-3</v>
      </c>
      <c r="B115" s="23">
        <f t="shared" si="2"/>
        <v>1.1607019999999999E-2</v>
      </c>
      <c r="D115" s="22">
        <f t="shared" si="3"/>
        <v>-11.883672955974841</v>
      </c>
      <c r="E115" s="21"/>
      <c r="G115" s="23">
        <v>3.7790079999999997E-2</v>
      </c>
      <c r="H115" s="23">
        <v>1.1607019999999999E-2</v>
      </c>
    </row>
    <row r="116" spans="1:8" x14ac:dyDescent="0.35">
      <c r="A116" s="23">
        <v>2.226563E-3</v>
      </c>
      <c r="B116" s="23">
        <f t="shared" si="2"/>
        <v>-5.4580410000000003E-3</v>
      </c>
      <c r="D116" s="22">
        <f t="shared" si="3"/>
        <v>-18.05217610062893</v>
      </c>
      <c r="E116" s="21"/>
      <c r="G116" s="23">
        <v>5.7405919999999999E-2</v>
      </c>
      <c r="H116" s="23">
        <v>-5.4580410000000003E-3</v>
      </c>
    </row>
    <row r="117" spans="1:8" x14ac:dyDescent="0.35">
      <c r="A117" s="23">
        <v>2.2460940000000001E-3</v>
      </c>
      <c r="B117" s="23">
        <f t="shared" si="2"/>
        <v>-2.330925E-2</v>
      </c>
      <c r="D117" s="22">
        <f t="shared" si="3"/>
        <v>-24.320496855345912</v>
      </c>
      <c r="E117" s="21"/>
      <c r="G117" s="23">
        <v>7.7339179999999993E-2</v>
      </c>
      <c r="H117" s="23">
        <v>-2.330925E-2</v>
      </c>
    </row>
    <row r="118" spans="1:8" x14ac:dyDescent="0.35">
      <c r="A118" s="23">
        <v>2.2656249999999998E-3</v>
      </c>
      <c r="B118" s="23">
        <f t="shared" si="2"/>
        <v>-4.1205550000000001E-2</v>
      </c>
      <c r="D118" s="22">
        <f t="shared" si="3"/>
        <v>-29.797572327044026</v>
      </c>
      <c r="E118" s="21"/>
      <c r="G118" s="23">
        <v>9.4756279999999998E-2</v>
      </c>
      <c r="H118" s="23">
        <v>-4.1205550000000001E-2</v>
      </c>
    </row>
    <row r="119" spans="1:8" x14ac:dyDescent="0.35">
      <c r="A119" s="23">
        <v>2.285156E-3</v>
      </c>
      <c r="B119" s="23">
        <f t="shared" si="2"/>
        <v>-5.9693530000000002E-2</v>
      </c>
      <c r="D119" s="22">
        <f t="shared" si="3"/>
        <v>-35.615943396226413</v>
      </c>
      <c r="E119" s="21"/>
      <c r="G119" s="23">
        <v>0.1132587</v>
      </c>
      <c r="H119" s="23">
        <v>-5.9693530000000002E-2</v>
      </c>
    </row>
    <row r="120" spans="1:8" x14ac:dyDescent="0.35">
      <c r="A120" s="23">
        <v>2.3046870000000001E-3</v>
      </c>
      <c r="B120" s="23">
        <f t="shared" si="2"/>
        <v>-8.1182779999999996E-2</v>
      </c>
      <c r="D120" s="22">
        <f t="shared" si="3"/>
        <v>-41.66924528301886</v>
      </c>
      <c r="E120" s="21"/>
      <c r="G120" s="23">
        <v>0.13250819999999999</v>
      </c>
      <c r="H120" s="23">
        <v>-8.1182779999999996E-2</v>
      </c>
    </row>
    <row r="121" spans="1:8" x14ac:dyDescent="0.35">
      <c r="A121" s="23">
        <v>2.3242190000000002E-3</v>
      </c>
      <c r="B121" s="23">
        <f t="shared" si="2"/>
        <v>-0.10017330000000001</v>
      </c>
      <c r="D121" s="22">
        <f t="shared" si="3"/>
        <v>-47.090817610062885</v>
      </c>
      <c r="E121" s="21"/>
      <c r="G121" s="23">
        <v>0.14974879999999999</v>
      </c>
      <c r="H121" s="23">
        <v>-0.10017330000000001</v>
      </c>
    </row>
    <row r="122" spans="1:8" x14ac:dyDescent="0.35">
      <c r="A122" s="23">
        <v>2.3437499999999999E-3</v>
      </c>
      <c r="B122" s="23">
        <f t="shared" si="2"/>
        <v>-0.11757960000000001</v>
      </c>
      <c r="D122" s="22">
        <f t="shared" si="3"/>
        <v>-52.75421383647798</v>
      </c>
      <c r="E122" s="21"/>
      <c r="G122" s="23">
        <v>0.1677584</v>
      </c>
      <c r="H122" s="23">
        <v>-0.11757960000000001</v>
      </c>
    </row>
    <row r="123" spans="1:8" x14ac:dyDescent="0.35">
      <c r="A123" s="23">
        <v>2.3632810000000001E-3</v>
      </c>
      <c r="B123" s="23">
        <f t="shared" si="2"/>
        <v>-0.13653209999999999</v>
      </c>
      <c r="D123" s="22">
        <f t="shared" si="3"/>
        <v>-58.079276729559751</v>
      </c>
      <c r="E123" s="21"/>
      <c r="G123" s="23">
        <v>0.1846921</v>
      </c>
      <c r="H123" s="23">
        <v>-0.13653209999999999</v>
      </c>
    </row>
    <row r="124" spans="1:8" x14ac:dyDescent="0.35">
      <c r="A124" s="23">
        <v>2.3828120000000002E-3</v>
      </c>
      <c r="B124" s="23">
        <f t="shared" si="2"/>
        <v>-0.1525937</v>
      </c>
      <c r="D124" s="22">
        <f t="shared" si="3"/>
        <v>-62.644968553459123</v>
      </c>
      <c r="E124" s="21"/>
      <c r="G124" s="23">
        <v>0.199211</v>
      </c>
      <c r="H124" s="23">
        <v>-0.1525937</v>
      </c>
    </row>
    <row r="125" spans="1:8" x14ac:dyDescent="0.35">
      <c r="A125" s="23">
        <v>2.4023439999999998E-3</v>
      </c>
      <c r="B125" s="23">
        <f t="shared" si="2"/>
        <v>-0.16822280000000001</v>
      </c>
      <c r="D125" s="22">
        <f t="shared" si="3"/>
        <v>-67.56754716981132</v>
      </c>
      <c r="E125" s="21"/>
      <c r="G125" s="23">
        <v>0.21486479999999999</v>
      </c>
      <c r="H125" s="23">
        <v>-0.16822280000000001</v>
      </c>
    </row>
    <row r="126" spans="1:8" x14ac:dyDescent="0.35">
      <c r="A126" s="23">
        <v>2.421875E-3</v>
      </c>
      <c r="B126" s="23">
        <f t="shared" si="2"/>
        <v>-0.1838988</v>
      </c>
      <c r="D126" s="22">
        <f t="shared" si="3"/>
        <v>-72.429748427672948</v>
      </c>
      <c r="E126" s="21"/>
      <c r="G126" s="23">
        <v>0.23032659999999999</v>
      </c>
      <c r="H126" s="23">
        <v>-0.1838988</v>
      </c>
    </row>
    <row r="127" spans="1:8" x14ac:dyDescent="0.35">
      <c r="A127" s="23">
        <v>2.4414060000000001E-3</v>
      </c>
      <c r="B127" s="23">
        <f t="shared" si="2"/>
        <v>-0.1974641</v>
      </c>
      <c r="D127" s="22">
        <f t="shared" si="3"/>
        <v>-76.848301886792456</v>
      </c>
      <c r="E127" s="21"/>
      <c r="G127" s="23">
        <v>0.2443776</v>
      </c>
      <c r="H127" s="23">
        <v>-0.1974641</v>
      </c>
    </row>
    <row r="128" spans="1:8" x14ac:dyDescent="0.35">
      <c r="A128" s="23">
        <v>2.4609380000000002E-3</v>
      </c>
      <c r="B128" s="23">
        <f t="shared" si="2"/>
        <v>-0.20911379999999999</v>
      </c>
      <c r="D128" s="22">
        <f t="shared" si="3"/>
        <v>-80.797830188679242</v>
      </c>
      <c r="E128" s="21"/>
      <c r="G128" s="23">
        <v>0.25693709999999997</v>
      </c>
      <c r="H128" s="23">
        <v>-0.20911379999999999</v>
      </c>
    </row>
    <row r="129" spans="1:8" x14ac:dyDescent="0.35">
      <c r="A129" s="23">
        <v>2.4804689999999999E-3</v>
      </c>
      <c r="B129" s="23">
        <f t="shared" si="2"/>
        <v>-0.21813840000000001</v>
      </c>
      <c r="D129" s="22">
        <f t="shared" si="3"/>
        <v>-84.23364779874214</v>
      </c>
      <c r="E129" s="21"/>
      <c r="G129" s="23">
        <v>0.26786300000000002</v>
      </c>
      <c r="H129" s="23">
        <v>-0.21813840000000001</v>
      </c>
    </row>
    <row r="130" spans="1:8" x14ac:dyDescent="0.35">
      <c r="A130" s="23">
        <v>2.5000000000000001E-3</v>
      </c>
      <c r="B130" s="23">
        <f t="shared" si="2"/>
        <v>-0.22784219999999999</v>
      </c>
      <c r="D130" s="22">
        <f t="shared" si="3"/>
        <v>-87.744779874213847</v>
      </c>
      <c r="E130" s="21"/>
      <c r="G130" s="23">
        <v>0.27902840000000001</v>
      </c>
      <c r="H130" s="23">
        <v>-0.22784219999999999</v>
      </c>
    </row>
    <row r="131" spans="1:8" x14ac:dyDescent="0.35">
      <c r="A131" s="23">
        <v>2.5195310000000002E-3</v>
      </c>
      <c r="B131" s="23">
        <f t="shared" ref="B131:B194" si="4">H131</f>
        <v>-0.23671880000000001</v>
      </c>
      <c r="D131" s="22">
        <f t="shared" ref="D131:D194" si="5">G131*-1000/3.18</f>
        <v>-90.834465408805016</v>
      </c>
      <c r="E131" s="21"/>
      <c r="G131" s="23">
        <v>0.28885359999999999</v>
      </c>
      <c r="H131" s="23">
        <v>-0.23671880000000001</v>
      </c>
    </row>
    <row r="132" spans="1:8" x14ac:dyDescent="0.35">
      <c r="A132" s="23">
        <v>2.5390629999999998E-3</v>
      </c>
      <c r="B132" s="23">
        <f t="shared" si="4"/>
        <v>-0.24349750000000001</v>
      </c>
      <c r="D132" s="22">
        <f t="shared" si="5"/>
        <v>-93.500220125786157</v>
      </c>
      <c r="E132" s="21"/>
      <c r="G132" s="23">
        <v>0.2973307</v>
      </c>
      <c r="H132" s="23">
        <v>-0.24349750000000001</v>
      </c>
    </row>
    <row r="133" spans="1:8" x14ac:dyDescent="0.35">
      <c r="A133" s="23">
        <v>2.558594E-3</v>
      </c>
      <c r="B133" s="23">
        <f t="shared" si="4"/>
        <v>-0.25151420000000002</v>
      </c>
      <c r="D133" s="22">
        <f t="shared" si="5"/>
        <v>-96.315503144654087</v>
      </c>
      <c r="E133" s="21"/>
      <c r="G133" s="23">
        <v>0.30628329999999998</v>
      </c>
      <c r="H133" s="23">
        <v>-0.25151420000000002</v>
      </c>
    </row>
    <row r="134" spans="1:8" x14ac:dyDescent="0.35">
      <c r="A134" s="23">
        <v>2.5781250000000001E-3</v>
      </c>
      <c r="B134" s="23">
        <f t="shared" si="4"/>
        <v>-0.25827660000000002</v>
      </c>
      <c r="D134" s="22">
        <f t="shared" si="5"/>
        <v>-98.573553459119495</v>
      </c>
      <c r="E134" s="21"/>
      <c r="G134" s="23">
        <v>0.31346390000000002</v>
      </c>
      <c r="H134" s="23">
        <v>-0.25827660000000002</v>
      </c>
    </row>
    <row r="135" spans="1:8" x14ac:dyDescent="0.35">
      <c r="A135" s="23">
        <v>2.5976559999999998E-3</v>
      </c>
      <c r="B135" s="23">
        <f t="shared" si="4"/>
        <v>-0.26290639999999998</v>
      </c>
      <c r="D135" s="22">
        <f t="shared" si="5"/>
        <v>-100.17710691823899</v>
      </c>
      <c r="E135" s="21"/>
      <c r="G135" s="23">
        <v>0.31856319999999999</v>
      </c>
      <c r="H135" s="23">
        <v>-0.26290639999999998</v>
      </c>
    </row>
    <row r="136" spans="1:8" x14ac:dyDescent="0.35">
      <c r="A136" s="23">
        <v>2.6171879999999999E-3</v>
      </c>
      <c r="B136" s="23">
        <f t="shared" si="4"/>
        <v>-0.26665820000000001</v>
      </c>
      <c r="D136" s="22">
        <f t="shared" si="5"/>
        <v>-101.46352201257861</v>
      </c>
      <c r="E136" s="21"/>
      <c r="G136" s="23">
        <v>0.322654</v>
      </c>
      <c r="H136" s="23">
        <v>-0.26665820000000001</v>
      </c>
    </row>
    <row r="137" spans="1:8" x14ac:dyDescent="0.35">
      <c r="A137" s="23">
        <v>2.636719E-3</v>
      </c>
      <c r="B137" s="23">
        <f t="shared" si="4"/>
        <v>-0.269036</v>
      </c>
      <c r="D137" s="22">
        <f t="shared" si="5"/>
        <v>-102.16210691823899</v>
      </c>
      <c r="E137" s="21"/>
      <c r="G137" s="23">
        <v>0.32487549999999998</v>
      </c>
      <c r="H137" s="23">
        <v>-0.269036</v>
      </c>
    </row>
    <row r="138" spans="1:8" x14ac:dyDescent="0.35">
      <c r="A138" s="23">
        <v>2.6562500000000002E-3</v>
      </c>
      <c r="B138" s="23">
        <f t="shared" si="4"/>
        <v>-0.27078920000000001</v>
      </c>
      <c r="D138" s="22">
        <f t="shared" si="5"/>
        <v>-102.68188679245281</v>
      </c>
      <c r="E138" s="21"/>
      <c r="G138" s="23">
        <v>0.3265284</v>
      </c>
      <c r="H138" s="23">
        <v>-0.27078920000000001</v>
      </c>
    </row>
    <row r="139" spans="1:8" x14ac:dyDescent="0.35">
      <c r="A139" s="23">
        <v>2.6757809999999999E-3</v>
      </c>
      <c r="B139" s="23">
        <f t="shared" si="4"/>
        <v>-0.2718641</v>
      </c>
      <c r="D139" s="22">
        <f t="shared" si="5"/>
        <v>-103.02003144654087</v>
      </c>
      <c r="E139" s="21"/>
      <c r="G139" s="23">
        <v>0.3276037</v>
      </c>
      <c r="H139" s="23">
        <v>-0.2718641</v>
      </c>
    </row>
    <row r="140" spans="1:8" x14ac:dyDescent="0.35">
      <c r="A140" s="23">
        <v>2.695313E-3</v>
      </c>
      <c r="B140" s="23">
        <f t="shared" si="4"/>
        <v>-0.27202789999999999</v>
      </c>
      <c r="D140" s="22">
        <f t="shared" si="5"/>
        <v>-102.7422641509434</v>
      </c>
      <c r="E140" s="21"/>
      <c r="G140" s="23">
        <v>0.32672040000000002</v>
      </c>
      <c r="H140" s="23">
        <v>-0.27202789999999999</v>
      </c>
    </row>
    <row r="141" spans="1:8" x14ac:dyDescent="0.35">
      <c r="A141" s="23">
        <v>2.7148440000000001E-3</v>
      </c>
      <c r="B141" s="23">
        <f t="shared" si="4"/>
        <v>-0.27161780000000002</v>
      </c>
      <c r="D141" s="22">
        <f t="shared" si="5"/>
        <v>-102.4748113207547</v>
      </c>
      <c r="E141" s="21"/>
      <c r="G141" s="23">
        <v>0.32586989999999999</v>
      </c>
      <c r="H141" s="23">
        <v>-0.27161780000000002</v>
      </c>
    </row>
    <row r="142" spans="1:8" x14ac:dyDescent="0.35">
      <c r="A142" s="23">
        <v>2.7343749999999998E-3</v>
      </c>
      <c r="B142" s="23">
        <f t="shared" si="4"/>
        <v>-0.26946530000000002</v>
      </c>
      <c r="D142" s="22">
        <f t="shared" si="5"/>
        <v>-101.55896226415094</v>
      </c>
      <c r="E142" s="21"/>
      <c r="G142" s="23">
        <v>0.32295750000000001</v>
      </c>
      <c r="H142" s="23">
        <v>-0.26946530000000002</v>
      </c>
    </row>
    <row r="143" spans="1:8" x14ac:dyDescent="0.35">
      <c r="A143" s="23">
        <v>2.753906E-3</v>
      </c>
      <c r="B143" s="23">
        <f t="shared" si="4"/>
        <v>-0.26508739999999997</v>
      </c>
      <c r="D143" s="22">
        <f t="shared" si="5"/>
        <v>-99.561006289308168</v>
      </c>
      <c r="E143" s="21"/>
      <c r="G143" s="23">
        <v>0.316604</v>
      </c>
      <c r="H143" s="23">
        <v>-0.26508739999999997</v>
      </c>
    </row>
    <row r="144" spans="1:8" x14ac:dyDescent="0.35">
      <c r="A144" s="23">
        <v>2.7734370000000001E-3</v>
      </c>
      <c r="B144" s="23">
        <f t="shared" si="4"/>
        <v>-0.26056750000000001</v>
      </c>
      <c r="D144" s="22">
        <f t="shared" si="5"/>
        <v>-97.807704402515725</v>
      </c>
      <c r="E144" s="21"/>
      <c r="G144" s="23">
        <v>0.31102849999999999</v>
      </c>
      <c r="H144" s="23">
        <v>-0.26056750000000001</v>
      </c>
    </row>
    <row r="145" spans="1:8" x14ac:dyDescent="0.35">
      <c r="A145" s="23">
        <v>2.7929690000000002E-3</v>
      </c>
      <c r="B145" s="23">
        <f t="shared" si="4"/>
        <v>-0.25588159999999999</v>
      </c>
      <c r="D145" s="22">
        <f t="shared" si="5"/>
        <v>-95.798364779874206</v>
      </c>
      <c r="E145" s="21"/>
      <c r="G145" s="23">
        <v>0.30463879999999999</v>
      </c>
      <c r="H145" s="23">
        <v>-0.25588159999999999</v>
      </c>
    </row>
    <row r="146" spans="1:8" x14ac:dyDescent="0.35">
      <c r="A146" s="23">
        <v>2.8124999999999999E-3</v>
      </c>
      <c r="B146" s="23">
        <f t="shared" si="4"/>
        <v>-0.25014639999999999</v>
      </c>
      <c r="D146" s="22">
        <f t="shared" si="5"/>
        <v>-93.219150943396215</v>
      </c>
      <c r="E146" s="21"/>
      <c r="G146" s="23">
        <v>0.2964369</v>
      </c>
      <c r="H146" s="23">
        <v>-0.25014639999999999</v>
      </c>
    </row>
    <row r="147" spans="1:8" x14ac:dyDescent="0.35">
      <c r="A147" s="23">
        <v>2.832031E-3</v>
      </c>
      <c r="B147" s="23">
        <f t="shared" si="4"/>
        <v>-0.2441962</v>
      </c>
      <c r="D147" s="22">
        <f t="shared" si="5"/>
        <v>-90.683616352201255</v>
      </c>
      <c r="E147" s="21"/>
      <c r="G147" s="23">
        <v>0.28837390000000002</v>
      </c>
      <c r="H147" s="23">
        <v>-0.2441962</v>
      </c>
    </row>
    <row r="148" spans="1:8" x14ac:dyDescent="0.35">
      <c r="A148" s="23">
        <v>2.8515620000000002E-3</v>
      </c>
      <c r="B148" s="23">
        <f t="shared" si="4"/>
        <v>-0.2366944</v>
      </c>
      <c r="D148" s="22">
        <f t="shared" si="5"/>
        <v>-87.38877358490565</v>
      </c>
      <c r="E148" s="21"/>
      <c r="G148" s="23">
        <v>0.27789629999999998</v>
      </c>
      <c r="H148" s="23">
        <v>-0.2366944</v>
      </c>
    </row>
    <row r="149" spans="1:8" x14ac:dyDescent="0.35">
      <c r="A149" s="23">
        <v>2.8710939999999998E-3</v>
      </c>
      <c r="B149" s="23">
        <f t="shared" si="4"/>
        <v>-0.22757440000000001</v>
      </c>
      <c r="D149" s="22">
        <f t="shared" si="5"/>
        <v>-83.460062893081769</v>
      </c>
      <c r="E149" s="21"/>
      <c r="G149" s="23">
        <v>0.265403</v>
      </c>
      <c r="H149" s="23">
        <v>-0.22757440000000001</v>
      </c>
    </row>
    <row r="150" spans="1:8" x14ac:dyDescent="0.35">
      <c r="A150" s="23">
        <v>2.890625E-3</v>
      </c>
      <c r="B150" s="23">
        <f t="shared" si="4"/>
        <v>-0.2178099</v>
      </c>
      <c r="D150" s="22">
        <f t="shared" si="5"/>
        <v>-79.331163522012559</v>
      </c>
      <c r="E150" s="21"/>
      <c r="G150" s="23">
        <v>0.25227309999999997</v>
      </c>
      <c r="H150" s="23">
        <v>-0.2178099</v>
      </c>
    </row>
    <row r="151" spans="1:8" x14ac:dyDescent="0.35">
      <c r="A151" s="23">
        <v>2.9101560000000001E-3</v>
      </c>
      <c r="B151" s="23">
        <f t="shared" si="4"/>
        <v>-0.20709949999999999</v>
      </c>
      <c r="D151" s="22">
        <f t="shared" si="5"/>
        <v>-74.91003144654087</v>
      </c>
      <c r="E151" s="21"/>
      <c r="G151" s="23">
        <v>0.23821390000000001</v>
      </c>
      <c r="H151" s="23">
        <v>-0.20709949999999999</v>
      </c>
    </row>
    <row r="152" spans="1:8" x14ac:dyDescent="0.35">
      <c r="A152" s="23">
        <v>2.9296880000000002E-3</v>
      </c>
      <c r="B152" s="23">
        <f t="shared" si="4"/>
        <v>-0.19679350000000001</v>
      </c>
      <c r="D152" s="22">
        <f t="shared" si="5"/>
        <v>-70.680754716981127</v>
      </c>
      <c r="E152" s="21"/>
      <c r="G152" s="23">
        <v>0.22476479999999999</v>
      </c>
      <c r="H152" s="23">
        <v>-0.19679350000000001</v>
      </c>
    </row>
    <row r="153" spans="1:8" x14ac:dyDescent="0.35">
      <c r="A153" s="23">
        <v>2.9492189999999999E-3</v>
      </c>
      <c r="B153" s="23">
        <f t="shared" si="4"/>
        <v>-0.1855723</v>
      </c>
      <c r="D153" s="22">
        <f t="shared" si="5"/>
        <v>-65.990880503144652</v>
      </c>
      <c r="E153" s="21"/>
      <c r="G153" s="23">
        <v>0.20985100000000001</v>
      </c>
      <c r="H153" s="23">
        <v>-0.1855723</v>
      </c>
    </row>
    <row r="154" spans="1:8" x14ac:dyDescent="0.35">
      <c r="A154" s="23">
        <v>2.96875E-3</v>
      </c>
      <c r="B154" s="23">
        <f t="shared" si="4"/>
        <v>-0.17235030000000001</v>
      </c>
      <c r="D154" s="22">
        <f t="shared" si="5"/>
        <v>-60.58427672955974</v>
      </c>
      <c r="E154" s="21"/>
      <c r="G154" s="23">
        <v>0.192658</v>
      </c>
      <c r="H154" s="23">
        <v>-0.17235030000000001</v>
      </c>
    </row>
    <row r="155" spans="1:8" x14ac:dyDescent="0.35">
      <c r="A155" s="23">
        <v>2.9882810000000002E-3</v>
      </c>
      <c r="B155" s="23">
        <f t="shared" si="4"/>
        <v>-0.15909889999999999</v>
      </c>
      <c r="D155" s="22">
        <f t="shared" si="5"/>
        <v>-55.199308176100622</v>
      </c>
      <c r="E155" s="21"/>
      <c r="G155" s="23">
        <v>0.17553379999999999</v>
      </c>
      <c r="H155" s="23">
        <v>-0.15909889999999999</v>
      </c>
    </row>
    <row r="156" spans="1:8" x14ac:dyDescent="0.35">
      <c r="A156" s="23">
        <v>3.0078129999999998E-3</v>
      </c>
      <c r="B156" s="23">
        <f t="shared" si="4"/>
        <v>-0.14486199999999999</v>
      </c>
      <c r="D156" s="22">
        <f t="shared" si="5"/>
        <v>-49.309748427672957</v>
      </c>
      <c r="E156" s="21"/>
      <c r="G156" s="23">
        <v>0.156805</v>
      </c>
      <c r="H156" s="23">
        <v>-0.14486199999999999</v>
      </c>
    </row>
    <row r="157" spans="1:8" x14ac:dyDescent="0.35">
      <c r="A157" s="23">
        <v>3.027344E-3</v>
      </c>
      <c r="B157" s="23">
        <f t="shared" si="4"/>
        <v>-0.1296107</v>
      </c>
      <c r="D157" s="22">
        <f t="shared" si="5"/>
        <v>-43.213364779874212</v>
      </c>
      <c r="E157" s="21"/>
      <c r="G157" s="23">
        <v>0.1374185</v>
      </c>
      <c r="H157" s="23">
        <v>-0.1296107</v>
      </c>
    </row>
    <row r="158" spans="1:8" x14ac:dyDescent="0.35">
      <c r="A158" s="23">
        <v>3.0468750000000001E-3</v>
      </c>
      <c r="B158" s="23">
        <f t="shared" si="4"/>
        <v>-0.114647</v>
      </c>
      <c r="D158" s="22">
        <f t="shared" si="5"/>
        <v>-37.355345911949684</v>
      </c>
      <c r="E158" s="21"/>
      <c r="G158" s="23">
        <v>0.11879000000000001</v>
      </c>
      <c r="H158" s="23">
        <v>-0.114647</v>
      </c>
    </row>
    <row r="159" spans="1:8" x14ac:dyDescent="0.35">
      <c r="A159" s="23">
        <v>3.0664059999999998E-3</v>
      </c>
      <c r="B159" s="23">
        <f t="shared" si="4"/>
        <v>-9.9027690000000002E-2</v>
      </c>
      <c r="D159" s="22">
        <f t="shared" si="5"/>
        <v>-31.155446540880501</v>
      </c>
      <c r="E159" s="21"/>
      <c r="G159" s="23">
        <v>9.9074319999999994E-2</v>
      </c>
      <c r="H159" s="23">
        <v>-9.9027690000000002E-2</v>
      </c>
    </row>
    <row r="160" spans="1:8" x14ac:dyDescent="0.35">
      <c r="A160" s="23">
        <v>3.0859379999999999E-3</v>
      </c>
      <c r="B160" s="23">
        <f t="shared" si="4"/>
        <v>-8.3419439999999997E-2</v>
      </c>
      <c r="D160" s="22">
        <f t="shared" si="5"/>
        <v>-25.001163522012575</v>
      </c>
      <c r="E160" s="21"/>
      <c r="G160" s="23">
        <v>7.9503699999999997E-2</v>
      </c>
      <c r="H160" s="23">
        <v>-8.3419439999999997E-2</v>
      </c>
    </row>
    <row r="161" spans="1:8" x14ac:dyDescent="0.35">
      <c r="A161" s="23">
        <v>3.105469E-3</v>
      </c>
      <c r="B161" s="23">
        <f t="shared" si="4"/>
        <v>-6.7208190000000001E-2</v>
      </c>
      <c r="D161" s="22">
        <f t="shared" si="5"/>
        <v>-18.465940251572327</v>
      </c>
      <c r="E161" s="21"/>
      <c r="G161" s="23">
        <v>5.872169E-2</v>
      </c>
      <c r="H161" s="23">
        <v>-6.7208190000000001E-2</v>
      </c>
    </row>
    <row r="162" spans="1:8" x14ac:dyDescent="0.35">
      <c r="A162" s="23">
        <v>3.1250000000000002E-3</v>
      </c>
      <c r="B162" s="23">
        <f t="shared" si="4"/>
        <v>-5.0101130000000001E-2</v>
      </c>
      <c r="D162" s="22">
        <f t="shared" si="5"/>
        <v>-11.595053459119496</v>
      </c>
      <c r="E162" s="21"/>
      <c r="G162" s="23">
        <v>3.6872269999999999E-2</v>
      </c>
      <c r="H162" s="23">
        <v>-5.0101130000000001E-2</v>
      </c>
    </row>
    <row r="163" spans="1:8" x14ac:dyDescent="0.35">
      <c r="A163" s="23">
        <v>3.1445309999999999E-3</v>
      </c>
      <c r="B163" s="23">
        <f t="shared" si="4"/>
        <v>-3.4382129999999997E-2</v>
      </c>
      <c r="D163" s="22">
        <f t="shared" si="5"/>
        <v>-5.4124968553459114</v>
      </c>
      <c r="E163" s="21"/>
      <c r="G163" s="23">
        <v>1.721174E-2</v>
      </c>
      <c r="H163" s="23">
        <v>-3.4382129999999997E-2</v>
      </c>
    </row>
    <row r="164" spans="1:8" x14ac:dyDescent="0.35">
      <c r="A164" s="23">
        <v>3.1640629999999999E-3</v>
      </c>
      <c r="B164" s="23">
        <f t="shared" si="4"/>
        <v>-1.8023859999999999E-2</v>
      </c>
      <c r="D164" s="22">
        <f t="shared" si="5"/>
        <v>1.0740201257861635</v>
      </c>
      <c r="E164" s="21"/>
      <c r="G164" s="23">
        <v>-3.415384E-3</v>
      </c>
      <c r="H164" s="23">
        <v>-1.8023859999999999E-2</v>
      </c>
    </row>
    <row r="165" spans="1:8" x14ac:dyDescent="0.35">
      <c r="A165" s="23">
        <v>3.1835940000000001E-3</v>
      </c>
      <c r="B165" s="23">
        <f t="shared" si="4"/>
        <v>-6.6172509999999998E-4</v>
      </c>
      <c r="D165" s="22">
        <f t="shared" si="5"/>
        <v>7.8092893081761012</v>
      </c>
      <c r="E165" s="21"/>
      <c r="G165" s="23">
        <v>-2.4833540000000001E-2</v>
      </c>
      <c r="H165" s="23">
        <v>-6.6172509999999998E-4</v>
      </c>
    </row>
    <row r="166" spans="1:8" x14ac:dyDescent="0.35">
      <c r="A166" s="23">
        <v>3.2031249999999998E-3</v>
      </c>
      <c r="B166" s="23">
        <f t="shared" si="4"/>
        <v>1.51793E-2</v>
      </c>
      <c r="D166" s="22">
        <f t="shared" si="5"/>
        <v>13.868827044025158</v>
      </c>
      <c r="E166" s="21"/>
      <c r="G166" s="23">
        <v>-4.4102870000000002E-2</v>
      </c>
      <c r="H166" s="23">
        <v>1.51793E-2</v>
      </c>
    </row>
    <row r="167" spans="1:8" x14ac:dyDescent="0.35">
      <c r="A167" s="23">
        <v>3.222656E-3</v>
      </c>
      <c r="B167" s="23">
        <f t="shared" si="4"/>
        <v>3.136423E-2</v>
      </c>
      <c r="D167" s="22">
        <f t="shared" si="5"/>
        <v>20.286100628930821</v>
      </c>
      <c r="E167" s="21"/>
      <c r="G167" s="23">
        <v>-6.4509800000000006E-2</v>
      </c>
      <c r="H167" s="23">
        <v>3.136423E-2</v>
      </c>
    </row>
    <row r="168" spans="1:8" x14ac:dyDescent="0.35">
      <c r="A168" s="23">
        <v>3.242188E-3</v>
      </c>
      <c r="B168" s="23">
        <f t="shared" si="4"/>
        <v>4.8052900000000003E-2</v>
      </c>
      <c r="D168" s="22">
        <f t="shared" si="5"/>
        <v>26.865430817610061</v>
      </c>
      <c r="E168" s="21"/>
      <c r="G168" s="23">
        <v>-8.5432069999999999E-2</v>
      </c>
      <c r="H168" s="23">
        <v>4.8052900000000003E-2</v>
      </c>
    </row>
    <row r="169" spans="1:8" x14ac:dyDescent="0.35">
      <c r="A169" s="23">
        <v>3.2617190000000002E-3</v>
      </c>
      <c r="B169" s="23">
        <f t="shared" si="4"/>
        <v>6.3898849999999993E-2</v>
      </c>
      <c r="D169" s="22">
        <f t="shared" si="5"/>
        <v>32.838616352201257</v>
      </c>
      <c r="E169" s="21"/>
      <c r="G169" s="23">
        <v>-0.1044268</v>
      </c>
      <c r="H169" s="23">
        <v>6.3898849999999993E-2</v>
      </c>
    </row>
    <row r="170" spans="1:8" x14ac:dyDescent="0.35">
      <c r="A170" s="23">
        <v>3.2812499999999999E-3</v>
      </c>
      <c r="B170" s="23">
        <f t="shared" si="4"/>
        <v>7.9786789999999996E-2</v>
      </c>
      <c r="D170" s="22">
        <f t="shared" si="5"/>
        <v>38.951603773584907</v>
      </c>
      <c r="E170" s="21"/>
      <c r="G170" s="23">
        <v>-0.12386610000000001</v>
      </c>
      <c r="H170" s="23">
        <v>7.9786789999999996E-2</v>
      </c>
    </row>
    <row r="171" spans="1:8" x14ac:dyDescent="0.35">
      <c r="A171" s="23">
        <v>3.300781E-3</v>
      </c>
      <c r="B171" s="23">
        <f t="shared" si="4"/>
        <v>9.5347879999999996E-2</v>
      </c>
      <c r="D171" s="22">
        <f t="shared" si="5"/>
        <v>44.897264150943393</v>
      </c>
      <c r="E171" s="21"/>
      <c r="G171" s="23">
        <v>-0.14277329999999999</v>
      </c>
      <c r="H171" s="23">
        <v>9.5347879999999996E-2</v>
      </c>
    </row>
    <row r="172" spans="1:8" x14ac:dyDescent="0.35">
      <c r="A172" s="23">
        <v>3.3203120000000002E-3</v>
      </c>
      <c r="B172" s="23">
        <f t="shared" si="4"/>
        <v>0.1105106</v>
      </c>
      <c r="D172" s="22">
        <f t="shared" si="5"/>
        <v>50.460849056603777</v>
      </c>
      <c r="E172" s="21"/>
      <c r="G172" s="23">
        <v>-0.16046550000000001</v>
      </c>
      <c r="H172" s="23">
        <v>0.1105106</v>
      </c>
    </row>
    <row r="173" spans="1:8" x14ac:dyDescent="0.35">
      <c r="A173" s="23">
        <v>3.3398439999999998E-3</v>
      </c>
      <c r="B173" s="23">
        <f t="shared" si="4"/>
        <v>0.1249439</v>
      </c>
      <c r="D173" s="22">
        <f t="shared" si="5"/>
        <v>55.976918238993704</v>
      </c>
      <c r="E173" s="21"/>
      <c r="G173" s="23">
        <v>-0.17800659999999999</v>
      </c>
      <c r="H173" s="23">
        <v>0.1249439</v>
      </c>
    </row>
    <row r="174" spans="1:8" x14ac:dyDescent="0.35">
      <c r="A174" s="23">
        <v>3.3593749999999999E-3</v>
      </c>
      <c r="B174" s="23">
        <f t="shared" si="4"/>
        <v>0.13782749999999999</v>
      </c>
      <c r="D174" s="22">
        <f t="shared" si="5"/>
        <v>60.892421383647793</v>
      </c>
      <c r="E174" s="21"/>
      <c r="G174" s="23">
        <v>-0.1936379</v>
      </c>
      <c r="H174" s="23">
        <v>0.13782749999999999</v>
      </c>
    </row>
    <row r="175" spans="1:8" x14ac:dyDescent="0.35">
      <c r="A175" s="23">
        <v>3.3789060000000001E-3</v>
      </c>
      <c r="B175" s="23">
        <f t="shared" si="4"/>
        <v>0.1509132</v>
      </c>
      <c r="D175" s="22">
        <f t="shared" si="5"/>
        <v>65.8972641509434</v>
      </c>
      <c r="E175" s="21"/>
      <c r="G175" s="23">
        <v>-0.2095533</v>
      </c>
      <c r="H175" s="23">
        <v>0.1509132</v>
      </c>
    </row>
    <row r="176" spans="1:8" x14ac:dyDescent="0.35">
      <c r="A176" s="23">
        <v>3.3984369999999998E-3</v>
      </c>
      <c r="B176" s="23">
        <f t="shared" si="4"/>
        <v>0.1641292</v>
      </c>
      <c r="D176" s="22">
        <f t="shared" si="5"/>
        <v>70.975503144654084</v>
      </c>
      <c r="E176" s="21"/>
      <c r="G176" s="23">
        <v>-0.22570209999999999</v>
      </c>
      <c r="H176" s="23">
        <v>0.1641292</v>
      </c>
    </row>
    <row r="177" spans="1:8" x14ac:dyDescent="0.35">
      <c r="A177" s="23">
        <v>3.4179689999999999E-3</v>
      </c>
      <c r="B177" s="23">
        <f t="shared" si="4"/>
        <v>0.1754801</v>
      </c>
      <c r="D177" s="22">
        <f t="shared" si="5"/>
        <v>75.203899371069184</v>
      </c>
      <c r="E177" s="21"/>
      <c r="G177" s="23">
        <v>-0.23914840000000001</v>
      </c>
      <c r="H177" s="23">
        <v>0.1754801</v>
      </c>
    </row>
    <row r="178" spans="1:8" x14ac:dyDescent="0.35">
      <c r="A178" s="23">
        <v>3.4375E-3</v>
      </c>
      <c r="B178" s="23">
        <f t="shared" si="4"/>
        <v>0.1862597</v>
      </c>
      <c r="D178" s="22">
        <f t="shared" si="5"/>
        <v>79.363993710691815</v>
      </c>
      <c r="E178" s="21"/>
      <c r="G178" s="23">
        <v>-0.25237749999999998</v>
      </c>
      <c r="H178" s="23">
        <v>0.1862597</v>
      </c>
    </row>
    <row r="179" spans="1:8" x14ac:dyDescent="0.35">
      <c r="A179" s="23">
        <v>3.4570310000000002E-3</v>
      </c>
      <c r="B179" s="23">
        <f t="shared" si="4"/>
        <v>0.19631290000000001</v>
      </c>
      <c r="D179" s="22">
        <f t="shared" si="5"/>
        <v>83.073238993710675</v>
      </c>
      <c r="E179" s="21"/>
      <c r="G179" s="23">
        <v>-0.26417289999999999</v>
      </c>
      <c r="H179" s="23">
        <v>0.19631290000000001</v>
      </c>
    </row>
    <row r="180" spans="1:8" x14ac:dyDescent="0.35">
      <c r="A180" s="23">
        <v>3.4765629999999998E-3</v>
      </c>
      <c r="B180" s="23">
        <f t="shared" si="4"/>
        <v>0.20476520000000001</v>
      </c>
      <c r="D180" s="22">
        <f t="shared" si="5"/>
        <v>86.156163522012577</v>
      </c>
      <c r="E180" s="21"/>
      <c r="G180" s="23">
        <v>-0.27397660000000001</v>
      </c>
      <c r="H180" s="23">
        <v>0.20476520000000001</v>
      </c>
    </row>
    <row r="181" spans="1:8" x14ac:dyDescent="0.35">
      <c r="A181" s="23">
        <v>3.4960939999999999E-3</v>
      </c>
      <c r="B181" s="23">
        <f t="shared" si="4"/>
        <v>0.21369270000000001</v>
      </c>
      <c r="D181" s="22">
        <f t="shared" si="5"/>
        <v>89.609528301886797</v>
      </c>
      <c r="E181" s="21"/>
      <c r="G181" s="23">
        <v>-0.2849583</v>
      </c>
      <c r="H181" s="23">
        <v>0.21369270000000001</v>
      </c>
    </row>
    <row r="182" spans="1:8" x14ac:dyDescent="0.35">
      <c r="A182" s="23">
        <v>3.5156250000000001E-3</v>
      </c>
      <c r="B182" s="23">
        <f t="shared" si="4"/>
        <v>0.2219613</v>
      </c>
      <c r="D182" s="22">
        <f t="shared" si="5"/>
        <v>92.597893081761001</v>
      </c>
      <c r="E182" s="21"/>
      <c r="G182" s="23">
        <v>-0.29446129999999998</v>
      </c>
      <c r="H182" s="23">
        <v>0.2219613</v>
      </c>
    </row>
    <row r="183" spans="1:8" x14ac:dyDescent="0.35">
      <c r="A183" s="23">
        <v>3.5351559999999998E-3</v>
      </c>
      <c r="B183" s="23">
        <f t="shared" si="4"/>
        <v>0.22843069999999999</v>
      </c>
      <c r="D183" s="22">
        <f t="shared" si="5"/>
        <v>94.946509433962248</v>
      </c>
      <c r="E183" s="21"/>
      <c r="G183" s="23">
        <v>-0.30192989999999997</v>
      </c>
      <c r="H183" s="23">
        <v>0.22843069999999999</v>
      </c>
    </row>
    <row r="184" spans="1:8" x14ac:dyDescent="0.35">
      <c r="A184" s="23">
        <v>3.5546879999999999E-3</v>
      </c>
      <c r="B184" s="23">
        <f t="shared" si="4"/>
        <v>0.23413419999999999</v>
      </c>
      <c r="D184" s="22">
        <f t="shared" si="5"/>
        <v>97.066729559748438</v>
      </c>
      <c r="E184" s="21"/>
      <c r="G184" s="23">
        <v>-0.30867220000000001</v>
      </c>
      <c r="H184" s="23">
        <v>0.23413419999999999</v>
      </c>
    </row>
    <row r="185" spans="1:8" x14ac:dyDescent="0.35">
      <c r="A185" s="23">
        <v>3.574219E-3</v>
      </c>
      <c r="B185" s="23">
        <f t="shared" si="4"/>
        <v>0.23821349999999999</v>
      </c>
      <c r="D185" s="22">
        <f t="shared" si="5"/>
        <v>98.42235849056604</v>
      </c>
      <c r="E185" s="21"/>
      <c r="G185" s="23">
        <v>-0.31298310000000001</v>
      </c>
      <c r="H185" s="23">
        <v>0.23821349999999999</v>
      </c>
    </row>
    <row r="186" spans="1:8" x14ac:dyDescent="0.35">
      <c r="A186" s="23">
        <v>3.5937500000000002E-3</v>
      </c>
      <c r="B186" s="23">
        <f t="shared" si="4"/>
        <v>0.2422311</v>
      </c>
      <c r="D186" s="22">
        <f t="shared" si="5"/>
        <v>99.772295597484259</v>
      </c>
      <c r="E186" s="21"/>
      <c r="G186" s="23">
        <v>-0.3172759</v>
      </c>
      <c r="H186" s="23">
        <v>0.2422311</v>
      </c>
    </row>
    <row r="187" spans="1:8" x14ac:dyDescent="0.35">
      <c r="A187" s="23">
        <v>3.6132809999999999E-3</v>
      </c>
      <c r="B187" s="23">
        <f t="shared" si="4"/>
        <v>0.24657129999999999</v>
      </c>
      <c r="D187" s="22">
        <f t="shared" si="5"/>
        <v>101.2658176100629</v>
      </c>
      <c r="E187" s="21"/>
      <c r="G187" s="23">
        <v>-0.32202530000000001</v>
      </c>
      <c r="H187" s="23">
        <v>0.24657129999999999</v>
      </c>
    </row>
    <row r="188" spans="1:8" x14ac:dyDescent="0.35">
      <c r="A188" s="23">
        <v>3.6328129999999999E-3</v>
      </c>
      <c r="B188" s="23">
        <f t="shared" si="4"/>
        <v>0.2489963</v>
      </c>
      <c r="D188" s="22">
        <f t="shared" si="5"/>
        <v>101.90210691823899</v>
      </c>
      <c r="E188" s="21"/>
      <c r="G188" s="23">
        <v>-0.32404870000000002</v>
      </c>
      <c r="H188" s="23">
        <v>0.2489963</v>
      </c>
    </row>
    <row r="189" spans="1:8" x14ac:dyDescent="0.35">
      <c r="A189" s="23">
        <v>3.6523440000000001E-3</v>
      </c>
      <c r="B189" s="23">
        <f t="shared" si="4"/>
        <v>0.25078440000000002</v>
      </c>
      <c r="D189" s="22">
        <f t="shared" si="5"/>
        <v>102.18421383647799</v>
      </c>
      <c r="E189" s="21"/>
      <c r="G189" s="23">
        <v>-0.32494580000000001</v>
      </c>
      <c r="H189" s="23">
        <v>0.25078440000000002</v>
      </c>
    </row>
    <row r="190" spans="1:8" x14ac:dyDescent="0.35">
      <c r="A190" s="23">
        <v>3.6718749999999998E-3</v>
      </c>
      <c r="B190" s="23">
        <f t="shared" si="4"/>
        <v>0.25169609999999998</v>
      </c>
      <c r="D190" s="22">
        <f t="shared" si="5"/>
        <v>102.18795597484277</v>
      </c>
      <c r="E190" s="21"/>
      <c r="G190" s="23">
        <v>-0.32495770000000002</v>
      </c>
      <c r="H190" s="23">
        <v>0.25169609999999998</v>
      </c>
    </row>
    <row r="191" spans="1:8" x14ac:dyDescent="0.35">
      <c r="A191" s="23">
        <v>3.6914059999999999E-3</v>
      </c>
      <c r="B191" s="23">
        <f t="shared" si="4"/>
        <v>0.25086190000000003</v>
      </c>
      <c r="D191" s="22">
        <f t="shared" si="5"/>
        <v>101.44522012578616</v>
      </c>
      <c r="E191" s="21"/>
      <c r="G191" s="23">
        <v>-0.32259579999999999</v>
      </c>
      <c r="H191" s="23">
        <v>0.25086190000000003</v>
      </c>
    </row>
    <row r="192" spans="1:8" x14ac:dyDescent="0.35">
      <c r="A192" s="23">
        <v>3.710938E-3</v>
      </c>
      <c r="B192" s="23">
        <f t="shared" si="4"/>
        <v>0.2500443</v>
      </c>
      <c r="D192" s="22">
        <f t="shared" si="5"/>
        <v>100.63364779874213</v>
      </c>
      <c r="E192" s="21"/>
      <c r="G192" s="23">
        <v>-0.32001499999999999</v>
      </c>
      <c r="H192" s="23">
        <v>0.2500443</v>
      </c>
    </row>
    <row r="193" spans="1:8" x14ac:dyDescent="0.35">
      <c r="A193" s="23">
        <v>3.7304690000000001E-3</v>
      </c>
      <c r="B193" s="23">
        <f t="shared" si="4"/>
        <v>0.248921</v>
      </c>
      <c r="D193" s="22">
        <f t="shared" si="5"/>
        <v>99.679591194968552</v>
      </c>
      <c r="E193" s="21"/>
      <c r="G193" s="23">
        <v>-0.31698110000000002</v>
      </c>
      <c r="H193" s="23">
        <v>0.248921</v>
      </c>
    </row>
    <row r="194" spans="1:8" x14ac:dyDescent="0.35">
      <c r="A194" s="23">
        <v>3.7499999999999999E-3</v>
      </c>
      <c r="B194" s="23">
        <f t="shared" si="4"/>
        <v>0.247393</v>
      </c>
      <c r="D194" s="22">
        <f t="shared" si="5"/>
        <v>98.312452830188676</v>
      </c>
      <c r="E194" s="21"/>
      <c r="G194" s="23">
        <v>-0.31263360000000001</v>
      </c>
      <c r="H194" s="23">
        <v>0.247393</v>
      </c>
    </row>
    <row r="195" spans="1:8" x14ac:dyDescent="0.35">
      <c r="A195" s="23">
        <v>3.769531E-3</v>
      </c>
      <c r="B195" s="23">
        <f t="shared" ref="B195:B258" si="6">H195</f>
        <v>0.24521950000000001</v>
      </c>
      <c r="D195" s="22">
        <f t="shared" ref="D195:D258" si="7">G195*-1000/3.18</f>
        <v>96.702767295597468</v>
      </c>
      <c r="E195" s="21"/>
      <c r="G195" s="23">
        <v>-0.30751479999999998</v>
      </c>
      <c r="H195" s="23">
        <v>0.24521950000000001</v>
      </c>
    </row>
    <row r="196" spans="1:8" x14ac:dyDescent="0.35">
      <c r="A196" s="23">
        <v>3.7890620000000002E-3</v>
      </c>
      <c r="B196" s="23">
        <f t="shared" si="6"/>
        <v>0.24095900000000001</v>
      </c>
      <c r="D196" s="22">
        <f t="shared" si="7"/>
        <v>94.424496855345907</v>
      </c>
      <c r="E196" s="21"/>
      <c r="G196" s="23">
        <v>-0.30026989999999998</v>
      </c>
      <c r="H196" s="23">
        <v>0.24095900000000001</v>
      </c>
    </row>
    <row r="197" spans="1:8" x14ac:dyDescent="0.35">
      <c r="A197" s="23">
        <v>3.8085940000000002E-3</v>
      </c>
      <c r="B197" s="23">
        <f t="shared" si="6"/>
        <v>0.2362747</v>
      </c>
      <c r="D197" s="22">
        <f t="shared" si="7"/>
        <v>91.747547169811327</v>
      </c>
      <c r="E197" s="21"/>
      <c r="G197" s="23">
        <v>-0.29175719999999999</v>
      </c>
      <c r="H197" s="23">
        <v>0.2362747</v>
      </c>
    </row>
    <row r="198" spans="1:8" x14ac:dyDescent="0.35">
      <c r="A198" s="23">
        <v>3.8281249999999999E-3</v>
      </c>
      <c r="B198" s="23">
        <f t="shared" si="6"/>
        <v>0.2317169</v>
      </c>
      <c r="D198" s="22">
        <f t="shared" si="7"/>
        <v>88.863647798742136</v>
      </c>
      <c r="E198" s="21"/>
      <c r="G198" s="23">
        <v>-0.28258640000000002</v>
      </c>
      <c r="H198" s="23">
        <v>0.2317169</v>
      </c>
    </row>
    <row r="199" spans="1:8" x14ac:dyDescent="0.35">
      <c r="A199" s="23">
        <v>3.8476560000000001E-3</v>
      </c>
      <c r="B199" s="23">
        <f t="shared" si="6"/>
        <v>0.22574730000000001</v>
      </c>
      <c r="D199" s="22">
        <f t="shared" si="7"/>
        <v>85.662893081760984</v>
      </c>
      <c r="E199" s="21"/>
      <c r="G199" s="23">
        <v>-0.27240799999999998</v>
      </c>
      <c r="H199" s="23">
        <v>0.22574730000000001</v>
      </c>
    </row>
    <row r="200" spans="1:8" x14ac:dyDescent="0.35">
      <c r="A200" s="23">
        <v>3.8671869999999998E-3</v>
      </c>
      <c r="B200" s="23">
        <f t="shared" si="6"/>
        <v>0.2195983</v>
      </c>
      <c r="D200" s="22">
        <f t="shared" si="7"/>
        <v>82.51584905660377</v>
      </c>
      <c r="E200" s="21"/>
      <c r="G200" s="23">
        <v>-0.26240039999999998</v>
      </c>
      <c r="H200" s="23">
        <v>0.2195983</v>
      </c>
    </row>
    <row r="201" spans="1:8" x14ac:dyDescent="0.35">
      <c r="A201" s="23">
        <v>3.8867189999999999E-3</v>
      </c>
      <c r="B201" s="23">
        <f t="shared" si="6"/>
        <v>0.21267910000000001</v>
      </c>
      <c r="D201" s="22">
        <f t="shared" si="7"/>
        <v>78.835754716981143</v>
      </c>
      <c r="E201" s="21"/>
      <c r="G201" s="23">
        <v>-0.25069770000000002</v>
      </c>
      <c r="H201" s="23">
        <v>0.21267910000000001</v>
      </c>
    </row>
    <row r="202" spans="1:8" x14ac:dyDescent="0.35">
      <c r="A202" s="23">
        <v>3.90625E-3</v>
      </c>
      <c r="B202" s="23">
        <f t="shared" si="6"/>
        <v>0.2030728</v>
      </c>
      <c r="D202" s="22">
        <f t="shared" si="7"/>
        <v>74.611666666666665</v>
      </c>
      <c r="E202" s="21"/>
      <c r="G202" s="23">
        <v>-0.23726510000000001</v>
      </c>
      <c r="H202" s="23">
        <v>0.2030728</v>
      </c>
    </row>
    <row r="203" spans="1:8" x14ac:dyDescent="0.35">
      <c r="A203" s="23">
        <v>3.9257809999999997E-3</v>
      </c>
      <c r="B203" s="23">
        <f t="shared" si="6"/>
        <v>0.19263279999999999</v>
      </c>
      <c r="D203" s="22">
        <f t="shared" si="7"/>
        <v>70.287955974842774</v>
      </c>
      <c r="E203" s="21"/>
      <c r="G203" s="23">
        <v>-0.22351570000000001</v>
      </c>
      <c r="H203" s="23">
        <v>0.19263279999999999</v>
      </c>
    </row>
    <row r="204" spans="1:8" x14ac:dyDescent="0.35">
      <c r="A204" s="23">
        <v>3.9453129999999998E-3</v>
      </c>
      <c r="B204" s="23">
        <f t="shared" si="6"/>
        <v>0.18240719999999999</v>
      </c>
      <c r="D204" s="22">
        <f t="shared" si="7"/>
        <v>65.297232704402504</v>
      </c>
      <c r="E204" s="21"/>
      <c r="G204" s="23">
        <v>-0.2076452</v>
      </c>
      <c r="H204" s="23">
        <v>0.18240719999999999</v>
      </c>
    </row>
    <row r="205" spans="1:8" x14ac:dyDescent="0.35">
      <c r="A205" s="23">
        <v>3.9648440000000004E-3</v>
      </c>
      <c r="B205" s="23">
        <f t="shared" si="6"/>
        <v>0.17247770000000001</v>
      </c>
      <c r="D205" s="22">
        <f t="shared" si="7"/>
        <v>60.396666666666661</v>
      </c>
      <c r="E205" s="21"/>
      <c r="G205" s="23">
        <v>-0.19206139999999999</v>
      </c>
      <c r="H205" s="23">
        <v>0.17247770000000001</v>
      </c>
    </row>
    <row r="206" spans="1:8" x14ac:dyDescent="0.35">
      <c r="A206" s="23">
        <v>3.9843750000000001E-3</v>
      </c>
      <c r="B206" s="23">
        <f t="shared" si="6"/>
        <v>0.1625045</v>
      </c>
      <c r="D206" s="22">
        <f t="shared" si="7"/>
        <v>55.875880503144643</v>
      </c>
      <c r="E206" s="21"/>
      <c r="G206" s="23">
        <v>-0.17768529999999999</v>
      </c>
      <c r="H206" s="23">
        <v>0.1625045</v>
      </c>
    </row>
    <row r="207" spans="1:8" x14ac:dyDescent="0.35">
      <c r="A207" s="23">
        <v>4.0039059999999998E-3</v>
      </c>
      <c r="B207" s="23">
        <f t="shared" si="6"/>
        <v>0.15040999999999999</v>
      </c>
      <c r="D207" s="22">
        <f t="shared" si="7"/>
        <v>50.639842767295598</v>
      </c>
      <c r="E207" s="21"/>
      <c r="G207" s="23">
        <v>-0.1610347</v>
      </c>
      <c r="H207" s="23">
        <v>0.15040999999999999</v>
      </c>
    </row>
    <row r="208" spans="1:8" x14ac:dyDescent="0.35">
      <c r="A208" s="23">
        <v>4.0234379999999998E-3</v>
      </c>
      <c r="B208" s="23">
        <f t="shared" si="6"/>
        <v>0.1382495</v>
      </c>
      <c r="D208" s="22">
        <f t="shared" si="7"/>
        <v>45.185566037735846</v>
      </c>
      <c r="E208" s="21"/>
      <c r="G208" s="23">
        <v>-0.14369009999999999</v>
      </c>
      <c r="H208" s="23">
        <v>0.1382495</v>
      </c>
    </row>
    <row r="209" spans="1:8" x14ac:dyDescent="0.35">
      <c r="A209" s="23">
        <v>4.0429690000000004E-3</v>
      </c>
      <c r="B209" s="23">
        <f t="shared" si="6"/>
        <v>0.1259605</v>
      </c>
      <c r="D209" s="22">
        <f t="shared" si="7"/>
        <v>39.464182389937108</v>
      </c>
      <c r="E209" s="21"/>
      <c r="G209" s="23">
        <v>-0.1254961</v>
      </c>
      <c r="H209" s="23">
        <v>0.1259605</v>
      </c>
    </row>
    <row r="210" spans="1:8" x14ac:dyDescent="0.35">
      <c r="A210" s="23">
        <v>4.0625000000000001E-3</v>
      </c>
      <c r="B210" s="23">
        <f t="shared" si="6"/>
        <v>0.1111907</v>
      </c>
      <c r="D210" s="22">
        <f t="shared" si="7"/>
        <v>33.112421383647799</v>
      </c>
      <c r="E210" s="21"/>
      <c r="G210" s="23">
        <v>-0.1052975</v>
      </c>
      <c r="H210" s="23">
        <v>0.1111907</v>
      </c>
    </row>
    <row r="211" spans="1:8" x14ac:dyDescent="0.35">
      <c r="A211" s="23">
        <v>4.0820309999999999E-3</v>
      </c>
      <c r="B211" s="23">
        <f t="shared" si="6"/>
        <v>9.8085160000000005E-2</v>
      </c>
      <c r="D211" s="22">
        <f t="shared" si="7"/>
        <v>27.341638364779872</v>
      </c>
      <c r="E211" s="21"/>
      <c r="G211" s="23">
        <v>-8.6946410000000002E-2</v>
      </c>
      <c r="H211" s="23">
        <v>9.8085160000000005E-2</v>
      </c>
    </row>
    <row r="212" spans="1:8" x14ac:dyDescent="0.35">
      <c r="A212" s="23">
        <v>4.1015629999999999E-3</v>
      </c>
      <c r="B212" s="23">
        <f t="shared" si="6"/>
        <v>8.6402569999999998E-2</v>
      </c>
      <c r="D212" s="22">
        <f t="shared" si="7"/>
        <v>21.809515723270437</v>
      </c>
      <c r="E212" s="21"/>
      <c r="G212" s="23">
        <v>-6.9354260000000001E-2</v>
      </c>
      <c r="H212" s="23">
        <v>8.6402569999999998E-2</v>
      </c>
    </row>
    <row r="213" spans="1:8" x14ac:dyDescent="0.35">
      <c r="A213" s="23">
        <v>4.1210939999999996E-3</v>
      </c>
      <c r="B213" s="23">
        <f t="shared" si="6"/>
        <v>7.3166200000000001E-2</v>
      </c>
      <c r="D213" s="22">
        <f t="shared" si="7"/>
        <v>15.747204402515722</v>
      </c>
      <c r="E213" s="21"/>
      <c r="G213" s="23">
        <v>-5.007611E-2</v>
      </c>
      <c r="H213" s="23">
        <v>7.3166200000000001E-2</v>
      </c>
    </row>
    <row r="214" spans="1:8" x14ac:dyDescent="0.35">
      <c r="A214" s="23">
        <v>4.1406250000000002E-3</v>
      </c>
      <c r="B214" s="23">
        <f t="shared" si="6"/>
        <v>5.9886750000000002E-2</v>
      </c>
      <c r="D214" s="22">
        <f t="shared" si="7"/>
        <v>9.6247075471698107</v>
      </c>
      <c r="E214" s="21"/>
      <c r="G214" s="23">
        <v>-3.060657E-2</v>
      </c>
      <c r="H214" s="23">
        <v>5.9886750000000002E-2</v>
      </c>
    </row>
    <row r="215" spans="1:8" x14ac:dyDescent="0.35">
      <c r="A215" s="23">
        <v>4.1601559999999999E-3</v>
      </c>
      <c r="B215" s="23">
        <f t="shared" si="6"/>
        <v>4.5570649999999997E-2</v>
      </c>
      <c r="D215" s="22">
        <f t="shared" si="7"/>
        <v>3.1722547169811315</v>
      </c>
      <c r="E215" s="21"/>
      <c r="G215" s="23">
        <v>-1.0087769999999999E-2</v>
      </c>
      <c r="H215" s="23">
        <v>4.5570649999999997E-2</v>
      </c>
    </row>
    <row r="216" spans="1:8" x14ac:dyDescent="0.35">
      <c r="A216" s="23">
        <v>4.179688E-3</v>
      </c>
      <c r="B216" s="23">
        <f t="shared" si="6"/>
        <v>3.1561859999999997E-2</v>
      </c>
      <c r="D216" s="22">
        <f t="shared" si="7"/>
        <v>-3.2362987421383647</v>
      </c>
      <c r="E216" s="21"/>
      <c r="G216" s="23">
        <v>1.0291430000000001E-2</v>
      </c>
      <c r="H216" s="23">
        <v>3.1561859999999997E-2</v>
      </c>
    </row>
    <row r="217" spans="1:8" x14ac:dyDescent="0.35">
      <c r="A217" s="23">
        <v>4.1992189999999997E-3</v>
      </c>
      <c r="B217" s="23">
        <f t="shared" si="6"/>
        <v>1.7515240000000001E-2</v>
      </c>
      <c r="D217" s="22">
        <f t="shared" si="7"/>
        <v>-9.3051320754716969</v>
      </c>
      <c r="E217" s="21"/>
      <c r="G217" s="23">
        <v>2.959032E-2</v>
      </c>
      <c r="H217" s="23">
        <v>1.7515240000000001E-2</v>
      </c>
    </row>
    <row r="218" spans="1:8" x14ac:dyDescent="0.35">
      <c r="A218" s="23">
        <v>4.2187500000000003E-3</v>
      </c>
      <c r="B218" s="23">
        <f t="shared" si="6"/>
        <v>9.4009240000000004E-4</v>
      </c>
      <c r="D218" s="22">
        <f t="shared" si="7"/>
        <v>-15.816877358490567</v>
      </c>
      <c r="E218" s="21"/>
      <c r="G218" s="23">
        <v>5.0297670000000003E-2</v>
      </c>
      <c r="H218" s="23">
        <v>9.4009240000000004E-4</v>
      </c>
    </row>
    <row r="219" spans="1:8" x14ac:dyDescent="0.35">
      <c r="A219" s="23">
        <v>4.238281E-3</v>
      </c>
      <c r="B219" s="23">
        <f t="shared" si="6"/>
        <v>-1.4893470000000001E-2</v>
      </c>
      <c r="D219" s="22">
        <f t="shared" si="7"/>
        <v>-22.034006289308174</v>
      </c>
      <c r="E219" s="21"/>
      <c r="G219" s="23">
        <v>7.0068140000000001E-2</v>
      </c>
      <c r="H219" s="23">
        <v>-1.4893470000000001E-2</v>
      </c>
    </row>
    <row r="220" spans="1:8" x14ac:dyDescent="0.35">
      <c r="A220" s="23">
        <v>4.257813E-3</v>
      </c>
      <c r="B220" s="23">
        <f t="shared" si="6"/>
        <v>-3.193443E-2</v>
      </c>
      <c r="D220" s="22">
        <f t="shared" si="7"/>
        <v>-27.626198113207547</v>
      </c>
      <c r="E220" s="21"/>
      <c r="G220" s="23">
        <v>8.7851310000000002E-2</v>
      </c>
      <c r="H220" s="23">
        <v>-3.193443E-2</v>
      </c>
    </row>
    <row r="221" spans="1:8" x14ac:dyDescent="0.35">
      <c r="A221" s="23">
        <v>4.2773439999999998E-3</v>
      </c>
      <c r="B221" s="23">
        <f t="shared" si="6"/>
        <v>-5.1793110000000003E-2</v>
      </c>
      <c r="D221" s="22">
        <f t="shared" si="7"/>
        <v>-33.381603773584899</v>
      </c>
      <c r="E221" s="21"/>
      <c r="G221" s="23">
        <v>0.1061535</v>
      </c>
      <c r="H221" s="23">
        <v>-5.1793110000000003E-2</v>
      </c>
    </row>
    <row r="222" spans="1:8" x14ac:dyDescent="0.35">
      <c r="A222" s="23">
        <v>4.2968750000000003E-3</v>
      </c>
      <c r="B222" s="23">
        <f t="shared" si="6"/>
        <v>-7.0200680000000001E-2</v>
      </c>
      <c r="D222" s="22">
        <f t="shared" si="7"/>
        <v>-39.11679245283019</v>
      </c>
      <c r="E222" s="21"/>
      <c r="G222" s="23">
        <v>0.1243914</v>
      </c>
      <c r="H222" s="23">
        <v>-7.0200680000000001E-2</v>
      </c>
    </row>
    <row r="223" spans="1:8" x14ac:dyDescent="0.35">
      <c r="A223" s="23">
        <v>4.3164060000000001E-3</v>
      </c>
      <c r="B223" s="23">
        <f t="shared" si="6"/>
        <v>-8.9376960000000005E-2</v>
      </c>
      <c r="D223" s="22">
        <f t="shared" si="7"/>
        <v>-44.890094339622635</v>
      </c>
      <c r="E223" s="21"/>
      <c r="G223" s="23">
        <v>0.1427505</v>
      </c>
      <c r="H223" s="23">
        <v>-8.9376960000000005E-2</v>
      </c>
    </row>
    <row r="224" spans="1:8" x14ac:dyDescent="0.35">
      <c r="A224" s="23">
        <v>4.3359380000000001E-3</v>
      </c>
      <c r="B224" s="23">
        <f t="shared" si="6"/>
        <v>-0.1100893</v>
      </c>
      <c r="D224" s="22">
        <f t="shared" si="7"/>
        <v>-50.654968553459113</v>
      </c>
      <c r="E224" s="21"/>
      <c r="G224" s="23">
        <v>0.1610828</v>
      </c>
      <c r="H224" s="23">
        <v>-0.1100893</v>
      </c>
    </row>
    <row r="225" spans="1:8" x14ac:dyDescent="0.35">
      <c r="A225" s="23">
        <v>4.3554689999999998E-3</v>
      </c>
      <c r="B225" s="23">
        <f t="shared" si="6"/>
        <v>-0.12888659999999999</v>
      </c>
      <c r="D225" s="22">
        <f t="shared" si="7"/>
        <v>-55.98157232704402</v>
      </c>
      <c r="E225" s="21"/>
      <c r="G225" s="23">
        <v>0.1780214</v>
      </c>
      <c r="H225" s="23">
        <v>-0.12888659999999999</v>
      </c>
    </row>
    <row r="226" spans="1:8" x14ac:dyDescent="0.35">
      <c r="A226" s="23">
        <v>4.3750000000000004E-3</v>
      </c>
      <c r="B226" s="23">
        <f t="shared" si="6"/>
        <v>-0.1463033</v>
      </c>
      <c r="D226" s="22">
        <f t="shared" si="7"/>
        <v>-61.038522012578618</v>
      </c>
      <c r="E226" s="21"/>
      <c r="G226" s="23">
        <v>0.19410250000000001</v>
      </c>
      <c r="H226" s="23">
        <v>-0.1463033</v>
      </c>
    </row>
    <row r="227" spans="1:8" x14ac:dyDescent="0.35">
      <c r="A227" s="23">
        <v>4.3945310000000001E-3</v>
      </c>
      <c r="B227" s="23">
        <f t="shared" si="6"/>
        <v>-0.16214049999999999</v>
      </c>
      <c r="D227" s="22">
        <f t="shared" si="7"/>
        <v>-65.694339622641508</v>
      </c>
      <c r="E227" s="21"/>
      <c r="G227" s="23">
        <v>0.20890800000000001</v>
      </c>
      <c r="H227" s="23">
        <v>-0.16214049999999999</v>
      </c>
    </row>
    <row r="228" spans="1:8" x14ac:dyDescent="0.35">
      <c r="A228" s="23">
        <v>4.4140630000000002E-3</v>
      </c>
      <c r="B228" s="23">
        <f t="shared" si="6"/>
        <v>-0.17722170000000001</v>
      </c>
      <c r="D228" s="22">
        <f t="shared" si="7"/>
        <v>-70.287138364779864</v>
      </c>
      <c r="E228" s="21"/>
      <c r="G228" s="23">
        <v>0.22351309999999999</v>
      </c>
      <c r="H228" s="23">
        <v>-0.17722170000000001</v>
      </c>
    </row>
    <row r="229" spans="1:8" x14ac:dyDescent="0.35">
      <c r="A229" s="23">
        <v>4.4335939999999999E-3</v>
      </c>
      <c r="B229" s="23">
        <f t="shared" si="6"/>
        <v>-0.19226940000000001</v>
      </c>
      <c r="D229" s="22">
        <f t="shared" si="7"/>
        <v>-75.23990566037736</v>
      </c>
      <c r="E229" s="21"/>
      <c r="G229" s="23">
        <v>0.2392629</v>
      </c>
      <c r="H229" s="23">
        <v>-0.19226940000000001</v>
      </c>
    </row>
    <row r="230" spans="1:8" x14ac:dyDescent="0.35">
      <c r="A230" s="23">
        <v>4.4531249999999996E-3</v>
      </c>
      <c r="B230" s="23">
        <f t="shared" si="6"/>
        <v>-0.20442779999999999</v>
      </c>
      <c r="D230" s="22">
        <f t="shared" si="7"/>
        <v>-79.310566037735839</v>
      </c>
      <c r="E230" s="21"/>
      <c r="G230" s="23">
        <v>0.25220759999999998</v>
      </c>
      <c r="H230" s="23">
        <v>-0.20442779999999999</v>
      </c>
    </row>
    <row r="231" spans="1:8" x14ac:dyDescent="0.35">
      <c r="A231" s="23">
        <v>4.4726560000000002E-3</v>
      </c>
      <c r="B231" s="23">
        <f t="shared" si="6"/>
        <v>-0.21392320000000001</v>
      </c>
      <c r="D231" s="22">
        <f t="shared" si="7"/>
        <v>-82.689622641509416</v>
      </c>
      <c r="E231" s="21"/>
      <c r="G231" s="23">
        <v>0.26295299999999999</v>
      </c>
      <c r="H231" s="23">
        <v>-0.21392320000000001</v>
      </c>
    </row>
    <row r="232" spans="1:8" x14ac:dyDescent="0.35">
      <c r="A232" s="23">
        <v>4.4921880000000003E-3</v>
      </c>
      <c r="B232" s="23">
        <f t="shared" si="6"/>
        <v>-0.22396269999999999</v>
      </c>
      <c r="D232" s="22">
        <f t="shared" si="7"/>
        <v>-86.559496855345898</v>
      </c>
      <c r="E232" s="21"/>
      <c r="G232" s="23">
        <v>0.27525919999999998</v>
      </c>
      <c r="H232" s="23">
        <v>-0.22396269999999999</v>
      </c>
    </row>
    <row r="233" spans="1:8" x14ac:dyDescent="0.35">
      <c r="A233" s="23">
        <v>4.511719E-3</v>
      </c>
      <c r="B233" s="23">
        <f t="shared" si="6"/>
        <v>-0.2335064</v>
      </c>
      <c r="D233" s="22">
        <f t="shared" si="7"/>
        <v>-89.747767295597484</v>
      </c>
      <c r="E233" s="21"/>
      <c r="G233" s="23">
        <v>0.28539789999999998</v>
      </c>
      <c r="H233" s="23">
        <v>-0.2335064</v>
      </c>
    </row>
    <row r="234" spans="1:8" x14ac:dyDescent="0.35">
      <c r="A234" s="23">
        <v>4.5312499999999997E-3</v>
      </c>
      <c r="B234" s="23">
        <f t="shared" si="6"/>
        <v>-0.24071190000000001</v>
      </c>
      <c r="D234" s="22">
        <f t="shared" si="7"/>
        <v>-92.327295597484266</v>
      </c>
      <c r="E234" s="21"/>
      <c r="G234" s="23">
        <v>0.2936008</v>
      </c>
      <c r="H234" s="23">
        <v>-0.24071190000000001</v>
      </c>
    </row>
    <row r="235" spans="1:8" x14ac:dyDescent="0.35">
      <c r="A235" s="23">
        <v>4.5507810000000003E-3</v>
      </c>
      <c r="B235" s="23">
        <f t="shared" si="6"/>
        <v>-0.24803249999999999</v>
      </c>
      <c r="D235" s="22">
        <f t="shared" si="7"/>
        <v>-95.215062893081765</v>
      </c>
      <c r="E235" s="21"/>
      <c r="G235" s="23">
        <v>0.30278389999999999</v>
      </c>
      <c r="H235" s="23">
        <v>-0.24803249999999999</v>
      </c>
    </row>
    <row r="236" spans="1:8" x14ac:dyDescent="0.35">
      <c r="A236" s="23">
        <v>4.570312E-3</v>
      </c>
      <c r="B236" s="23">
        <f t="shared" si="6"/>
        <v>-0.25540469999999998</v>
      </c>
      <c r="D236" s="22">
        <f t="shared" si="7"/>
        <v>-97.570094339622628</v>
      </c>
      <c r="E236" s="21"/>
      <c r="G236" s="23">
        <v>0.31027290000000002</v>
      </c>
      <c r="H236" s="23">
        <v>-0.25540469999999998</v>
      </c>
    </row>
    <row r="237" spans="1:8" x14ac:dyDescent="0.35">
      <c r="A237" s="23">
        <v>4.589844E-3</v>
      </c>
      <c r="B237" s="23">
        <f t="shared" si="6"/>
        <v>-0.26103579999999998</v>
      </c>
      <c r="D237" s="22">
        <f t="shared" si="7"/>
        <v>-99.457704402515702</v>
      </c>
      <c r="E237" s="21"/>
      <c r="G237" s="23">
        <v>0.31627549999999999</v>
      </c>
      <c r="H237" s="23">
        <v>-0.26103579999999998</v>
      </c>
    </row>
    <row r="238" spans="1:8" x14ac:dyDescent="0.35">
      <c r="A238" s="23">
        <v>4.6093749999999998E-3</v>
      </c>
      <c r="B238" s="23">
        <f t="shared" si="6"/>
        <v>-0.26498959999999999</v>
      </c>
      <c r="D238" s="22">
        <f t="shared" si="7"/>
        <v>-100.95559748427674</v>
      </c>
      <c r="E238" s="21"/>
      <c r="G238" s="23">
        <v>0.32103880000000001</v>
      </c>
      <c r="H238" s="23">
        <v>-0.26498959999999999</v>
      </c>
    </row>
    <row r="239" spans="1:8" x14ac:dyDescent="0.35">
      <c r="A239" s="23">
        <v>4.6289060000000003E-3</v>
      </c>
      <c r="B239" s="23">
        <f t="shared" si="6"/>
        <v>-0.26788810000000002</v>
      </c>
      <c r="D239" s="22">
        <f t="shared" si="7"/>
        <v>-101.89411949685534</v>
      </c>
      <c r="E239" s="21"/>
      <c r="G239" s="23">
        <v>0.32402330000000001</v>
      </c>
      <c r="H239" s="23">
        <v>-0.26788810000000002</v>
      </c>
    </row>
    <row r="240" spans="1:8" x14ac:dyDescent="0.35">
      <c r="A240" s="23">
        <v>4.6484370000000001E-3</v>
      </c>
      <c r="B240" s="23">
        <f t="shared" si="6"/>
        <v>-0.27043529999999999</v>
      </c>
      <c r="D240" s="22">
        <f t="shared" si="7"/>
        <v>-102.62556603773585</v>
      </c>
      <c r="E240" s="21"/>
      <c r="G240" s="23">
        <v>0.32634930000000001</v>
      </c>
      <c r="H240" s="23">
        <v>-0.27043529999999999</v>
      </c>
    </row>
    <row r="241" spans="1:8" x14ac:dyDescent="0.35">
      <c r="A241" s="23">
        <v>4.6679690000000001E-3</v>
      </c>
      <c r="B241" s="23">
        <f t="shared" si="6"/>
        <v>-0.27104450000000002</v>
      </c>
      <c r="D241" s="22">
        <f t="shared" si="7"/>
        <v>-102.68726415094339</v>
      </c>
      <c r="E241" s="21"/>
      <c r="G241" s="23">
        <v>0.32654549999999999</v>
      </c>
      <c r="H241" s="23">
        <v>-0.27104450000000002</v>
      </c>
    </row>
    <row r="242" spans="1:8" x14ac:dyDescent="0.35">
      <c r="A242" s="23">
        <v>4.6874999999999998E-3</v>
      </c>
      <c r="B242" s="23">
        <f t="shared" si="6"/>
        <v>-0.27104440000000002</v>
      </c>
      <c r="D242" s="22">
        <f t="shared" si="7"/>
        <v>-102.57946540880502</v>
      </c>
      <c r="E242" s="21"/>
      <c r="G242" s="23">
        <v>0.32620270000000001</v>
      </c>
      <c r="H242" s="23">
        <v>-0.27104440000000002</v>
      </c>
    </row>
    <row r="243" spans="1:8" x14ac:dyDescent="0.35">
      <c r="A243" s="23">
        <v>4.7070310000000004E-3</v>
      </c>
      <c r="B243" s="23">
        <f t="shared" si="6"/>
        <v>-0.27212009999999998</v>
      </c>
      <c r="D243" s="22">
        <f t="shared" si="7"/>
        <v>-102.75547169811321</v>
      </c>
      <c r="E243" s="21"/>
      <c r="G243" s="23">
        <v>0.32676240000000001</v>
      </c>
      <c r="H243" s="23">
        <v>-0.27212009999999998</v>
      </c>
    </row>
    <row r="244" spans="1:8" x14ac:dyDescent="0.35">
      <c r="A244" s="23">
        <v>4.7265620000000001E-3</v>
      </c>
      <c r="B244" s="23">
        <f t="shared" si="6"/>
        <v>-0.27057429999999999</v>
      </c>
      <c r="D244" s="22">
        <f t="shared" si="7"/>
        <v>-101.99698113207546</v>
      </c>
      <c r="E244" s="21"/>
      <c r="G244" s="23">
        <v>0.32435039999999998</v>
      </c>
      <c r="H244" s="23">
        <v>-0.27057429999999999</v>
      </c>
    </row>
    <row r="245" spans="1:8" x14ac:dyDescent="0.35">
      <c r="A245" s="23">
        <v>4.7460940000000002E-3</v>
      </c>
      <c r="B245" s="23">
        <f t="shared" si="6"/>
        <v>-0.26657730000000002</v>
      </c>
      <c r="D245" s="22">
        <f t="shared" si="7"/>
        <v>-100.34261006289309</v>
      </c>
      <c r="E245" s="21"/>
      <c r="G245" s="23">
        <v>0.31908950000000003</v>
      </c>
      <c r="H245" s="23">
        <v>-0.26657730000000002</v>
      </c>
    </row>
    <row r="246" spans="1:8" x14ac:dyDescent="0.35">
      <c r="A246" s="23">
        <v>4.7656249999999999E-3</v>
      </c>
      <c r="B246" s="23">
        <f t="shared" si="6"/>
        <v>-0.262457</v>
      </c>
      <c r="D246" s="22">
        <f t="shared" si="7"/>
        <v>-98.517232704402502</v>
      </c>
      <c r="E246" s="21"/>
      <c r="G246" s="23">
        <v>0.31328479999999997</v>
      </c>
      <c r="H246" s="23">
        <v>-0.262457</v>
      </c>
    </row>
    <row r="247" spans="1:8" x14ac:dyDescent="0.35">
      <c r="A247" s="23">
        <v>4.7851559999999996E-3</v>
      </c>
      <c r="B247" s="23">
        <f t="shared" si="6"/>
        <v>-0.25747530000000002</v>
      </c>
      <c r="D247" s="22">
        <f t="shared" si="7"/>
        <v>-96.366761006289309</v>
      </c>
      <c r="E247" s="21"/>
      <c r="G247" s="23">
        <v>0.3064463</v>
      </c>
      <c r="H247" s="23">
        <v>-0.25747530000000002</v>
      </c>
    </row>
    <row r="248" spans="1:8" x14ac:dyDescent="0.35">
      <c r="A248" s="23">
        <v>4.8046870000000002E-3</v>
      </c>
      <c r="B248" s="23">
        <f t="shared" si="6"/>
        <v>-0.25235089999999999</v>
      </c>
      <c r="D248" s="22">
        <f t="shared" si="7"/>
        <v>-94.13666666666667</v>
      </c>
      <c r="E248" s="21"/>
      <c r="G248" s="23">
        <v>0.29935460000000003</v>
      </c>
      <c r="H248" s="23">
        <v>-0.25235089999999999</v>
      </c>
    </row>
    <row r="249" spans="1:8" x14ac:dyDescent="0.35">
      <c r="A249" s="23">
        <v>4.8242190000000003E-3</v>
      </c>
      <c r="B249" s="23">
        <f t="shared" si="6"/>
        <v>-0.2470186</v>
      </c>
      <c r="D249" s="22">
        <f t="shared" si="7"/>
        <v>-91.706100628930798</v>
      </c>
      <c r="E249" s="21"/>
      <c r="G249" s="23">
        <v>0.29162539999999998</v>
      </c>
      <c r="H249" s="23">
        <v>-0.2470186</v>
      </c>
    </row>
    <row r="250" spans="1:8" x14ac:dyDescent="0.35">
      <c r="A250" s="23">
        <v>4.84375E-3</v>
      </c>
      <c r="B250" s="23">
        <f t="shared" si="6"/>
        <v>-0.2400661</v>
      </c>
      <c r="D250" s="22">
        <f t="shared" si="7"/>
        <v>-88.605062893081765</v>
      </c>
      <c r="E250" s="21"/>
      <c r="G250" s="23">
        <v>0.28176410000000002</v>
      </c>
      <c r="H250" s="23">
        <v>-0.2400661</v>
      </c>
    </row>
    <row r="251" spans="1:8" x14ac:dyDescent="0.35">
      <c r="A251" s="23">
        <v>4.8632809999999997E-3</v>
      </c>
      <c r="B251" s="23">
        <f t="shared" si="6"/>
        <v>-0.23132530000000001</v>
      </c>
      <c r="D251" s="22">
        <f t="shared" si="7"/>
        <v>-85.061163522012578</v>
      </c>
      <c r="E251" s="21"/>
      <c r="G251" s="23">
        <v>0.27049450000000003</v>
      </c>
      <c r="H251" s="23">
        <v>-0.23132530000000001</v>
      </c>
    </row>
    <row r="252" spans="1:8" x14ac:dyDescent="0.35">
      <c r="A252" s="23">
        <v>4.8828120000000003E-3</v>
      </c>
      <c r="B252" s="23">
        <f t="shared" si="6"/>
        <v>-0.22112319999999999</v>
      </c>
      <c r="D252" s="22">
        <f t="shared" si="7"/>
        <v>-80.877987421383622</v>
      </c>
      <c r="E252" s="21"/>
      <c r="G252" s="23">
        <v>0.25719199999999998</v>
      </c>
      <c r="H252" s="23">
        <v>-0.22112319999999999</v>
      </c>
    </row>
    <row r="253" spans="1:8" x14ac:dyDescent="0.35">
      <c r="A253" s="23">
        <v>4.9023440000000003E-3</v>
      </c>
      <c r="B253" s="23">
        <f t="shared" si="6"/>
        <v>-0.2110389</v>
      </c>
      <c r="D253" s="22">
        <f t="shared" si="7"/>
        <v>-76.430314465408799</v>
      </c>
      <c r="E253" s="21"/>
      <c r="G253" s="23">
        <v>0.2430484</v>
      </c>
      <c r="H253" s="23">
        <v>-0.2110389</v>
      </c>
    </row>
    <row r="254" spans="1:8" x14ac:dyDescent="0.35">
      <c r="A254" s="23">
        <v>4.921875E-3</v>
      </c>
      <c r="B254" s="23">
        <f t="shared" si="6"/>
        <v>-0.2012195</v>
      </c>
      <c r="D254" s="22">
        <f t="shared" si="7"/>
        <v>-72.337704402515726</v>
      </c>
      <c r="E254" s="21"/>
      <c r="G254" s="23">
        <v>0.23003390000000001</v>
      </c>
      <c r="H254" s="23">
        <v>-0.2012195</v>
      </c>
    </row>
    <row r="255" spans="1:8" x14ac:dyDescent="0.35">
      <c r="A255" s="23">
        <v>4.9414059999999997E-3</v>
      </c>
      <c r="B255" s="23">
        <f t="shared" si="6"/>
        <v>-0.19020039999999999</v>
      </c>
      <c r="D255" s="22">
        <f t="shared" si="7"/>
        <v>-67.743427672955974</v>
      </c>
      <c r="E255" s="21"/>
      <c r="G255" s="23">
        <v>0.21542410000000001</v>
      </c>
      <c r="H255" s="23">
        <v>-0.19020039999999999</v>
      </c>
    </row>
    <row r="256" spans="1:8" x14ac:dyDescent="0.35">
      <c r="A256" s="23">
        <v>4.9609379999999998E-3</v>
      </c>
      <c r="B256" s="23">
        <f t="shared" si="6"/>
        <v>-0.17825050000000001</v>
      </c>
      <c r="D256" s="22">
        <f t="shared" si="7"/>
        <v>-62.690786163522006</v>
      </c>
      <c r="E256" s="21"/>
      <c r="G256" s="23">
        <v>0.1993567</v>
      </c>
      <c r="H256" s="23">
        <v>-0.17825050000000001</v>
      </c>
    </row>
    <row r="257" spans="1:8" x14ac:dyDescent="0.35">
      <c r="A257" s="23">
        <v>4.9804690000000004E-3</v>
      </c>
      <c r="B257" s="23">
        <f t="shared" si="6"/>
        <v>-0.16508780000000001</v>
      </c>
      <c r="D257" s="22">
        <f t="shared" si="7"/>
        <v>-57.408050314465399</v>
      </c>
      <c r="E257" s="21"/>
      <c r="G257" s="23">
        <v>0.18255759999999999</v>
      </c>
      <c r="H257" s="23">
        <v>-0.16508780000000001</v>
      </c>
    </row>
    <row r="258" spans="1:8" x14ac:dyDescent="0.35">
      <c r="A258" s="23">
        <v>5.0000000000000001E-3</v>
      </c>
      <c r="B258" s="23">
        <f t="shared" si="6"/>
        <v>-0.15055389999999999</v>
      </c>
      <c r="D258" s="22">
        <f t="shared" si="7"/>
        <v>-51.475157232704397</v>
      </c>
      <c r="E258" s="21"/>
      <c r="G258" s="23">
        <v>0.163691</v>
      </c>
      <c r="H258" s="23">
        <v>-0.15055389999999999</v>
      </c>
    </row>
    <row r="259" spans="1:8" x14ac:dyDescent="0.35">
      <c r="A259" s="23">
        <v>5.0195309999999998E-3</v>
      </c>
      <c r="B259" s="23">
        <f t="shared" ref="B259:B322" si="8">H259</f>
        <v>-0.13554649999999999</v>
      </c>
      <c r="D259" s="22">
        <f t="shared" ref="D259:D322" si="9">G259*-1000/3.18</f>
        <v>-45.532169811320756</v>
      </c>
      <c r="E259" s="21"/>
      <c r="G259" s="23">
        <v>0.14479230000000001</v>
      </c>
      <c r="H259" s="23">
        <v>-0.13554649999999999</v>
      </c>
    </row>
    <row r="260" spans="1:8" x14ac:dyDescent="0.35">
      <c r="A260" s="23">
        <v>5.0390629999999999E-3</v>
      </c>
      <c r="B260" s="23">
        <f t="shared" si="8"/>
        <v>-0.1202999</v>
      </c>
      <c r="D260" s="22">
        <f t="shared" si="9"/>
        <v>-39.495974842767289</v>
      </c>
      <c r="E260" s="21"/>
      <c r="G260" s="23">
        <v>0.12559719999999999</v>
      </c>
      <c r="H260" s="23">
        <v>-0.1202999</v>
      </c>
    </row>
    <row r="261" spans="1:8" x14ac:dyDescent="0.35">
      <c r="A261" s="23">
        <v>5.0585939999999996E-3</v>
      </c>
      <c r="B261" s="23">
        <f t="shared" si="8"/>
        <v>-0.10507759999999999</v>
      </c>
      <c r="D261" s="22">
        <f t="shared" si="9"/>
        <v>-33.338773584905653</v>
      </c>
      <c r="E261" s="21"/>
      <c r="G261" s="23">
        <v>0.10601729999999999</v>
      </c>
      <c r="H261" s="23">
        <v>-0.10507759999999999</v>
      </c>
    </row>
    <row r="262" spans="1:8" x14ac:dyDescent="0.35">
      <c r="A262" s="23">
        <v>5.0781250000000002E-3</v>
      </c>
      <c r="B262" s="23">
        <f t="shared" si="8"/>
        <v>-8.9841740000000003E-2</v>
      </c>
      <c r="D262" s="22">
        <f t="shared" si="9"/>
        <v>-27.443279874213836</v>
      </c>
      <c r="E262" s="21"/>
      <c r="G262" s="23">
        <v>8.7269630000000001E-2</v>
      </c>
      <c r="H262" s="23">
        <v>-8.9841740000000003E-2</v>
      </c>
    </row>
    <row r="263" spans="1:8" x14ac:dyDescent="0.35">
      <c r="A263" s="23">
        <v>5.0976559999999999E-3</v>
      </c>
      <c r="B263" s="23">
        <f t="shared" si="8"/>
        <v>-7.3916239999999994E-2</v>
      </c>
      <c r="D263" s="22">
        <f t="shared" si="9"/>
        <v>-21.059905660377357</v>
      </c>
      <c r="E263" s="21"/>
      <c r="G263" s="23">
        <v>6.6970500000000002E-2</v>
      </c>
      <c r="H263" s="23">
        <v>-7.3916239999999994E-2</v>
      </c>
    </row>
    <row r="264" spans="1:8" x14ac:dyDescent="0.35">
      <c r="A264" s="23">
        <v>5.1171879999999999E-3</v>
      </c>
      <c r="B264" s="23">
        <f t="shared" si="8"/>
        <v>-5.704215E-2</v>
      </c>
      <c r="D264" s="22">
        <f t="shared" si="9"/>
        <v>-14.36461006289308</v>
      </c>
      <c r="E264" s="21"/>
      <c r="G264" s="23">
        <v>4.5679459999999998E-2</v>
      </c>
      <c r="H264" s="23">
        <v>-5.704215E-2</v>
      </c>
    </row>
    <row r="265" spans="1:8" x14ac:dyDescent="0.35">
      <c r="A265" s="23">
        <v>5.1367189999999997E-3</v>
      </c>
      <c r="B265" s="23">
        <f t="shared" si="8"/>
        <v>-3.9974900000000001E-2</v>
      </c>
      <c r="D265" s="22">
        <f t="shared" si="9"/>
        <v>-7.7496163522012571</v>
      </c>
      <c r="E265" s="21"/>
      <c r="G265" s="23">
        <v>2.4643780000000001E-2</v>
      </c>
      <c r="H265" s="23">
        <v>-3.9974900000000001E-2</v>
      </c>
    </row>
    <row r="266" spans="1:8" x14ac:dyDescent="0.35">
      <c r="A266" s="23">
        <v>5.1562500000000002E-3</v>
      </c>
      <c r="B266" s="23">
        <f t="shared" si="8"/>
        <v>-2.3300689999999999E-2</v>
      </c>
      <c r="D266" s="22">
        <f t="shared" si="9"/>
        <v>-1.0905937106918238</v>
      </c>
      <c r="E266" s="21"/>
      <c r="G266" s="23">
        <v>3.4680879999999998E-3</v>
      </c>
      <c r="H266" s="23">
        <v>-2.3300689999999999E-2</v>
      </c>
    </row>
    <row r="267" spans="1:8" x14ac:dyDescent="0.35">
      <c r="A267" s="23">
        <v>5.175781E-3</v>
      </c>
      <c r="B267" s="23">
        <f t="shared" si="8"/>
        <v>-7.0548909999999998E-3</v>
      </c>
      <c r="D267" s="22">
        <f t="shared" si="9"/>
        <v>5.1681006289308176</v>
      </c>
      <c r="E267" s="21"/>
      <c r="G267" s="23">
        <v>-1.6434560000000001E-2</v>
      </c>
      <c r="H267" s="23">
        <v>-7.0548909999999998E-3</v>
      </c>
    </row>
    <row r="268" spans="1:8" x14ac:dyDescent="0.35">
      <c r="A268" s="23">
        <v>5.195313E-3</v>
      </c>
      <c r="B268" s="23">
        <f t="shared" si="8"/>
        <v>8.8693999999999995E-3</v>
      </c>
      <c r="D268" s="22">
        <f t="shared" si="9"/>
        <v>11.362933962264149</v>
      </c>
      <c r="E268" s="21"/>
      <c r="G268" s="23">
        <v>-3.613413E-2</v>
      </c>
      <c r="H268" s="23">
        <v>8.8693999999999995E-3</v>
      </c>
    </row>
    <row r="269" spans="1:8" x14ac:dyDescent="0.35">
      <c r="A269" s="23">
        <v>5.2148439999999997E-3</v>
      </c>
      <c r="B269" s="23">
        <f t="shared" si="8"/>
        <v>2.4920729999999999E-2</v>
      </c>
      <c r="D269" s="22">
        <f t="shared" si="9"/>
        <v>17.701361635220124</v>
      </c>
      <c r="E269" s="21"/>
      <c r="G269" s="23">
        <v>-5.629033E-2</v>
      </c>
      <c r="H269" s="23">
        <v>2.4920729999999999E-2</v>
      </c>
    </row>
    <row r="270" spans="1:8" x14ac:dyDescent="0.35">
      <c r="A270" s="23">
        <v>5.2343750000000003E-3</v>
      </c>
      <c r="B270" s="23">
        <f t="shared" si="8"/>
        <v>4.1281270000000002E-2</v>
      </c>
      <c r="D270" s="22">
        <f t="shared" si="9"/>
        <v>23.990229559748428</v>
      </c>
      <c r="E270" s="21"/>
      <c r="G270" s="23">
        <v>-7.6288930000000005E-2</v>
      </c>
      <c r="H270" s="23">
        <v>4.1281270000000002E-2</v>
      </c>
    </row>
    <row r="271" spans="1:8" x14ac:dyDescent="0.35">
      <c r="A271" s="23">
        <v>5.253906E-3</v>
      </c>
      <c r="B271" s="23">
        <f t="shared" si="8"/>
        <v>5.8110139999999998E-2</v>
      </c>
      <c r="D271" s="22">
        <f t="shared" si="9"/>
        <v>30.629635220125788</v>
      </c>
      <c r="E271" s="21"/>
      <c r="G271" s="23">
        <v>-9.7402240000000001E-2</v>
      </c>
      <c r="H271" s="23">
        <v>5.8110139999999998E-2</v>
      </c>
    </row>
    <row r="272" spans="1:8" x14ac:dyDescent="0.35">
      <c r="A272" s="23">
        <v>5.2734380000000001E-3</v>
      </c>
      <c r="B272" s="23">
        <f t="shared" si="8"/>
        <v>7.4391100000000002E-2</v>
      </c>
      <c r="D272" s="22">
        <f t="shared" si="9"/>
        <v>36.896163522012571</v>
      </c>
      <c r="E272" s="21"/>
      <c r="G272" s="23">
        <v>-0.1173298</v>
      </c>
      <c r="H272" s="23">
        <v>7.4391100000000002E-2</v>
      </c>
    </row>
    <row r="273" spans="1:8" x14ac:dyDescent="0.35">
      <c r="A273" s="23">
        <v>5.2929689999999998E-3</v>
      </c>
      <c r="B273" s="23">
        <f t="shared" si="8"/>
        <v>8.9331830000000001E-2</v>
      </c>
      <c r="D273" s="22">
        <f t="shared" si="9"/>
        <v>42.436163522012578</v>
      </c>
      <c r="E273" s="21"/>
      <c r="G273" s="23">
        <v>-0.13494700000000001</v>
      </c>
      <c r="H273" s="23">
        <v>8.9331830000000001E-2</v>
      </c>
    </row>
    <row r="274" spans="1:8" x14ac:dyDescent="0.35">
      <c r="A274" s="23">
        <v>5.3125000000000004E-3</v>
      </c>
      <c r="B274" s="23">
        <f t="shared" si="8"/>
        <v>0.1045572</v>
      </c>
      <c r="D274" s="22">
        <f t="shared" si="9"/>
        <v>48.307075471698113</v>
      </c>
      <c r="E274" s="21"/>
      <c r="G274" s="23">
        <v>-0.15361649999999999</v>
      </c>
      <c r="H274" s="23">
        <v>0.1045572</v>
      </c>
    </row>
    <row r="275" spans="1:8" x14ac:dyDescent="0.35">
      <c r="A275" s="23">
        <v>5.3320310000000001E-3</v>
      </c>
      <c r="B275" s="23">
        <f t="shared" si="8"/>
        <v>0.1191165</v>
      </c>
      <c r="D275" s="22">
        <f t="shared" si="9"/>
        <v>53.819433962264142</v>
      </c>
      <c r="E275" s="21"/>
      <c r="G275" s="23">
        <v>-0.17114579999999999</v>
      </c>
      <c r="H275" s="23">
        <v>0.1191165</v>
      </c>
    </row>
    <row r="276" spans="1:8" x14ac:dyDescent="0.35">
      <c r="A276" s="23">
        <v>5.3515630000000002E-3</v>
      </c>
      <c r="B276" s="23">
        <f t="shared" si="8"/>
        <v>0.13223689999999999</v>
      </c>
      <c r="D276" s="22">
        <f t="shared" si="9"/>
        <v>58.740817610062898</v>
      </c>
      <c r="E276" s="21"/>
      <c r="G276" s="23">
        <v>-0.18679580000000001</v>
      </c>
      <c r="H276" s="23">
        <v>0.13223689999999999</v>
      </c>
    </row>
    <row r="277" spans="1:8" x14ac:dyDescent="0.35">
      <c r="A277" s="23">
        <v>5.3710939999999999E-3</v>
      </c>
      <c r="B277" s="23">
        <f t="shared" si="8"/>
        <v>0.1461161</v>
      </c>
      <c r="D277" s="22">
        <f t="shared" si="9"/>
        <v>64.135157232704387</v>
      </c>
      <c r="E277" s="21"/>
      <c r="G277" s="23">
        <v>-0.20394979999999999</v>
      </c>
      <c r="H277" s="23">
        <v>0.1461161</v>
      </c>
    </row>
    <row r="278" spans="1:8" x14ac:dyDescent="0.35">
      <c r="A278" s="23">
        <v>5.3906249999999996E-3</v>
      </c>
      <c r="B278" s="23">
        <f t="shared" si="8"/>
        <v>0.1594264</v>
      </c>
      <c r="D278" s="22">
        <f t="shared" si="9"/>
        <v>69.08864779874213</v>
      </c>
      <c r="E278" s="21"/>
      <c r="G278" s="23">
        <v>-0.21970190000000001</v>
      </c>
      <c r="H278" s="23">
        <v>0.1594264</v>
      </c>
    </row>
    <row r="279" spans="1:8" x14ac:dyDescent="0.35">
      <c r="A279" s="23">
        <v>5.4101560000000002E-3</v>
      </c>
      <c r="B279" s="23">
        <f t="shared" si="8"/>
        <v>0.17121430000000001</v>
      </c>
      <c r="D279" s="22">
        <f t="shared" si="9"/>
        <v>73.534685534591191</v>
      </c>
      <c r="E279" s="21"/>
      <c r="G279" s="23">
        <v>-0.2338403</v>
      </c>
      <c r="H279" s="23">
        <v>0.17121430000000001</v>
      </c>
    </row>
    <row r="280" spans="1:8" x14ac:dyDescent="0.35">
      <c r="A280" s="23">
        <v>5.4296880000000002E-3</v>
      </c>
      <c r="B280" s="23">
        <f t="shared" si="8"/>
        <v>0.18258530000000001</v>
      </c>
      <c r="D280" s="22">
        <f t="shared" si="9"/>
        <v>77.97232704402515</v>
      </c>
      <c r="E280" s="21"/>
      <c r="G280" s="23">
        <v>-0.24795200000000001</v>
      </c>
      <c r="H280" s="23">
        <v>0.18258530000000001</v>
      </c>
    </row>
    <row r="281" spans="1:8" x14ac:dyDescent="0.35">
      <c r="A281" s="23">
        <v>5.4492189999999999E-3</v>
      </c>
      <c r="B281" s="23">
        <f t="shared" si="8"/>
        <v>0.1927101</v>
      </c>
      <c r="D281" s="22">
        <f t="shared" si="9"/>
        <v>81.587169811320749</v>
      </c>
      <c r="E281" s="21"/>
      <c r="G281" s="23">
        <v>-0.25944719999999999</v>
      </c>
      <c r="H281" s="23">
        <v>0.1927101</v>
      </c>
    </row>
    <row r="282" spans="1:8" x14ac:dyDescent="0.35">
      <c r="A282" s="23">
        <v>5.4687499999999997E-3</v>
      </c>
      <c r="B282" s="23">
        <f t="shared" si="8"/>
        <v>0.20202120000000001</v>
      </c>
      <c r="D282" s="22">
        <f t="shared" si="9"/>
        <v>85.019779874213839</v>
      </c>
      <c r="E282" s="21"/>
      <c r="G282" s="23">
        <v>-0.27036290000000002</v>
      </c>
      <c r="H282" s="23">
        <v>0.20202120000000001</v>
      </c>
    </row>
    <row r="283" spans="1:8" x14ac:dyDescent="0.35">
      <c r="A283" s="23">
        <v>5.4882810000000002E-3</v>
      </c>
      <c r="B283" s="23">
        <f t="shared" si="8"/>
        <v>0.21088219999999999</v>
      </c>
      <c r="D283" s="22">
        <f t="shared" si="9"/>
        <v>88.467295597484281</v>
      </c>
      <c r="E283" s="21"/>
      <c r="G283" s="23">
        <v>-0.28132600000000002</v>
      </c>
      <c r="H283" s="23">
        <v>0.21088219999999999</v>
      </c>
    </row>
    <row r="284" spans="1:8" x14ac:dyDescent="0.35">
      <c r="A284" s="23">
        <v>5.507812E-3</v>
      </c>
      <c r="B284" s="23">
        <f t="shared" si="8"/>
        <v>0.2187808</v>
      </c>
      <c r="D284" s="22">
        <f t="shared" si="9"/>
        <v>91.344276729559738</v>
      </c>
      <c r="E284" s="21"/>
      <c r="G284" s="23">
        <v>-0.29047479999999998</v>
      </c>
      <c r="H284" s="23">
        <v>0.2187808</v>
      </c>
    </row>
    <row r="285" spans="1:8" x14ac:dyDescent="0.35">
      <c r="A285" s="23">
        <v>5.527344E-3</v>
      </c>
      <c r="B285" s="23">
        <f t="shared" si="8"/>
        <v>0.22627630000000001</v>
      </c>
      <c r="D285" s="22">
        <f t="shared" si="9"/>
        <v>94.163679245283006</v>
      </c>
      <c r="E285" s="21"/>
      <c r="G285" s="23">
        <v>-0.2994405</v>
      </c>
      <c r="H285" s="23">
        <v>0.22627630000000001</v>
      </c>
    </row>
    <row r="286" spans="1:8" x14ac:dyDescent="0.35">
      <c r="A286" s="23">
        <v>5.5468749999999997E-3</v>
      </c>
      <c r="B286" s="23">
        <f t="shared" si="8"/>
        <v>0.23247399999999999</v>
      </c>
      <c r="D286" s="22">
        <f t="shared" si="9"/>
        <v>96.480188679245288</v>
      </c>
      <c r="E286" s="21"/>
      <c r="G286" s="23">
        <v>-0.306807</v>
      </c>
      <c r="H286" s="23">
        <v>0.23247399999999999</v>
      </c>
    </row>
    <row r="287" spans="1:8" x14ac:dyDescent="0.35">
      <c r="A287" s="23">
        <v>5.5664060000000003E-3</v>
      </c>
      <c r="B287" s="23">
        <f t="shared" si="8"/>
        <v>0.23690659999999999</v>
      </c>
      <c r="D287" s="22">
        <f t="shared" si="9"/>
        <v>97.984999999999985</v>
      </c>
      <c r="E287" s="21"/>
      <c r="G287" s="23">
        <v>-0.31159229999999999</v>
      </c>
      <c r="H287" s="23">
        <v>0.23690659999999999</v>
      </c>
    </row>
    <row r="288" spans="1:8" x14ac:dyDescent="0.35">
      <c r="A288" s="23">
        <v>5.585937E-3</v>
      </c>
      <c r="B288" s="23">
        <f t="shared" si="8"/>
        <v>0.2411017</v>
      </c>
      <c r="D288" s="22">
        <f t="shared" si="9"/>
        <v>99.440188679245281</v>
      </c>
      <c r="E288" s="21"/>
      <c r="G288" s="23">
        <v>-0.3162198</v>
      </c>
      <c r="H288" s="23">
        <v>0.2411017</v>
      </c>
    </row>
    <row r="289" spans="1:8" x14ac:dyDescent="0.35">
      <c r="A289" s="23">
        <v>5.6054690000000001E-3</v>
      </c>
      <c r="B289" s="23">
        <f t="shared" si="8"/>
        <v>0.24508199999999999</v>
      </c>
      <c r="D289" s="22">
        <f t="shared" si="9"/>
        <v>100.76701257861635</v>
      </c>
      <c r="E289" s="21"/>
      <c r="G289" s="23">
        <v>-0.32043909999999998</v>
      </c>
      <c r="H289" s="23">
        <v>0.24508199999999999</v>
      </c>
    </row>
    <row r="290" spans="1:8" x14ac:dyDescent="0.35">
      <c r="A290" s="23">
        <v>5.6249999999999998E-3</v>
      </c>
      <c r="B290" s="23">
        <f t="shared" si="8"/>
        <v>0.24856719999999999</v>
      </c>
      <c r="D290" s="22">
        <f t="shared" si="9"/>
        <v>101.85666666666667</v>
      </c>
      <c r="E290" s="21"/>
      <c r="G290" s="23">
        <v>-0.32390419999999998</v>
      </c>
      <c r="H290" s="23">
        <v>0.24856719999999999</v>
      </c>
    </row>
    <row r="291" spans="1:8" x14ac:dyDescent="0.35">
      <c r="A291" s="23">
        <v>5.6445310000000004E-3</v>
      </c>
      <c r="B291" s="23">
        <f t="shared" si="8"/>
        <v>0.25115609999999999</v>
      </c>
      <c r="D291" s="22">
        <f t="shared" si="9"/>
        <v>102.52940251572326</v>
      </c>
      <c r="E291" s="21"/>
      <c r="G291" s="23">
        <v>-0.32604349999999999</v>
      </c>
      <c r="H291" s="23">
        <v>0.25115609999999999</v>
      </c>
    </row>
    <row r="292" spans="1:8" x14ac:dyDescent="0.35">
      <c r="A292" s="23">
        <v>5.6640620000000001E-3</v>
      </c>
      <c r="B292" s="23">
        <f t="shared" si="8"/>
        <v>0.25174580000000002</v>
      </c>
      <c r="D292" s="22">
        <f t="shared" si="9"/>
        <v>102.3883962264151</v>
      </c>
      <c r="E292" s="21"/>
      <c r="G292" s="23">
        <v>-0.32559510000000003</v>
      </c>
      <c r="H292" s="23">
        <v>0.25174580000000002</v>
      </c>
    </row>
    <row r="293" spans="1:8" x14ac:dyDescent="0.35">
      <c r="A293" s="23">
        <v>5.6835940000000001E-3</v>
      </c>
      <c r="B293" s="23">
        <f t="shared" si="8"/>
        <v>0.25162610000000002</v>
      </c>
      <c r="D293" s="22">
        <f t="shared" si="9"/>
        <v>101.97166666666666</v>
      </c>
      <c r="E293" s="21"/>
      <c r="G293" s="23">
        <v>-0.3242699</v>
      </c>
      <c r="H293" s="23">
        <v>0.25162610000000002</v>
      </c>
    </row>
    <row r="294" spans="1:8" x14ac:dyDescent="0.35">
      <c r="A294" s="23">
        <v>5.7031249999999999E-3</v>
      </c>
      <c r="B294" s="23">
        <f t="shared" si="8"/>
        <v>0.25153809999999999</v>
      </c>
      <c r="D294" s="22">
        <f t="shared" si="9"/>
        <v>101.22106918238993</v>
      </c>
      <c r="E294" s="21"/>
      <c r="G294" s="23">
        <v>-0.32188299999999997</v>
      </c>
      <c r="H294" s="23">
        <v>0.25153809999999999</v>
      </c>
    </row>
    <row r="295" spans="1:8" x14ac:dyDescent="0.35">
      <c r="A295" s="23">
        <v>5.7226559999999996E-3</v>
      </c>
      <c r="B295" s="23">
        <f t="shared" si="8"/>
        <v>0.25031609999999999</v>
      </c>
      <c r="D295" s="22">
        <f t="shared" si="9"/>
        <v>100.12059748427671</v>
      </c>
      <c r="E295" s="21"/>
      <c r="G295" s="23">
        <v>-0.31838349999999999</v>
      </c>
      <c r="H295" s="23">
        <v>0.25031609999999999</v>
      </c>
    </row>
    <row r="296" spans="1:8" x14ac:dyDescent="0.35">
      <c r="A296" s="23">
        <v>5.7421870000000002E-3</v>
      </c>
      <c r="B296" s="23">
        <f t="shared" si="8"/>
        <v>0.24934410000000001</v>
      </c>
      <c r="D296" s="22">
        <f t="shared" si="9"/>
        <v>99.226194968553457</v>
      </c>
      <c r="E296" s="21"/>
      <c r="G296" s="23">
        <v>-0.31553930000000002</v>
      </c>
      <c r="H296" s="23">
        <v>0.24934410000000001</v>
      </c>
    </row>
    <row r="297" spans="1:8" x14ac:dyDescent="0.35">
      <c r="A297" s="23">
        <v>5.7617190000000002E-3</v>
      </c>
      <c r="B297" s="23">
        <f t="shared" si="8"/>
        <v>0.2478051</v>
      </c>
      <c r="D297" s="22">
        <f t="shared" si="9"/>
        <v>97.670377358490555</v>
      </c>
      <c r="E297" s="21"/>
      <c r="G297" s="23">
        <v>-0.31059179999999997</v>
      </c>
      <c r="H297" s="23">
        <v>0.2478051</v>
      </c>
    </row>
    <row r="298" spans="1:8" x14ac:dyDescent="0.35">
      <c r="A298" s="23">
        <v>5.7812499999999999E-3</v>
      </c>
      <c r="B298" s="23">
        <f t="shared" si="8"/>
        <v>0.24386160000000001</v>
      </c>
      <c r="D298" s="22">
        <f t="shared" si="9"/>
        <v>95.420314465408794</v>
      </c>
      <c r="E298" s="21"/>
      <c r="G298" s="23">
        <v>-0.3034366</v>
      </c>
      <c r="H298" s="23">
        <v>0.24386160000000001</v>
      </c>
    </row>
    <row r="299" spans="1:8" x14ac:dyDescent="0.35">
      <c r="A299" s="23">
        <v>5.8007809999999996E-3</v>
      </c>
      <c r="B299" s="23">
        <f t="shared" si="8"/>
        <v>0.23973990000000001</v>
      </c>
      <c r="D299" s="22">
        <f t="shared" si="9"/>
        <v>93.165251572327051</v>
      </c>
      <c r="E299" s="21"/>
      <c r="G299" s="23">
        <v>-0.29626550000000001</v>
      </c>
      <c r="H299" s="23">
        <v>0.23973990000000001</v>
      </c>
    </row>
    <row r="300" spans="1:8" x14ac:dyDescent="0.35">
      <c r="A300" s="23">
        <v>5.8203120000000002E-3</v>
      </c>
      <c r="B300" s="23">
        <f t="shared" si="8"/>
        <v>0.2346473</v>
      </c>
      <c r="D300" s="22">
        <f t="shared" si="9"/>
        <v>90.223018867924523</v>
      </c>
      <c r="E300" s="21"/>
      <c r="G300" s="23">
        <v>-0.28690919999999998</v>
      </c>
      <c r="H300" s="23">
        <v>0.2346473</v>
      </c>
    </row>
    <row r="301" spans="1:8" x14ac:dyDescent="0.35">
      <c r="A301" s="23">
        <v>5.8398440000000003E-3</v>
      </c>
      <c r="B301" s="23">
        <f t="shared" si="8"/>
        <v>0.22876959999999999</v>
      </c>
      <c r="D301" s="22">
        <f t="shared" si="9"/>
        <v>87.04946540880502</v>
      </c>
      <c r="E301" s="21"/>
      <c r="G301" s="23">
        <v>-0.27681729999999999</v>
      </c>
      <c r="H301" s="23">
        <v>0.22876959999999999</v>
      </c>
    </row>
    <row r="302" spans="1:8" x14ac:dyDescent="0.35">
      <c r="A302" s="23">
        <v>5.859375E-3</v>
      </c>
      <c r="B302" s="23">
        <f t="shared" si="8"/>
        <v>0.2231369</v>
      </c>
      <c r="D302" s="22">
        <f t="shared" si="9"/>
        <v>84.017327044025151</v>
      </c>
      <c r="E302" s="21"/>
      <c r="G302" s="23">
        <v>-0.2671751</v>
      </c>
      <c r="H302" s="23">
        <v>0.2231369</v>
      </c>
    </row>
    <row r="303" spans="1:8" x14ac:dyDescent="0.35">
      <c r="A303" s="23">
        <v>5.8789059999999997E-3</v>
      </c>
      <c r="B303" s="23">
        <f t="shared" si="8"/>
        <v>0.2160628</v>
      </c>
      <c r="D303" s="22">
        <f t="shared" si="9"/>
        <v>80.328018867924527</v>
      </c>
      <c r="E303" s="21"/>
      <c r="G303" s="23">
        <v>-0.25544309999999998</v>
      </c>
      <c r="H303" s="23">
        <v>0.2160628</v>
      </c>
    </row>
    <row r="304" spans="1:8" x14ac:dyDescent="0.35">
      <c r="A304" s="23">
        <v>5.8984379999999998E-3</v>
      </c>
      <c r="B304" s="23">
        <f t="shared" si="8"/>
        <v>0.2079471</v>
      </c>
      <c r="D304" s="22">
        <f t="shared" si="9"/>
        <v>76.554842767295597</v>
      </c>
      <c r="E304" s="21"/>
      <c r="G304" s="23">
        <v>-0.24344440000000001</v>
      </c>
      <c r="H304" s="23">
        <v>0.2079471</v>
      </c>
    </row>
    <row r="305" spans="1:8" x14ac:dyDescent="0.35">
      <c r="A305" s="23">
        <v>5.9179690000000004E-3</v>
      </c>
      <c r="B305" s="23">
        <f t="shared" si="8"/>
        <v>0.19773940000000001</v>
      </c>
      <c r="D305" s="22">
        <f t="shared" si="9"/>
        <v>72.426981132075454</v>
      </c>
      <c r="E305" s="21"/>
      <c r="G305" s="23">
        <v>-0.23031779999999999</v>
      </c>
      <c r="H305" s="23">
        <v>0.19773940000000001</v>
      </c>
    </row>
    <row r="306" spans="1:8" x14ac:dyDescent="0.35">
      <c r="A306" s="23">
        <v>5.9375000000000001E-3</v>
      </c>
      <c r="B306" s="23">
        <f t="shared" si="8"/>
        <v>0.18661630000000001</v>
      </c>
      <c r="D306" s="22">
        <f t="shared" si="9"/>
        <v>67.328176100628923</v>
      </c>
      <c r="E306" s="21"/>
      <c r="G306" s="23">
        <v>-0.21410360000000001</v>
      </c>
      <c r="H306" s="23">
        <v>0.18661630000000001</v>
      </c>
    </row>
    <row r="307" spans="1:8" x14ac:dyDescent="0.35">
      <c r="A307" s="23">
        <v>5.9570309999999998E-3</v>
      </c>
      <c r="B307" s="23">
        <f t="shared" si="8"/>
        <v>0.1771221</v>
      </c>
      <c r="D307" s="22">
        <f t="shared" si="9"/>
        <v>62.468018867924528</v>
      </c>
      <c r="E307" s="21"/>
      <c r="G307" s="23">
        <v>-0.1986483</v>
      </c>
      <c r="H307" s="23">
        <v>0.1771221</v>
      </c>
    </row>
    <row r="308" spans="1:8" x14ac:dyDescent="0.35">
      <c r="A308" s="23">
        <v>5.9765629999999998E-3</v>
      </c>
      <c r="B308" s="23">
        <f t="shared" si="8"/>
        <v>0.16789290000000001</v>
      </c>
      <c r="D308" s="22">
        <f t="shared" si="9"/>
        <v>57.795251572327047</v>
      </c>
      <c r="E308" s="21"/>
      <c r="G308" s="23">
        <v>-0.18378890000000001</v>
      </c>
      <c r="H308" s="23">
        <v>0.16789290000000001</v>
      </c>
    </row>
    <row r="309" spans="1:8" x14ac:dyDescent="0.35">
      <c r="A309" s="23">
        <v>5.9960940000000004E-3</v>
      </c>
      <c r="B309" s="23">
        <f t="shared" si="8"/>
        <v>0.15783330000000001</v>
      </c>
      <c r="D309" s="22">
        <f t="shared" si="9"/>
        <v>52.792138364779866</v>
      </c>
      <c r="E309" s="21"/>
      <c r="G309" s="23">
        <v>-0.167879</v>
      </c>
      <c r="H309" s="23">
        <v>0.15783330000000001</v>
      </c>
    </row>
    <row r="310" spans="1:8" x14ac:dyDescent="0.35">
      <c r="A310" s="23">
        <v>6.0156250000000001E-3</v>
      </c>
      <c r="B310" s="23">
        <f t="shared" si="8"/>
        <v>0.1457156</v>
      </c>
      <c r="D310" s="22">
        <f t="shared" si="9"/>
        <v>47.732075471698117</v>
      </c>
      <c r="E310" s="21"/>
      <c r="G310" s="23">
        <v>-0.15178800000000001</v>
      </c>
      <c r="H310" s="23">
        <v>0.1457156</v>
      </c>
    </row>
    <row r="311" spans="1:8" x14ac:dyDescent="0.35">
      <c r="A311" s="23">
        <v>6.0351559999999999E-3</v>
      </c>
      <c r="B311" s="23">
        <f t="shared" si="8"/>
        <v>0.13265640000000001</v>
      </c>
      <c r="D311" s="22">
        <f t="shared" si="9"/>
        <v>41.926320754716976</v>
      </c>
      <c r="E311" s="21"/>
      <c r="G311" s="23">
        <v>-0.13332569999999999</v>
      </c>
      <c r="H311" s="23">
        <v>0.13265640000000001</v>
      </c>
    </row>
    <row r="312" spans="1:8" x14ac:dyDescent="0.35">
      <c r="A312" s="23">
        <v>6.0546879999999999E-3</v>
      </c>
      <c r="B312" s="23">
        <f t="shared" si="8"/>
        <v>0.1201909</v>
      </c>
      <c r="D312" s="22">
        <f t="shared" si="9"/>
        <v>35.621415094339618</v>
      </c>
      <c r="E312" s="21"/>
      <c r="G312" s="23">
        <v>-0.1132761</v>
      </c>
      <c r="H312" s="23">
        <v>0.1201909</v>
      </c>
    </row>
    <row r="313" spans="1:8" x14ac:dyDescent="0.35">
      <c r="A313" s="23">
        <v>6.0742189999999996E-3</v>
      </c>
      <c r="B313" s="23">
        <f t="shared" si="8"/>
        <v>0.10670689999999999</v>
      </c>
      <c r="D313" s="22">
        <f t="shared" si="9"/>
        <v>29.683540880503148</v>
      </c>
      <c r="E313" s="21"/>
      <c r="G313" s="23">
        <v>-9.4393660000000004E-2</v>
      </c>
      <c r="H313" s="23">
        <v>0.10670689999999999</v>
      </c>
    </row>
    <row r="314" spans="1:8" x14ac:dyDescent="0.35">
      <c r="A314" s="23">
        <v>6.0937500000000002E-3</v>
      </c>
      <c r="B314" s="23">
        <f t="shared" si="8"/>
        <v>9.3577149999999998E-2</v>
      </c>
      <c r="D314" s="22">
        <f t="shared" si="9"/>
        <v>23.859836477987418</v>
      </c>
      <c r="E314" s="21"/>
      <c r="G314" s="23">
        <v>-7.5874280000000002E-2</v>
      </c>
      <c r="H314" s="23">
        <v>9.3577149999999998E-2</v>
      </c>
    </row>
    <row r="315" spans="1:8" x14ac:dyDescent="0.35">
      <c r="A315" s="23">
        <v>6.1132809999999999E-3</v>
      </c>
      <c r="B315" s="23">
        <f t="shared" si="8"/>
        <v>8.176158E-2</v>
      </c>
      <c r="D315" s="22">
        <f t="shared" si="9"/>
        <v>18.309823899371068</v>
      </c>
      <c r="E315" s="21"/>
      <c r="G315" s="23">
        <v>-5.8225239999999998E-2</v>
      </c>
      <c r="H315" s="23">
        <v>8.176158E-2</v>
      </c>
    </row>
    <row r="316" spans="1:8" x14ac:dyDescent="0.35">
      <c r="A316" s="23">
        <v>6.132813E-3</v>
      </c>
      <c r="B316" s="23">
        <f t="shared" si="8"/>
        <v>6.9232520000000006E-2</v>
      </c>
      <c r="D316" s="22">
        <f t="shared" si="9"/>
        <v>12.39411006289308</v>
      </c>
      <c r="E316" s="21"/>
      <c r="G316" s="23">
        <v>-3.941327E-2</v>
      </c>
      <c r="H316" s="23">
        <v>6.9232520000000006E-2</v>
      </c>
    </row>
    <row r="317" spans="1:8" x14ac:dyDescent="0.35">
      <c r="A317" s="23">
        <v>6.1523439999999997E-3</v>
      </c>
      <c r="B317" s="23">
        <f t="shared" si="8"/>
        <v>5.5350089999999998E-2</v>
      </c>
      <c r="D317" s="22">
        <f t="shared" si="9"/>
        <v>5.6679433962264154</v>
      </c>
      <c r="E317" s="21"/>
      <c r="G317" s="23">
        <v>-1.8024060000000001E-2</v>
      </c>
      <c r="H317" s="23">
        <v>5.5350089999999998E-2</v>
      </c>
    </row>
    <row r="318" spans="1:8" x14ac:dyDescent="0.35">
      <c r="A318" s="23">
        <v>6.1718750000000003E-3</v>
      </c>
      <c r="B318" s="23">
        <f t="shared" si="8"/>
        <v>4.0688460000000003E-2</v>
      </c>
      <c r="D318" s="22">
        <f t="shared" si="9"/>
        <v>-0.58839905660377356</v>
      </c>
      <c r="E318" s="21"/>
      <c r="G318" s="23">
        <v>1.8711089999999999E-3</v>
      </c>
      <c r="H318" s="23">
        <v>4.0688460000000003E-2</v>
      </c>
    </row>
    <row r="319" spans="1:8" x14ac:dyDescent="0.35">
      <c r="A319" s="23">
        <v>6.191406E-3</v>
      </c>
      <c r="B319" s="23">
        <f t="shared" si="8"/>
        <v>2.5075190000000001E-2</v>
      </c>
      <c r="D319" s="22">
        <f t="shared" si="9"/>
        <v>-6.7929182389937095</v>
      </c>
      <c r="E319" s="21"/>
      <c r="G319" s="23">
        <v>2.1601479999999999E-2</v>
      </c>
      <c r="H319" s="23">
        <v>2.5075190000000001E-2</v>
      </c>
    </row>
    <row r="320" spans="1:8" x14ac:dyDescent="0.35">
      <c r="A320" s="23">
        <v>6.210938E-3</v>
      </c>
      <c r="B320" s="23">
        <f t="shared" si="8"/>
        <v>7.6959519999999998E-3</v>
      </c>
      <c r="D320" s="22">
        <f t="shared" si="9"/>
        <v>-13.392066037735848</v>
      </c>
      <c r="E320" s="21"/>
      <c r="G320" s="23">
        <v>4.2586770000000003E-2</v>
      </c>
      <c r="H320" s="23">
        <v>7.6959519999999998E-3</v>
      </c>
    </row>
    <row r="321" spans="1:8" x14ac:dyDescent="0.35">
      <c r="A321" s="23">
        <v>6.2304689999999998E-3</v>
      </c>
      <c r="B321" s="23">
        <f t="shared" si="8"/>
        <v>-9.3339500000000006E-3</v>
      </c>
      <c r="D321" s="22">
        <f t="shared" si="9"/>
        <v>-19.395069182389935</v>
      </c>
      <c r="E321" s="21"/>
      <c r="G321" s="23">
        <v>6.167632E-2</v>
      </c>
      <c r="H321" s="23">
        <v>-9.3339500000000006E-3</v>
      </c>
    </row>
    <row r="322" spans="1:8" x14ac:dyDescent="0.35">
      <c r="A322" s="23">
        <v>6.2500000000000003E-3</v>
      </c>
      <c r="B322" s="23">
        <f t="shared" si="8"/>
        <v>-2.6486840000000001E-2</v>
      </c>
      <c r="D322" s="22">
        <f t="shared" si="9"/>
        <v>-25.219534591194968</v>
      </c>
      <c r="E322" s="21"/>
      <c r="G322" s="23">
        <v>8.0198119999999998E-2</v>
      </c>
      <c r="H322" s="23">
        <v>-2.6486840000000001E-2</v>
      </c>
    </row>
    <row r="323" spans="1:8" x14ac:dyDescent="0.35">
      <c r="A323" s="23">
        <v>6.2695310000000001E-3</v>
      </c>
      <c r="B323" s="23">
        <f t="shared" ref="B323:B386" si="10">H323</f>
        <v>-4.5346770000000002E-2</v>
      </c>
      <c r="D323" s="22">
        <f t="shared" ref="D323:D386" si="11">G323*-1000/3.18</f>
        <v>-31.098999999999997</v>
      </c>
      <c r="E323" s="21"/>
      <c r="G323" s="23">
        <v>9.8894819999999994E-2</v>
      </c>
      <c r="H323" s="23">
        <v>-4.5346770000000002E-2</v>
      </c>
    </row>
    <row r="324" spans="1:8" x14ac:dyDescent="0.35">
      <c r="A324" s="23">
        <v>6.2890630000000001E-3</v>
      </c>
      <c r="B324" s="23">
        <f t="shared" si="10"/>
        <v>-6.4235109999999998E-2</v>
      </c>
      <c r="D324" s="22">
        <f t="shared" si="11"/>
        <v>-36.818710691823895</v>
      </c>
      <c r="E324" s="21"/>
      <c r="G324" s="23">
        <v>0.11708349999999999</v>
      </c>
      <c r="H324" s="23">
        <v>-6.4235109999999998E-2</v>
      </c>
    </row>
    <row r="325" spans="1:8" x14ac:dyDescent="0.35">
      <c r="A325" s="23">
        <v>6.3085939999999998E-3</v>
      </c>
      <c r="B325" s="23">
        <f t="shared" si="10"/>
        <v>-8.4300410000000006E-2</v>
      </c>
      <c r="D325" s="22">
        <f t="shared" si="11"/>
        <v>-42.80937106918239</v>
      </c>
      <c r="E325" s="21"/>
      <c r="G325" s="23">
        <v>0.1361338</v>
      </c>
      <c r="H325" s="23">
        <v>-8.4300410000000006E-2</v>
      </c>
    </row>
    <row r="326" spans="1:8" x14ac:dyDescent="0.35">
      <c r="A326" s="23">
        <v>6.3281250000000004E-3</v>
      </c>
      <c r="B326" s="23">
        <f t="shared" si="10"/>
        <v>-0.1042488</v>
      </c>
      <c r="D326" s="22">
        <f t="shared" si="11"/>
        <v>-48.482893081761006</v>
      </c>
      <c r="E326" s="21"/>
      <c r="G326" s="23">
        <v>0.1541756</v>
      </c>
      <c r="H326" s="23">
        <v>-0.1042488</v>
      </c>
    </row>
    <row r="327" spans="1:8" x14ac:dyDescent="0.35">
      <c r="A327" s="23">
        <v>6.3476560000000001E-3</v>
      </c>
      <c r="B327" s="23">
        <f t="shared" si="10"/>
        <v>-0.1227982</v>
      </c>
      <c r="D327" s="22">
        <f t="shared" si="11"/>
        <v>-53.823144654088047</v>
      </c>
      <c r="E327" s="21"/>
      <c r="G327" s="23">
        <v>0.17115759999999999</v>
      </c>
      <c r="H327" s="23">
        <v>-0.1227982</v>
      </c>
    </row>
    <row r="328" spans="1:8" x14ac:dyDescent="0.35">
      <c r="A328" s="23">
        <v>6.3671880000000002E-3</v>
      </c>
      <c r="B328" s="23">
        <f t="shared" si="10"/>
        <v>-0.14107890000000001</v>
      </c>
      <c r="D328" s="22">
        <f t="shared" si="11"/>
        <v>-59.081666666666671</v>
      </c>
      <c r="E328" s="21"/>
      <c r="G328" s="23">
        <v>0.18787970000000001</v>
      </c>
      <c r="H328" s="23">
        <v>-0.14107890000000001</v>
      </c>
    </row>
    <row r="329" spans="1:8" x14ac:dyDescent="0.35">
      <c r="A329" s="23">
        <v>6.3867189999999999E-3</v>
      </c>
      <c r="B329" s="23">
        <f t="shared" si="10"/>
        <v>-0.1574692</v>
      </c>
      <c r="D329" s="22">
        <f t="shared" si="11"/>
        <v>-63.701509433962258</v>
      </c>
      <c r="E329" s="21"/>
      <c r="G329" s="23">
        <v>0.2025708</v>
      </c>
      <c r="H329" s="23">
        <v>-0.1574692</v>
      </c>
    </row>
    <row r="330" spans="1:8" x14ac:dyDescent="0.35">
      <c r="A330" s="23">
        <v>6.4062499999999996E-3</v>
      </c>
      <c r="B330" s="23">
        <f t="shared" si="10"/>
        <v>-0.1731395</v>
      </c>
      <c r="D330" s="22">
        <f t="shared" si="11"/>
        <v>-68.589339622641504</v>
      </c>
      <c r="E330" s="21"/>
      <c r="G330" s="23">
        <v>0.21811410000000001</v>
      </c>
      <c r="H330" s="23">
        <v>-0.1731395</v>
      </c>
    </row>
    <row r="331" spans="1:8" x14ac:dyDescent="0.35">
      <c r="A331" s="23">
        <v>6.4257810000000002E-3</v>
      </c>
      <c r="B331" s="23">
        <f t="shared" si="10"/>
        <v>-0.18831319999999999</v>
      </c>
      <c r="D331" s="22">
        <f t="shared" si="11"/>
        <v>-73.590786163522012</v>
      </c>
      <c r="E331" s="21"/>
      <c r="G331" s="23">
        <v>0.2340187</v>
      </c>
      <c r="H331" s="23">
        <v>-0.18831319999999999</v>
      </c>
    </row>
    <row r="332" spans="1:8" x14ac:dyDescent="0.35">
      <c r="A332" s="23">
        <v>6.4453130000000003E-3</v>
      </c>
      <c r="B332" s="23">
        <f t="shared" si="10"/>
        <v>-0.20045789999999999</v>
      </c>
      <c r="D332" s="22">
        <f t="shared" si="11"/>
        <v>-77.709842767295598</v>
      </c>
      <c r="E332" s="21"/>
      <c r="G332" s="23">
        <v>0.24711730000000001</v>
      </c>
      <c r="H332" s="23">
        <v>-0.20045789999999999</v>
      </c>
    </row>
    <row r="333" spans="1:8" x14ac:dyDescent="0.35">
      <c r="A333" s="23">
        <v>6.464844E-3</v>
      </c>
      <c r="B333" s="23">
        <f t="shared" si="10"/>
        <v>-0.2111304</v>
      </c>
      <c r="D333" s="22">
        <f t="shared" si="11"/>
        <v>-81.589245283018869</v>
      </c>
      <c r="E333" s="21"/>
      <c r="G333" s="23">
        <v>0.25945380000000001</v>
      </c>
      <c r="H333" s="23">
        <v>-0.2111304</v>
      </c>
    </row>
    <row r="334" spans="1:8" x14ac:dyDescent="0.35">
      <c r="A334" s="23">
        <v>6.4843749999999997E-3</v>
      </c>
      <c r="B334" s="23">
        <f t="shared" si="10"/>
        <v>-0.22123039999999999</v>
      </c>
      <c r="D334" s="22">
        <f t="shared" si="11"/>
        <v>-85.153144654088038</v>
      </c>
      <c r="E334" s="21"/>
      <c r="G334" s="23">
        <v>0.270787</v>
      </c>
      <c r="H334" s="23">
        <v>-0.22123039999999999</v>
      </c>
    </row>
    <row r="335" spans="1:8" x14ac:dyDescent="0.35">
      <c r="A335" s="23">
        <v>6.5039060000000003E-3</v>
      </c>
      <c r="B335" s="23">
        <f t="shared" si="10"/>
        <v>-0.23021259999999999</v>
      </c>
      <c r="D335" s="22">
        <f t="shared" si="11"/>
        <v>-88.365408805031421</v>
      </c>
      <c r="E335" s="21"/>
      <c r="G335" s="23">
        <v>0.28100199999999997</v>
      </c>
      <c r="H335" s="23">
        <v>-0.23021259999999999</v>
      </c>
    </row>
    <row r="336" spans="1:8" x14ac:dyDescent="0.35">
      <c r="A336" s="23">
        <v>6.523437E-3</v>
      </c>
      <c r="B336" s="23">
        <f t="shared" si="10"/>
        <v>-0.2387871</v>
      </c>
      <c r="D336" s="22">
        <f t="shared" si="11"/>
        <v>-91.548270440251557</v>
      </c>
      <c r="E336" s="21"/>
      <c r="G336" s="23">
        <v>0.29112349999999998</v>
      </c>
      <c r="H336" s="23">
        <v>-0.2387871</v>
      </c>
    </row>
    <row r="337" spans="1:8" x14ac:dyDescent="0.35">
      <c r="A337" s="23">
        <v>6.542969E-3</v>
      </c>
      <c r="B337" s="23">
        <f t="shared" si="10"/>
        <v>-0.2465241</v>
      </c>
      <c r="D337" s="22">
        <f t="shared" si="11"/>
        <v>-94.253962264150942</v>
      </c>
      <c r="E337" s="21"/>
      <c r="G337" s="23">
        <v>0.29972759999999998</v>
      </c>
      <c r="H337" s="23">
        <v>-0.2465241</v>
      </c>
    </row>
    <row r="338" spans="1:8" x14ac:dyDescent="0.35">
      <c r="A338" s="23">
        <v>6.5624999999999998E-3</v>
      </c>
      <c r="B338" s="23">
        <f t="shared" si="10"/>
        <v>-0.2534747</v>
      </c>
      <c r="D338" s="22">
        <f t="shared" si="11"/>
        <v>-96.70981132075471</v>
      </c>
      <c r="E338" s="21"/>
      <c r="G338" s="23">
        <v>0.30753720000000001</v>
      </c>
      <c r="H338" s="23">
        <v>-0.2534747</v>
      </c>
    </row>
    <row r="339" spans="1:8" x14ac:dyDescent="0.35">
      <c r="A339" s="23">
        <v>6.5820310000000003E-3</v>
      </c>
      <c r="B339" s="23">
        <f t="shared" si="10"/>
        <v>-0.25989129999999999</v>
      </c>
      <c r="D339" s="22">
        <f t="shared" si="11"/>
        <v>-99.013522012578605</v>
      </c>
      <c r="E339" s="21"/>
      <c r="G339" s="23">
        <v>0.314863</v>
      </c>
      <c r="H339" s="23">
        <v>-0.25989129999999999</v>
      </c>
    </row>
    <row r="340" spans="1:8" x14ac:dyDescent="0.35">
      <c r="A340" s="23">
        <v>6.6015620000000001E-3</v>
      </c>
      <c r="B340" s="23">
        <f t="shared" si="10"/>
        <v>-0.26458789999999999</v>
      </c>
      <c r="D340" s="22">
        <f t="shared" si="11"/>
        <v>-100.54254716981131</v>
      </c>
      <c r="E340" s="21"/>
      <c r="G340" s="23">
        <v>0.31972529999999999</v>
      </c>
      <c r="H340" s="23">
        <v>-0.26458789999999999</v>
      </c>
    </row>
    <row r="341" spans="1:8" x14ac:dyDescent="0.35">
      <c r="A341" s="23">
        <v>6.6210940000000001E-3</v>
      </c>
      <c r="B341" s="23">
        <f t="shared" si="10"/>
        <v>-0.26792379999999999</v>
      </c>
      <c r="D341" s="22">
        <f t="shared" si="11"/>
        <v>-101.67735849056604</v>
      </c>
      <c r="E341" s="21"/>
      <c r="G341" s="23">
        <v>0.32333400000000001</v>
      </c>
      <c r="H341" s="23">
        <v>-0.26792379999999999</v>
      </c>
    </row>
    <row r="342" spans="1:8" x14ac:dyDescent="0.35">
      <c r="A342" s="23">
        <v>6.6406249999999998E-3</v>
      </c>
      <c r="B342" s="23">
        <f t="shared" si="10"/>
        <v>-0.2704241</v>
      </c>
      <c r="D342" s="22">
        <f t="shared" si="11"/>
        <v>-102.59116352201258</v>
      </c>
      <c r="E342" s="21"/>
      <c r="G342" s="23">
        <v>0.32623990000000003</v>
      </c>
      <c r="H342" s="23">
        <v>-0.2704241</v>
      </c>
    </row>
    <row r="343" spans="1:8" x14ac:dyDescent="0.35">
      <c r="A343" s="23">
        <v>6.6601560000000004E-3</v>
      </c>
      <c r="B343" s="23">
        <f t="shared" si="10"/>
        <v>-0.27138630000000002</v>
      </c>
      <c r="D343" s="22">
        <f t="shared" si="11"/>
        <v>-102.78408805031447</v>
      </c>
      <c r="E343" s="21"/>
      <c r="G343" s="23">
        <v>0.32685340000000002</v>
      </c>
      <c r="H343" s="23">
        <v>-0.27138630000000002</v>
      </c>
    </row>
    <row r="344" spans="1:8" x14ac:dyDescent="0.35">
      <c r="A344" s="23">
        <v>6.6796870000000001E-3</v>
      </c>
      <c r="B344" s="23">
        <f t="shared" si="10"/>
        <v>-0.27222160000000001</v>
      </c>
      <c r="D344" s="22">
        <f t="shared" si="11"/>
        <v>-102.9827358490566</v>
      </c>
      <c r="E344" s="21"/>
      <c r="G344" s="23">
        <v>0.32748509999999997</v>
      </c>
      <c r="H344" s="23">
        <v>-0.27222160000000001</v>
      </c>
    </row>
    <row r="345" spans="1:8" x14ac:dyDescent="0.35">
      <c r="A345" s="23">
        <v>6.6992190000000002E-3</v>
      </c>
      <c r="B345" s="23">
        <f t="shared" si="10"/>
        <v>-0.27277010000000002</v>
      </c>
      <c r="D345" s="22">
        <f t="shared" si="11"/>
        <v>-103.04292452830187</v>
      </c>
      <c r="E345" s="21"/>
      <c r="G345" s="23">
        <v>0.32767649999999998</v>
      </c>
      <c r="H345" s="23">
        <v>-0.27277010000000002</v>
      </c>
    </row>
    <row r="346" spans="1:8" x14ac:dyDescent="0.35">
      <c r="A346" s="23">
        <v>6.7187499999999999E-3</v>
      </c>
      <c r="B346" s="23">
        <f t="shared" si="10"/>
        <v>-0.2713526</v>
      </c>
      <c r="D346" s="22">
        <f t="shared" si="11"/>
        <v>-102.27462264150942</v>
      </c>
      <c r="E346" s="21"/>
      <c r="G346" s="23">
        <v>0.3252333</v>
      </c>
      <c r="H346" s="23">
        <v>-0.2713526</v>
      </c>
    </row>
    <row r="347" spans="1:8" x14ac:dyDescent="0.35">
      <c r="A347" s="23">
        <v>6.7382809999999996E-3</v>
      </c>
      <c r="B347" s="23">
        <f t="shared" si="10"/>
        <v>-0.26882220000000001</v>
      </c>
      <c r="D347" s="22">
        <f t="shared" si="11"/>
        <v>-101.22858490566037</v>
      </c>
      <c r="E347" s="21"/>
      <c r="G347" s="23">
        <v>0.3219069</v>
      </c>
      <c r="H347" s="23">
        <v>-0.26882220000000001</v>
      </c>
    </row>
    <row r="348" spans="1:8" x14ac:dyDescent="0.35">
      <c r="A348" s="23">
        <v>6.7578120000000002E-3</v>
      </c>
      <c r="B348" s="23">
        <f t="shared" si="10"/>
        <v>-0.26509319999999997</v>
      </c>
      <c r="D348" s="22">
        <f t="shared" si="11"/>
        <v>-99.602767295597474</v>
      </c>
      <c r="E348" s="21"/>
      <c r="G348" s="23">
        <v>0.31673679999999999</v>
      </c>
      <c r="H348" s="23">
        <v>-0.26509319999999997</v>
      </c>
    </row>
    <row r="349" spans="1:8" x14ac:dyDescent="0.35">
      <c r="A349" s="23">
        <v>6.7773440000000003E-3</v>
      </c>
      <c r="B349" s="23">
        <f t="shared" si="10"/>
        <v>-0.26038549999999999</v>
      </c>
      <c r="D349" s="22">
        <f t="shared" si="11"/>
        <v>-97.474779874213837</v>
      </c>
      <c r="E349" s="21"/>
      <c r="G349" s="23">
        <v>0.30996980000000002</v>
      </c>
      <c r="H349" s="23">
        <v>-0.26038549999999999</v>
      </c>
    </row>
    <row r="350" spans="1:8" x14ac:dyDescent="0.35">
      <c r="A350" s="23">
        <v>6.796875E-3</v>
      </c>
      <c r="B350" s="23">
        <f t="shared" si="10"/>
        <v>-0.25556499999999999</v>
      </c>
      <c r="D350" s="22">
        <f t="shared" si="11"/>
        <v>-95.343836477987409</v>
      </c>
      <c r="E350" s="21"/>
      <c r="G350" s="23">
        <v>0.3031934</v>
      </c>
      <c r="H350" s="23">
        <v>-0.25556499999999999</v>
      </c>
    </row>
    <row r="351" spans="1:8" x14ac:dyDescent="0.35">
      <c r="A351" s="23">
        <v>6.8164059999999997E-3</v>
      </c>
      <c r="B351" s="23">
        <f t="shared" si="10"/>
        <v>-0.25000600000000001</v>
      </c>
      <c r="D351" s="22">
        <f t="shared" si="11"/>
        <v>-92.816698113207551</v>
      </c>
      <c r="E351" s="21"/>
      <c r="G351" s="23">
        <v>0.29515710000000001</v>
      </c>
      <c r="H351" s="23">
        <v>-0.25000600000000001</v>
      </c>
    </row>
    <row r="352" spans="1:8" x14ac:dyDescent="0.35">
      <c r="A352" s="23">
        <v>6.8359379999999997E-3</v>
      </c>
      <c r="B352" s="23">
        <f t="shared" si="10"/>
        <v>-0.2435252</v>
      </c>
      <c r="D352" s="22">
        <f t="shared" si="11"/>
        <v>-90.003238993710681</v>
      </c>
      <c r="E352" s="21"/>
      <c r="G352" s="23">
        <v>0.28621029999999997</v>
      </c>
      <c r="H352" s="23">
        <v>-0.2435252</v>
      </c>
    </row>
    <row r="353" spans="1:8" x14ac:dyDescent="0.35">
      <c r="A353" s="23">
        <v>6.8554690000000003E-3</v>
      </c>
      <c r="B353" s="23">
        <f t="shared" si="10"/>
        <v>-0.23541200000000001</v>
      </c>
      <c r="D353" s="22">
        <f t="shared" si="11"/>
        <v>-86.638616352201254</v>
      </c>
      <c r="E353" s="21"/>
      <c r="G353" s="23">
        <v>0.2755108</v>
      </c>
      <c r="H353" s="23">
        <v>-0.23541200000000001</v>
      </c>
    </row>
    <row r="354" spans="1:8" x14ac:dyDescent="0.35">
      <c r="A354" s="23">
        <v>6.875E-3</v>
      </c>
      <c r="B354" s="23">
        <f t="shared" si="10"/>
        <v>-0.22594810000000001</v>
      </c>
      <c r="D354" s="22">
        <f t="shared" si="11"/>
        <v>-82.607169811320759</v>
      </c>
      <c r="E354" s="21"/>
      <c r="G354" s="23">
        <v>0.2626908</v>
      </c>
      <c r="H354" s="23">
        <v>-0.22594810000000001</v>
      </c>
    </row>
    <row r="355" spans="1:8" x14ac:dyDescent="0.35">
      <c r="A355" s="23">
        <v>6.8945309999999997E-3</v>
      </c>
      <c r="B355" s="23">
        <f t="shared" si="10"/>
        <v>-0.21634320000000001</v>
      </c>
      <c r="D355" s="22">
        <f t="shared" si="11"/>
        <v>-78.535723270440258</v>
      </c>
      <c r="E355" s="21"/>
      <c r="G355" s="23">
        <v>0.24974360000000001</v>
      </c>
      <c r="H355" s="23">
        <v>-0.21634320000000001</v>
      </c>
    </row>
    <row r="356" spans="1:8" x14ac:dyDescent="0.35">
      <c r="A356" s="23">
        <v>6.9140629999999998E-3</v>
      </c>
      <c r="B356" s="23">
        <f t="shared" si="10"/>
        <v>-0.20595250000000001</v>
      </c>
      <c r="D356" s="22">
        <f t="shared" si="11"/>
        <v>-74.194654088050314</v>
      </c>
      <c r="E356" s="21"/>
      <c r="G356" s="23">
        <v>0.23593900000000001</v>
      </c>
      <c r="H356" s="23">
        <v>-0.20595250000000001</v>
      </c>
    </row>
    <row r="357" spans="1:8" x14ac:dyDescent="0.35">
      <c r="A357" s="23">
        <v>6.9335940000000004E-3</v>
      </c>
      <c r="B357" s="23">
        <f t="shared" si="10"/>
        <v>-0.1949612</v>
      </c>
      <c r="D357" s="22">
        <f t="shared" si="11"/>
        <v>-69.67078616352201</v>
      </c>
      <c r="E357" s="21"/>
      <c r="G357" s="23">
        <v>0.2215531</v>
      </c>
      <c r="H357" s="23">
        <v>-0.1949612</v>
      </c>
    </row>
    <row r="358" spans="1:8" x14ac:dyDescent="0.35">
      <c r="A358" s="23">
        <v>6.9531250000000001E-3</v>
      </c>
      <c r="B358" s="23">
        <f t="shared" si="10"/>
        <v>-0.18335760000000001</v>
      </c>
      <c r="D358" s="22">
        <f t="shared" si="11"/>
        <v>-65.015251572327045</v>
      </c>
      <c r="E358" s="21"/>
      <c r="G358" s="23">
        <v>0.2067485</v>
      </c>
      <c r="H358" s="23">
        <v>-0.18335760000000001</v>
      </c>
    </row>
    <row r="359" spans="1:8" x14ac:dyDescent="0.35">
      <c r="A359" s="23">
        <v>6.9726559999999998E-3</v>
      </c>
      <c r="B359" s="23">
        <f t="shared" si="10"/>
        <v>-0.16990130000000001</v>
      </c>
      <c r="D359" s="22">
        <f t="shared" si="11"/>
        <v>-59.554937106918231</v>
      </c>
      <c r="E359" s="21"/>
      <c r="G359" s="23">
        <v>0.18938469999999999</v>
      </c>
      <c r="H359" s="23">
        <v>-0.16990130000000001</v>
      </c>
    </row>
    <row r="360" spans="1:8" x14ac:dyDescent="0.35">
      <c r="A360" s="23">
        <v>6.9921879999999999E-3</v>
      </c>
      <c r="B360" s="23">
        <f t="shared" si="10"/>
        <v>-0.15572929999999999</v>
      </c>
      <c r="D360" s="22">
        <f t="shared" si="11"/>
        <v>-53.847012578616358</v>
      </c>
      <c r="E360" s="21"/>
      <c r="G360" s="23">
        <v>0.17123350000000001</v>
      </c>
      <c r="H360" s="23">
        <v>-0.15572929999999999</v>
      </c>
    </row>
    <row r="361" spans="1:8" x14ac:dyDescent="0.35">
      <c r="A361" s="23">
        <v>7.0117189999999996E-3</v>
      </c>
      <c r="B361" s="23">
        <f t="shared" si="10"/>
        <v>-0.1413372</v>
      </c>
      <c r="D361" s="22">
        <f t="shared" si="11"/>
        <v>-48.111918238993702</v>
      </c>
      <c r="E361" s="21"/>
      <c r="G361" s="23">
        <v>0.15299589999999999</v>
      </c>
      <c r="H361" s="23">
        <v>-0.1413372</v>
      </c>
    </row>
    <row r="362" spans="1:8" x14ac:dyDescent="0.35">
      <c r="A362" s="23">
        <v>7.0312500000000002E-3</v>
      </c>
      <c r="B362" s="23">
        <f t="shared" si="10"/>
        <v>-0.12642210000000001</v>
      </c>
      <c r="D362" s="22">
        <f t="shared" si="11"/>
        <v>-41.963396226415092</v>
      </c>
      <c r="E362" s="21"/>
      <c r="G362" s="23">
        <v>0.1334436</v>
      </c>
      <c r="H362" s="23">
        <v>-0.12642210000000001</v>
      </c>
    </row>
    <row r="363" spans="1:8" x14ac:dyDescent="0.35">
      <c r="A363" s="23">
        <v>7.0507809999999999E-3</v>
      </c>
      <c r="B363" s="23">
        <f t="shared" si="10"/>
        <v>-0.1116408</v>
      </c>
      <c r="D363" s="22">
        <f t="shared" si="11"/>
        <v>-36.087798742138368</v>
      </c>
      <c r="E363" s="21"/>
      <c r="G363" s="23">
        <v>0.11475920000000001</v>
      </c>
      <c r="H363" s="23">
        <v>-0.1116408</v>
      </c>
    </row>
    <row r="364" spans="1:8" x14ac:dyDescent="0.35">
      <c r="A364" s="23">
        <v>7.0703129999999999E-3</v>
      </c>
      <c r="B364" s="23">
        <f t="shared" si="10"/>
        <v>-9.5987100000000006E-2</v>
      </c>
      <c r="D364" s="22">
        <f t="shared" si="11"/>
        <v>-30.050694968553454</v>
      </c>
      <c r="E364" s="21"/>
      <c r="G364" s="23">
        <v>9.5561209999999994E-2</v>
      </c>
      <c r="H364" s="23">
        <v>-9.5987100000000006E-2</v>
      </c>
    </row>
    <row r="365" spans="1:8" x14ac:dyDescent="0.35">
      <c r="A365" s="23">
        <v>7.0898439999999997E-3</v>
      </c>
      <c r="B365" s="23">
        <f t="shared" si="10"/>
        <v>-7.9728489999999999E-2</v>
      </c>
      <c r="D365" s="22">
        <f t="shared" si="11"/>
        <v>-23.473871069182387</v>
      </c>
      <c r="E365" s="21"/>
      <c r="G365" s="23">
        <v>7.4646909999999997E-2</v>
      </c>
      <c r="H365" s="23">
        <v>-7.9728489999999999E-2</v>
      </c>
    </row>
    <row r="366" spans="1:8" x14ac:dyDescent="0.35">
      <c r="A366" s="23">
        <v>7.1093750000000002E-3</v>
      </c>
      <c r="B366" s="23">
        <f t="shared" si="10"/>
        <v>-6.3800949999999995E-2</v>
      </c>
      <c r="D366" s="22">
        <f t="shared" si="11"/>
        <v>-17.131955974842764</v>
      </c>
      <c r="E366" s="21"/>
      <c r="G366" s="23">
        <v>5.4479619999999999E-2</v>
      </c>
      <c r="H366" s="23">
        <v>-6.3800949999999995E-2</v>
      </c>
    </row>
    <row r="367" spans="1:8" x14ac:dyDescent="0.35">
      <c r="A367" s="23">
        <v>7.128906E-3</v>
      </c>
      <c r="B367" s="23">
        <f t="shared" si="10"/>
        <v>-4.7213539999999998E-2</v>
      </c>
      <c r="D367" s="22">
        <f t="shared" si="11"/>
        <v>-10.514842767295596</v>
      </c>
      <c r="E367" s="21"/>
      <c r="G367" s="23">
        <v>3.34372E-2</v>
      </c>
      <c r="H367" s="23">
        <v>-4.7213539999999998E-2</v>
      </c>
    </row>
    <row r="368" spans="1:8" x14ac:dyDescent="0.35">
      <c r="A368" s="23">
        <v>7.148438E-3</v>
      </c>
      <c r="B368" s="23">
        <f t="shared" si="10"/>
        <v>-3.0569059999999999E-2</v>
      </c>
      <c r="D368" s="22">
        <f t="shared" si="11"/>
        <v>-3.8043176100628924</v>
      </c>
      <c r="E368" s="21"/>
      <c r="G368" s="23">
        <v>1.2097729999999999E-2</v>
      </c>
      <c r="H368" s="23">
        <v>-3.0569059999999999E-2</v>
      </c>
    </row>
    <row r="369" spans="1:8" x14ac:dyDescent="0.35">
      <c r="A369" s="23">
        <v>7.1679689999999997E-3</v>
      </c>
      <c r="B369" s="23">
        <f t="shared" si="10"/>
        <v>-1.4405680000000001E-2</v>
      </c>
      <c r="D369" s="22">
        <f t="shared" si="11"/>
        <v>2.3785996855345908</v>
      </c>
      <c r="E369" s="21"/>
      <c r="G369" s="23">
        <v>-7.5639469999999997E-3</v>
      </c>
      <c r="H369" s="23">
        <v>-1.4405680000000001E-2</v>
      </c>
    </row>
    <row r="370" spans="1:8" x14ac:dyDescent="0.35">
      <c r="A370" s="23">
        <v>7.1875000000000003E-3</v>
      </c>
      <c r="B370" s="23">
        <f t="shared" si="10"/>
        <v>2.192285E-3</v>
      </c>
      <c r="D370" s="22">
        <f t="shared" si="11"/>
        <v>8.9087452830188685</v>
      </c>
      <c r="E370" s="21"/>
      <c r="G370" s="23">
        <v>-2.832981E-2</v>
      </c>
      <c r="H370" s="23">
        <v>2.192285E-3</v>
      </c>
    </row>
    <row r="371" spans="1:8" x14ac:dyDescent="0.35">
      <c r="A371" s="23">
        <v>7.207031E-3</v>
      </c>
      <c r="B371" s="23">
        <f t="shared" si="10"/>
        <v>1.8657320000000002E-2</v>
      </c>
      <c r="D371" s="22">
        <f t="shared" si="11"/>
        <v>15.421298742138363</v>
      </c>
      <c r="E371" s="21"/>
      <c r="G371" s="23">
        <v>-4.9039729999999997E-2</v>
      </c>
      <c r="H371" s="23">
        <v>1.8657320000000002E-2</v>
      </c>
    </row>
    <row r="372" spans="1:8" x14ac:dyDescent="0.35">
      <c r="A372" s="23">
        <v>7.2265630000000001E-3</v>
      </c>
      <c r="B372" s="23">
        <f t="shared" si="10"/>
        <v>3.472869E-2</v>
      </c>
      <c r="D372" s="22">
        <f t="shared" si="11"/>
        <v>21.596566037735847</v>
      </c>
      <c r="E372" s="21"/>
      <c r="G372" s="23">
        <v>-6.8677080000000001E-2</v>
      </c>
      <c r="H372" s="23">
        <v>3.472869E-2</v>
      </c>
    </row>
    <row r="373" spans="1:8" x14ac:dyDescent="0.35">
      <c r="A373" s="23">
        <v>7.2460939999999998E-3</v>
      </c>
      <c r="B373" s="23">
        <f t="shared" si="10"/>
        <v>5.1198100000000003E-2</v>
      </c>
      <c r="D373" s="22">
        <f t="shared" si="11"/>
        <v>28.129974842767297</v>
      </c>
      <c r="E373" s="21"/>
      <c r="G373" s="23">
        <v>-8.9453320000000003E-2</v>
      </c>
      <c r="H373" s="23">
        <v>5.1198100000000003E-2</v>
      </c>
    </row>
    <row r="374" spans="1:8" x14ac:dyDescent="0.35">
      <c r="A374" s="23">
        <v>7.2656250000000004E-3</v>
      </c>
      <c r="B374" s="23">
        <f t="shared" si="10"/>
        <v>6.7475709999999994E-2</v>
      </c>
      <c r="D374" s="22">
        <f t="shared" si="11"/>
        <v>34.30987421383648</v>
      </c>
      <c r="E374" s="21"/>
      <c r="G374" s="23">
        <v>-0.10910540000000001</v>
      </c>
      <c r="H374" s="23">
        <v>6.7475709999999994E-2</v>
      </c>
    </row>
    <row r="375" spans="1:8" x14ac:dyDescent="0.35">
      <c r="A375" s="23">
        <v>7.2851560000000001E-3</v>
      </c>
      <c r="B375" s="23">
        <f t="shared" si="10"/>
        <v>8.269311E-2</v>
      </c>
      <c r="D375" s="22">
        <f t="shared" si="11"/>
        <v>40.081069182389939</v>
      </c>
      <c r="E375" s="21"/>
      <c r="G375" s="23">
        <v>-0.12745780000000001</v>
      </c>
      <c r="H375" s="23">
        <v>8.269311E-2</v>
      </c>
    </row>
    <row r="376" spans="1:8" x14ac:dyDescent="0.35">
      <c r="A376" s="23">
        <v>7.3046880000000002E-3</v>
      </c>
      <c r="B376" s="23">
        <f t="shared" si="10"/>
        <v>9.7880670000000003E-2</v>
      </c>
      <c r="D376" s="22">
        <f t="shared" si="11"/>
        <v>45.9522641509434</v>
      </c>
      <c r="E376" s="21"/>
      <c r="G376" s="23">
        <v>-0.14612820000000001</v>
      </c>
      <c r="H376" s="23">
        <v>9.7880670000000003E-2</v>
      </c>
    </row>
    <row r="377" spans="1:8" x14ac:dyDescent="0.35">
      <c r="A377" s="23">
        <v>7.3242189999999999E-3</v>
      </c>
      <c r="B377" s="23">
        <f t="shared" si="10"/>
        <v>0.1128778</v>
      </c>
      <c r="D377" s="22">
        <f t="shared" si="11"/>
        <v>51.465094339622638</v>
      </c>
      <c r="E377" s="21"/>
      <c r="G377" s="23">
        <v>-0.163659</v>
      </c>
      <c r="H377" s="23">
        <v>0.1128778</v>
      </c>
    </row>
    <row r="378" spans="1:8" x14ac:dyDescent="0.35">
      <c r="A378" s="23">
        <v>7.3437499999999996E-3</v>
      </c>
      <c r="B378" s="23">
        <f t="shared" si="10"/>
        <v>0.1273427</v>
      </c>
      <c r="D378" s="22">
        <f t="shared" si="11"/>
        <v>56.930062893081761</v>
      </c>
      <c r="E378" s="21"/>
      <c r="G378" s="23">
        <v>-0.18103759999999999</v>
      </c>
      <c r="H378" s="23">
        <v>0.1273427</v>
      </c>
    </row>
    <row r="379" spans="1:8" x14ac:dyDescent="0.35">
      <c r="A379" s="23">
        <v>7.3632810000000002E-3</v>
      </c>
      <c r="B379" s="23">
        <f t="shared" si="10"/>
        <v>0.14129430000000001</v>
      </c>
      <c r="D379" s="22">
        <f t="shared" si="11"/>
        <v>62.208176100628926</v>
      </c>
      <c r="E379" s="21"/>
      <c r="G379" s="23">
        <v>-0.197822</v>
      </c>
      <c r="H379" s="23">
        <v>0.14129430000000001</v>
      </c>
    </row>
    <row r="380" spans="1:8" x14ac:dyDescent="0.35">
      <c r="A380" s="23">
        <v>7.3828130000000002E-3</v>
      </c>
      <c r="B380" s="23">
        <f t="shared" si="10"/>
        <v>0.15381649999999999</v>
      </c>
      <c r="D380" s="22">
        <f t="shared" si="11"/>
        <v>66.899182389937096</v>
      </c>
      <c r="E380" s="21"/>
      <c r="G380" s="23">
        <v>-0.2127394</v>
      </c>
      <c r="H380" s="23">
        <v>0.15381649999999999</v>
      </c>
    </row>
    <row r="381" spans="1:8" x14ac:dyDescent="0.35">
      <c r="A381" s="23">
        <v>7.4023439999999999E-3</v>
      </c>
      <c r="B381" s="23">
        <f t="shared" si="10"/>
        <v>0.16642860000000001</v>
      </c>
      <c r="D381" s="22">
        <f t="shared" si="11"/>
        <v>71.745094339622639</v>
      </c>
      <c r="E381" s="21"/>
      <c r="G381" s="23">
        <v>-0.2281494</v>
      </c>
      <c r="H381" s="23">
        <v>0.16642860000000001</v>
      </c>
    </row>
    <row r="382" spans="1:8" x14ac:dyDescent="0.35">
      <c r="A382" s="23">
        <v>7.4218749999999997E-3</v>
      </c>
      <c r="B382" s="23">
        <f t="shared" si="10"/>
        <v>0.17825869999999999</v>
      </c>
      <c r="D382" s="22">
        <f t="shared" si="11"/>
        <v>76.197987421383644</v>
      </c>
      <c r="E382" s="21"/>
      <c r="G382" s="23">
        <v>-0.24230960000000001</v>
      </c>
      <c r="H382" s="23">
        <v>0.17825869999999999</v>
      </c>
    </row>
    <row r="383" spans="1:8" x14ac:dyDescent="0.35">
      <c r="A383" s="23">
        <v>7.4414060000000002E-3</v>
      </c>
      <c r="B383" s="23">
        <f t="shared" si="10"/>
        <v>0.1876738</v>
      </c>
      <c r="D383" s="22">
        <f t="shared" si="11"/>
        <v>79.77251572327043</v>
      </c>
      <c r="E383" s="21"/>
      <c r="G383" s="23">
        <v>-0.25367659999999997</v>
      </c>
      <c r="H383" s="23">
        <v>0.1876738</v>
      </c>
    </row>
    <row r="384" spans="1:8" x14ac:dyDescent="0.35">
      <c r="A384" s="23">
        <v>7.4609380000000003E-3</v>
      </c>
      <c r="B384" s="23">
        <f t="shared" si="10"/>
        <v>0.1974023</v>
      </c>
      <c r="D384" s="22">
        <f t="shared" si="11"/>
        <v>83.535188679245266</v>
      </c>
      <c r="E384" s="21"/>
      <c r="G384" s="23">
        <v>-0.26564189999999999</v>
      </c>
      <c r="H384" s="23">
        <v>0.1974023</v>
      </c>
    </row>
    <row r="385" spans="1:8" x14ac:dyDescent="0.35">
      <c r="A385" s="23">
        <v>7.480469E-3</v>
      </c>
      <c r="B385" s="23">
        <f t="shared" si="10"/>
        <v>0.20732059999999999</v>
      </c>
      <c r="D385" s="22">
        <f t="shared" si="11"/>
        <v>87.223930817610054</v>
      </c>
      <c r="E385" s="21"/>
      <c r="G385" s="23">
        <v>-0.27737210000000001</v>
      </c>
      <c r="H385" s="23">
        <v>0.20732059999999999</v>
      </c>
    </row>
    <row r="386" spans="1:8" x14ac:dyDescent="0.35">
      <c r="A386" s="23">
        <v>7.4999999999999997E-3</v>
      </c>
      <c r="B386" s="23">
        <f t="shared" si="10"/>
        <v>0.21547659999999999</v>
      </c>
      <c r="D386" s="22">
        <f t="shared" si="11"/>
        <v>90.173081761006287</v>
      </c>
      <c r="E386" s="21"/>
      <c r="G386" s="23">
        <v>-0.28675040000000002</v>
      </c>
      <c r="H386" s="23">
        <v>0.21547659999999999</v>
      </c>
    </row>
    <row r="387" spans="1:8" x14ac:dyDescent="0.35">
      <c r="A387" s="23">
        <v>7.5195310000000003E-3</v>
      </c>
      <c r="B387" s="23">
        <f t="shared" ref="B387:B450" si="12">H387</f>
        <v>0.22246299999999999</v>
      </c>
      <c r="D387" s="22">
        <f t="shared" ref="D387:D450" si="13">G387*-1000/3.18</f>
        <v>92.826761006289303</v>
      </c>
      <c r="E387" s="21"/>
      <c r="G387" s="23">
        <v>-0.29518909999999998</v>
      </c>
      <c r="H387" s="23">
        <v>0.22246299999999999</v>
      </c>
    </row>
    <row r="388" spans="1:8" x14ac:dyDescent="0.35">
      <c r="A388" s="23">
        <v>7.539062E-3</v>
      </c>
      <c r="B388" s="23">
        <f t="shared" si="12"/>
        <v>0.2288502</v>
      </c>
      <c r="D388" s="22">
        <f t="shared" si="13"/>
        <v>95.222610062893082</v>
      </c>
      <c r="E388" s="21"/>
      <c r="G388" s="23">
        <v>-0.30280790000000002</v>
      </c>
      <c r="H388" s="23">
        <v>0.2288502</v>
      </c>
    </row>
    <row r="389" spans="1:8" x14ac:dyDescent="0.35">
      <c r="A389" s="23">
        <v>7.5585940000000001E-3</v>
      </c>
      <c r="B389" s="23">
        <f t="shared" si="12"/>
        <v>0.234352</v>
      </c>
      <c r="D389" s="22">
        <f t="shared" si="13"/>
        <v>97.161289308176094</v>
      </c>
      <c r="E389" s="21"/>
      <c r="G389" s="23">
        <v>-0.30897289999999999</v>
      </c>
      <c r="H389" s="23">
        <v>0.234352</v>
      </c>
    </row>
    <row r="390" spans="1:8" x14ac:dyDescent="0.35">
      <c r="A390" s="23">
        <v>7.5781249999999998E-3</v>
      </c>
      <c r="B390" s="23">
        <f t="shared" si="12"/>
        <v>0.23856949999999999</v>
      </c>
      <c r="D390" s="22">
        <f t="shared" si="13"/>
        <v>98.668679245283002</v>
      </c>
      <c r="E390" s="21"/>
      <c r="G390" s="23">
        <v>-0.3137664</v>
      </c>
      <c r="H390" s="23">
        <v>0.23856949999999999</v>
      </c>
    </row>
    <row r="391" spans="1:8" x14ac:dyDescent="0.35">
      <c r="A391" s="23">
        <v>7.5976560000000004E-3</v>
      </c>
      <c r="B391" s="23">
        <f t="shared" si="12"/>
        <v>0.2425513</v>
      </c>
      <c r="D391" s="22">
        <f t="shared" si="13"/>
        <v>99.99949685534591</v>
      </c>
      <c r="E391" s="21"/>
      <c r="G391" s="23">
        <v>-0.31799840000000001</v>
      </c>
      <c r="H391" s="23">
        <v>0.2425513</v>
      </c>
    </row>
    <row r="392" spans="1:8" x14ac:dyDescent="0.35">
      <c r="A392" s="23">
        <v>7.6171870000000001E-3</v>
      </c>
      <c r="B392" s="23">
        <f t="shared" si="12"/>
        <v>0.24679180000000001</v>
      </c>
      <c r="D392" s="22">
        <f t="shared" si="13"/>
        <v>101.29591194968552</v>
      </c>
      <c r="E392" s="21"/>
      <c r="G392" s="23">
        <v>-0.32212099999999999</v>
      </c>
      <c r="H392" s="23">
        <v>0.24679180000000001</v>
      </c>
    </row>
    <row r="393" spans="1:8" x14ac:dyDescent="0.35">
      <c r="A393" s="23">
        <v>7.6367190000000001E-3</v>
      </c>
      <c r="B393" s="23">
        <f t="shared" si="12"/>
        <v>0.2492086</v>
      </c>
      <c r="D393" s="22">
        <f t="shared" si="13"/>
        <v>101.88600628930817</v>
      </c>
      <c r="E393" s="21"/>
      <c r="G393" s="23">
        <v>-0.32399749999999999</v>
      </c>
      <c r="H393" s="23">
        <v>0.2492086</v>
      </c>
    </row>
    <row r="394" spans="1:8" x14ac:dyDescent="0.35">
      <c r="A394" s="23">
        <v>7.6562499999999999E-3</v>
      </c>
      <c r="B394" s="23">
        <f t="shared" si="12"/>
        <v>0.24991969999999999</v>
      </c>
      <c r="D394" s="22">
        <f t="shared" si="13"/>
        <v>101.86333333333332</v>
      </c>
      <c r="E394" s="21"/>
      <c r="G394" s="23">
        <v>-0.32392539999999997</v>
      </c>
      <c r="H394" s="23">
        <v>0.24991969999999999</v>
      </c>
    </row>
    <row r="395" spans="1:8" x14ac:dyDescent="0.35">
      <c r="A395" s="23">
        <v>7.6757809999999996E-3</v>
      </c>
      <c r="B395" s="23">
        <f t="shared" si="12"/>
        <v>0.25087779999999998</v>
      </c>
      <c r="D395" s="22">
        <f t="shared" si="13"/>
        <v>101.85845911949684</v>
      </c>
      <c r="E395" s="21"/>
      <c r="G395" s="23">
        <v>-0.32390989999999997</v>
      </c>
      <c r="H395" s="23">
        <v>0.25087779999999998</v>
      </c>
    </row>
    <row r="396" spans="1:8" x14ac:dyDescent="0.35">
      <c r="A396" s="23">
        <v>7.6953120000000002E-3</v>
      </c>
      <c r="B396" s="23">
        <f t="shared" si="12"/>
        <v>0.25073879999999998</v>
      </c>
      <c r="D396" s="22">
        <f t="shared" si="13"/>
        <v>101.28506289308176</v>
      </c>
      <c r="E396" s="21"/>
      <c r="G396" s="23">
        <v>-0.3220865</v>
      </c>
      <c r="H396" s="23">
        <v>0.25073879999999998</v>
      </c>
    </row>
    <row r="397" spans="1:8" x14ac:dyDescent="0.35">
      <c r="A397" s="23">
        <v>7.7148440000000002E-3</v>
      </c>
      <c r="B397" s="23">
        <f t="shared" si="12"/>
        <v>0.2491497</v>
      </c>
      <c r="D397" s="22">
        <f t="shared" si="13"/>
        <v>100.21012578616352</v>
      </c>
      <c r="E397" s="21"/>
      <c r="G397" s="23">
        <v>-0.31866820000000001</v>
      </c>
      <c r="H397" s="23">
        <v>0.2491497</v>
      </c>
    </row>
    <row r="398" spans="1:8" x14ac:dyDescent="0.35">
      <c r="A398" s="23">
        <v>7.7343749999999999E-3</v>
      </c>
      <c r="B398" s="23">
        <f t="shared" si="12"/>
        <v>0.24833330000000001</v>
      </c>
      <c r="D398" s="22">
        <f t="shared" si="13"/>
        <v>99.256949685534593</v>
      </c>
      <c r="E398" s="21"/>
      <c r="G398" s="23">
        <v>-0.3156371</v>
      </c>
      <c r="H398" s="23">
        <v>0.24833330000000001</v>
      </c>
    </row>
    <row r="399" spans="1:8" x14ac:dyDescent="0.35">
      <c r="A399" s="23">
        <v>7.7539059999999996E-3</v>
      </c>
      <c r="B399" s="23">
        <f t="shared" si="12"/>
        <v>0.24723300000000001</v>
      </c>
      <c r="D399" s="22">
        <f t="shared" si="13"/>
        <v>97.981540880503132</v>
      </c>
      <c r="E399" s="21"/>
      <c r="G399" s="23">
        <v>-0.31158130000000001</v>
      </c>
      <c r="H399" s="23">
        <v>0.24723300000000001</v>
      </c>
    </row>
    <row r="400" spans="1:8" x14ac:dyDescent="0.35">
      <c r="A400" s="23">
        <v>7.7734370000000002E-3</v>
      </c>
      <c r="B400" s="23">
        <f t="shared" si="12"/>
        <v>0.24393490000000001</v>
      </c>
      <c r="D400" s="22">
        <f t="shared" si="13"/>
        <v>96.143333333333317</v>
      </c>
      <c r="E400" s="21"/>
      <c r="G400" s="23">
        <v>-0.3057358</v>
      </c>
      <c r="H400" s="23">
        <v>0.24393490000000001</v>
      </c>
    </row>
    <row r="401" spans="1:8" x14ac:dyDescent="0.35">
      <c r="A401" s="23">
        <v>7.7929690000000003E-3</v>
      </c>
      <c r="B401" s="23">
        <f t="shared" si="12"/>
        <v>0.2392946</v>
      </c>
      <c r="D401" s="22">
        <f t="shared" si="13"/>
        <v>93.647484276729543</v>
      </c>
      <c r="E401" s="21"/>
      <c r="G401" s="23">
        <v>-0.29779899999999998</v>
      </c>
      <c r="H401" s="23">
        <v>0.2392946</v>
      </c>
    </row>
    <row r="402" spans="1:8" x14ac:dyDescent="0.35">
      <c r="A402" s="23">
        <v>7.8125E-3</v>
      </c>
      <c r="B402" s="23">
        <f t="shared" si="12"/>
        <v>0.23414579999999999</v>
      </c>
      <c r="D402" s="22">
        <f t="shared" si="13"/>
        <v>90.737704402515718</v>
      </c>
      <c r="E402" s="21"/>
      <c r="G402" s="23">
        <v>-0.28854590000000002</v>
      </c>
      <c r="H402" s="23">
        <v>0.23414579999999999</v>
      </c>
    </row>
    <row r="403" spans="1:8" x14ac:dyDescent="0.35">
      <c r="A403" s="23">
        <v>7.8320309999999997E-3</v>
      </c>
      <c r="B403" s="23">
        <f t="shared" si="12"/>
        <v>0.22865869999999999</v>
      </c>
      <c r="D403" s="22">
        <f t="shared" si="13"/>
        <v>87.947358490566032</v>
      </c>
      <c r="E403" s="21"/>
      <c r="G403" s="23">
        <v>-0.27967259999999999</v>
      </c>
      <c r="H403" s="23">
        <v>0.22865869999999999</v>
      </c>
    </row>
    <row r="404" spans="1:8" x14ac:dyDescent="0.35">
      <c r="A404" s="23">
        <v>7.8515630000000006E-3</v>
      </c>
      <c r="B404" s="23">
        <f t="shared" si="12"/>
        <v>0.22295100000000001</v>
      </c>
      <c r="D404" s="22">
        <f t="shared" si="13"/>
        <v>84.878710691823883</v>
      </c>
      <c r="E404" s="21"/>
      <c r="G404" s="23">
        <v>-0.2699143</v>
      </c>
      <c r="H404" s="23">
        <v>0.22295100000000001</v>
      </c>
    </row>
    <row r="405" spans="1:8" x14ac:dyDescent="0.35">
      <c r="A405" s="23">
        <v>7.8710940000000004E-3</v>
      </c>
      <c r="B405" s="23">
        <f t="shared" si="12"/>
        <v>0.2171334</v>
      </c>
      <c r="D405" s="22">
        <f t="shared" si="13"/>
        <v>81.481823899371079</v>
      </c>
      <c r="E405" s="21"/>
      <c r="G405" s="23">
        <v>-0.25911220000000001</v>
      </c>
      <c r="H405" s="23">
        <v>0.2171334</v>
      </c>
    </row>
    <row r="406" spans="1:8" x14ac:dyDescent="0.35">
      <c r="A406" s="23">
        <v>7.8906250000000001E-3</v>
      </c>
      <c r="B406" s="23">
        <f t="shared" si="12"/>
        <v>0.2107752</v>
      </c>
      <c r="D406" s="22">
        <f t="shared" si="13"/>
        <v>77.893899371069182</v>
      </c>
      <c r="E406" s="21"/>
      <c r="G406" s="23">
        <v>-0.2477026</v>
      </c>
      <c r="H406" s="23">
        <v>0.2107752</v>
      </c>
    </row>
    <row r="407" spans="1:8" x14ac:dyDescent="0.35">
      <c r="A407" s="23">
        <v>7.9101559999999998E-3</v>
      </c>
      <c r="B407" s="23">
        <f t="shared" si="12"/>
        <v>0.20166319999999999</v>
      </c>
      <c r="D407" s="22">
        <f t="shared" si="13"/>
        <v>73.63493710691823</v>
      </c>
      <c r="E407" s="21"/>
      <c r="G407" s="23">
        <v>-0.23415910000000001</v>
      </c>
      <c r="H407" s="23">
        <v>0.20166319999999999</v>
      </c>
    </row>
    <row r="408" spans="1:8" x14ac:dyDescent="0.35">
      <c r="A408" s="23">
        <v>7.9296880000000007E-3</v>
      </c>
      <c r="B408" s="23">
        <f t="shared" si="12"/>
        <v>0.19065770000000001</v>
      </c>
      <c r="D408" s="22">
        <f t="shared" si="13"/>
        <v>68.819025157232701</v>
      </c>
      <c r="E408" s="21"/>
      <c r="G408" s="23">
        <v>-0.2188445</v>
      </c>
      <c r="H408" s="23">
        <v>0.19065770000000001</v>
      </c>
    </row>
    <row r="409" spans="1:8" x14ac:dyDescent="0.35">
      <c r="A409" s="23">
        <v>7.9492190000000004E-3</v>
      </c>
      <c r="B409" s="23">
        <f t="shared" si="12"/>
        <v>0.18018729999999999</v>
      </c>
      <c r="D409" s="22">
        <f t="shared" si="13"/>
        <v>64.0606289308176</v>
      </c>
      <c r="E409" s="21"/>
      <c r="G409" s="23">
        <v>-0.2037128</v>
      </c>
      <c r="H409" s="23">
        <v>0.18018729999999999</v>
      </c>
    </row>
    <row r="410" spans="1:8" x14ac:dyDescent="0.35">
      <c r="A410" s="23">
        <v>7.9687500000000001E-3</v>
      </c>
      <c r="B410" s="23">
        <f t="shared" si="12"/>
        <v>0.16957430000000001</v>
      </c>
      <c r="D410" s="22">
        <f t="shared" si="13"/>
        <v>59.435503144654085</v>
      </c>
      <c r="E410" s="21"/>
      <c r="G410" s="23">
        <v>-0.1890049</v>
      </c>
      <c r="H410" s="23">
        <v>0.16957430000000001</v>
      </c>
    </row>
    <row r="411" spans="1:8" x14ac:dyDescent="0.35">
      <c r="A411" s="23">
        <v>7.9882809999999999E-3</v>
      </c>
      <c r="B411" s="23">
        <f t="shared" si="12"/>
        <v>0.15856990000000001</v>
      </c>
      <c r="D411" s="22">
        <f t="shared" si="13"/>
        <v>54.55053459119496</v>
      </c>
      <c r="E411" s="21"/>
      <c r="G411" s="23">
        <v>-0.17347070000000001</v>
      </c>
      <c r="H411" s="23">
        <v>0.15856990000000001</v>
      </c>
    </row>
    <row r="412" spans="1:8" x14ac:dyDescent="0.35">
      <c r="A412" s="23">
        <v>8.0078119999999996E-3</v>
      </c>
      <c r="B412" s="23">
        <f t="shared" si="12"/>
        <v>0.1477531</v>
      </c>
      <c r="D412" s="22">
        <f t="shared" si="13"/>
        <v>49.356289308176102</v>
      </c>
      <c r="E412" s="21"/>
      <c r="G412" s="23">
        <v>-0.15695300000000001</v>
      </c>
      <c r="H412" s="23">
        <v>0.1477531</v>
      </c>
    </row>
    <row r="413" spans="1:8" x14ac:dyDescent="0.35">
      <c r="A413" s="23">
        <v>8.0273440000000005E-3</v>
      </c>
      <c r="B413" s="23">
        <f t="shared" si="12"/>
        <v>0.1361445</v>
      </c>
      <c r="D413" s="22">
        <f t="shared" si="13"/>
        <v>43.899528301886782</v>
      </c>
      <c r="E413" s="21"/>
      <c r="G413" s="23">
        <v>-0.13960049999999999</v>
      </c>
      <c r="H413" s="23">
        <v>0.1361445</v>
      </c>
    </row>
    <row r="414" spans="1:8" x14ac:dyDescent="0.35">
      <c r="A414" s="23">
        <v>8.0468750000000002E-3</v>
      </c>
      <c r="B414" s="23">
        <f t="shared" si="12"/>
        <v>0.1228426</v>
      </c>
      <c r="D414" s="22">
        <f t="shared" si="13"/>
        <v>37.864874213836472</v>
      </c>
      <c r="E414" s="21"/>
      <c r="G414" s="23">
        <v>-0.1204103</v>
      </c>
      <c r="H414" s="23">
        <v>0.1228426</v>
      </c>
    </row>
    <row r="415" spans="1:8" x14ac:dyDescent="0.35">
      <c r="A415" s="23">
        <v>8.0664059999999999E-3</v>
      </c>
      <c r="B415" s="23">
        <f t="shared" si="12"/>
        <v>0.1085748</v>
      </c>
      <c r="D415" s="22">
        <f t="shared" si="13"/>
        <v>31.665377358490566</v>
      </c>
      <c r="E415" s="21"/>
      <c r="G415" s="23">
        <v>-0.1006959</v>
      </c>
      <c r="H415" s="23">
        <v>0.1085748</v>
      </c>
    </row>
    <row r="416" spans="1:8" x14ac:dyDescent="0.35">
      <c r="A416" s="23">
        <v>8.0859369999999996E-3</v>
      </c>
      <c r="B416" s="23">
        <f t="shared" si="12"/>
        <v>9.5582219999999996E-2</v>
      </c>
      <c r="D416" s="22">
        <f t="shared" si="13"/>
        <v>26.057261006289306</v>
      </c>
      <c r="E416" s="21"/>
      <c r="G416" s="23">
        <v>-8.2862089999999999E-2</v>
      </c>
      <c r="H416" s="23">
        <v>9.5582219999999996E-2</v>
      </c>
    </row>
    <row r="417" spans="1:8" x14ac:dyDescent="0.35">
      <c r="A417" s="23">
        <v>8.1054690000000006E-3</v>
      </c>
      <c r="B417" s="23">
        <f t="shared" si="12"/>
        <v>8.4127220000000003E-2</v>
      </c>
      <c r="D417" s="22">
        <f t="shared" si="13"/>
        <v>20.472201257861631</v>
      </c>
      <c r="E417" s="21"/>
      <c r="G417" s="23">
        <v>-6.5101599999999996E-2</v>
      </c>
      <c r="H417" s="23">
        <v>8.4127220000000003E-2</v>
      </c>
    </row>
    <row r="418" spans="1:8" x14ac:dyDescent="0.35">
      <c r="A418" s="23">
        <v>8.1250000000000003E-3</v>
      </c>
      <c r="B418" s="23">
        <f t="shared" si="12"/>
        <v>7.1028049999999995E-2</v>
      </c>
      <c r="D418" s="22">
        <f t="shared" si="13"/>
        <v>14.309779874213836</v>
      </c>
      <c r="E418" s="21"/>
      <c r="G418" s="23">
        <v>-4.55051E-2</v>
      </c>
      <c r="H418" s="23">
        <v>7.1028049999999995E-2</v>
      </c>
    </row>
    <row r="419" spans="1:8" x14ac:dyDescent="0.35">
      <c r="A419" s="23">
        <v>8.144531E-3</v>
      </c>
      <c r="B419" s="23">
        <f t="shared" si="12"/>
        <v>5.741914E-2</v>
      </c>
      <c r="D419" s="22">
        <f t="shared" si="13"/>
        <v>8.0764182389937105</v>
      </c>
      <c r="E419" s="21"/>
      <c r="G419" s="23">
        <v>-2.5683009999999999E-2</v>
      </c>
      <c r="H419" s="23">
        <v>5.741914E-2</v>
      </c>
    </row>
    <row r="420" spans="1:8" x14ac:dyDescent="0.35">
      <c r="A420" s="23">
        <v>8.1640619999999997E-3</v>
      </c>
      <c r="B420" s="23">
        <f t="shared" si="12"/>
        <v>4.393793E-2</v>
      </c>
      <c r="D420" s="22">
        <f t="shared" si="13"/>
        <v>1.7996103773584906</v>
      </c>
      <c r="E420" s="21"/>
      <c r="G420" s="23">
        <v>-5.7227609999999998E-3</v>
      </c>
      <c r="H420" s="23">
        <v>4.393793E-2</v>
      </c>
    </row>
    <row r="421" spans="1:8" x14ac:dyDescent="0.35">
      <c r="A421" s="23">
        <v>8.1835940000000006E-3</v>
      </c>
      <c r="B421" s="23">
        <f t="shared" si="12"/>
        <v>2.840604E-2</v>
      </c>
      <c r="D421" s="22">
        <f t="shared" si="13"/>
        <v>-4.5898081761006289</v>
      </c>
      <c r="E421" s="21"/>
      <c r="G421" s="23">
        <v>1.459559E-2</v>
      </c>
      <c r="H421" s="23">
        <v>2.840604E-2</v>
      </c>
    </row>
    <row r="422" spans="1:8" x14ac:dyDescent="0.35">
      <c r="A422" s="23">
        <v>8.2031250000000003E-3</v>
      </c>
      <c r="B422" s="23">
        <f t="shared" si="12"/>
        <v>1.294561E-2</v>
      </c>
      <c r="D422" s="22">
        <f t="shared" si="13"/>
        <v>-10.790477987421381</v>
      </c>
      <c r="E422" s="21"/>
      <c r="G422" s="23">
        <v>3.4313719999999999E-2</v>
      </c>
      <c r="H422" s="23">
        <v>1.294561E-2</v>
      </c>
    </row>
    <row r="423" spans="1:8" x14ac:dyDescent="0.35">
      <c r="A423" s="23">
        <v>8.2226560000000001E-3</v>
      </c>
      <c r="B423" s="23">
        <f t="shared" si="12"/>
        <v>-3.6425960000000001E-3</v>
      </c>
      <c r="D423" s="22">
        <f t="shared" si="13"/>
        <v>-17.132968553459119</v>
      </c>
      <c r="E423" s="21"/>
      <c r="G423" s="23">
        <v>5.4482839999999998E-2</v>
      </c>
      <c r="H423" s="23">
        <v>-3.6425960000000001E-3</v>
      </c>
    </row>
    <row r="424" spans="1:8" x14ac:dyDescent="0.35">
      <c r="A424" s="23">
        <v>8.2421869999999998E-3</v>
      </c>
      <c r="B424" s="23">
        <f t="shared" si="12"/>
        <v>-2.1396910000000002E-2</v>
      </c>
      <c r="D424" s="22">
        <f t="shared" si="13"/>
        <v>-23.27291509433962</v>
      </c>
      <c r="E424" s="21"/>
      <c r="G424" s="23">
        <v>7.4007870000000003E-2</v>
      </c>
      <c r="H424" s="23">
        <v>-2.1396910000000002E-2</v>
      </c>
    </row>
    <row r="425" spans="1:8" x14ac:dyDescent="0.35">
      <c r="A425" s="23">
        <v>8.2617190000000007E-3</v>
      </c>
      <c r="B425" s="23">
        <f t="shared" si="12"/>
        <v>-3.7703309999999997E-2</v>
      </c>
      <c r="D425" s="22">
        <f t="shared" si="13"/>
        <v>-28.826779874213837</v>
      </c>
      <c r="E425" s="21"/>
      <c r="G425" s="23">
        <v>9.166916E-2</v>
      </c>
      <c r="H425" s="23">
        <v>-3.7703309999999997E-2</v>
      </c>
    </row>
    <row r="426" spans="1:8" x14ac:dyDescent="0.35">
      <c r="A426" s="23">
        <v>8.2812500000000004E-3</v>
      </c>
      <c r="B426" s="23">
        <f t="shared" si="12"/>
        <v>-5.6548010000000003E-2</v>
      </c>
      <c r="D426" s="22">
        <f t="shared" si="13"/>
        <v>-34.628427672955979</v>
      </c>
      <c r="E426" s="21"/>
      <c r="G426" s="23">
        <v>0.11011840000000001</v>
      </c>
      <c r="H426" s="23">
        <v>-5.6548010000000003E-2</v>
      </c>
    </row>
    <row r="427" spans="1:8" x14ac:dyDescent="0.35">
      <c r="A427" s="23">
        <v>8.3007810000000001E-3</v>
      </c>
      <c r="B427" s="23">
        <f t="shared" si="12"/>
        <v>-7.6456919999999998E-2</v>
      </c>
      <c r="D427" s="22">
        <f t="shared" si="13"/>
        <v>-40.568238993710693</v>
      </c>
      <c r="E427" s="21"/>
      <c r="G427" s="23">
        <v>0.12900700000000001</v>
      </c>
      <c r="H427" s="23">
        <v>-7.6456919999999998E-2</v>
      </c>
    </row>
    <row r="428" spans="1:8" x14ac:dyDescent="0.35">
      <c r="A428" s="23">
        <v>8.3203119999999998E-3</v>
      </c>
      <c r="B428" s="23">
        <f t="shared" si="12"/>
        <v>-9.5093479999999994E-2</v>
      </c>
      <c r="D428" s="22">
        <f t="shared" si="13"/>
        <v>-46.150534591194969</v>
      </c>
      <c r="E428" s="21"/>
      <c r="G428" s="23">
        <v>0.14675869999999999</v>
      </c>
      <c r="H428" s="23">
        <v>-9.5093479999999994E-2</v>
      </c>
    </row>
    <row r="429" spans="1:8" x14ac:dyDescent="0.35">
      <c r="A429" s="23">
        <v>8.3398440000000008E-3</v>
      </c>
      <c r="B429" s="23">
        <f t="shared" si="12"/>
        <v>-0.11509320000000001</v>
      </c>
      <c r="D429" s="22">
        <f t="shared" si="13"/>
        <v>-51.800911949685535</v>
      </c>
      <c r="E429" s="21"/>
      <c r="G429" s="23">
        <v>0.16472690000000001</v>
      </c>
      <c r="H429" s="23">
        <v>-0.11509320000000001</v>
      </c>
    </row>
    <row r="430" spans="1:8" x14ac:dyDescent="0.35">
      <c r="A430" s="23">
        <v>8.3593750000000005E-3</v>
      </c>
      <c r="B430" s="23">
        <f t="shared" si="12"/>
        <v>-0.13364380000000001</v>
      </c>
      <c r="D430" s="22">
        <f t="shared" si="13"/>
        <v>-57.205408805031439</v>
      </c>
      <c r="E430" s="21"/>
      <c r="G430" s="23">
        <v>0.1819132</v>
      </c>
      <c r="H430" s="23">
        <v>-0.13364380000000001</v>
      </c>
    </row>
    <row r="431" spans="1:8" x14ac:dyDescent="0.35">
      <c r="A431" s="23">
        <v>8.3789060000000002E-3</v>
      </c>
      <c r="B431" s="23">
        <f t="shared" si="12"/>
        <v>-0.1502925</v>
      </c>
      <c r="D431" s="22">
        <f t="shared" si="13"/>
        <v>-61.996572327044021</v>
      </c>
      <c r="E431" s="21"/>
      <c r="G431" s="23">
        <v>0.19714909999999999</v>
      </c>
      <c r="H431" s="23">
        <v>-0.1502925</v>
      </c>
    </row>
    <row r="432" spans="1:8" x14ac:dyDescent="0.35">
      <c r="A432" s="23">
        <v>8.3984369999999999E-3</v>
      </c>
      <c r="B432" s="23">
        <f t="shared" si="12"/>
        <v>-0.1663366</v>
      </c>
      <c r="D432" s="22">
        <f t="shared" si="13"/>
        <v>-66.825157232704399</v>
      </c>
      <c r="E432" s="21"/>
      <c r="G432" s="23">
        <v>0.212504</v>
      </c>
      <c r="H432" s="23">
        <v>-0.1663366</v>
      </c>
    </row>
    <row r="433" spans="1:8" x14ac:dyDescent="0.35">
      <c r="A433" s="23">
        <v>8.4179690000000008E-3</v>
      </c>
      <c r="B433" s="23">
        <f t="shared" si="12"/>
        <v>-0.18115010000000001</v>
      </c>
      <c r="D433" s="22">
        <f t="shared" si="13"/>
        <v>-71.555283018867911</v>
      </c>
      <c r="E433" s="21"/>
      <c r="G433" s="23">
        <v>0.22754579999999999</v>
      </c>
      <c r="H433" s="23">
        <v>-0.18115010000000001</v>
      </c>
    </row>
    <row r="434" spans="1:8" x14ac:dyDescent="0.35">
      <c r="A434" s="23">
        <v>8.4375000000000006E-3</v>
      </c>
      <c r="B434" s="23">
        <f t="shared" si="12"/>
        <v>-0.1952652</v>
      </c>
      <c r="D434" s="22">
        <f t="shared" si="13"/>
        <v>-75.99808176100629</v>
      </c>
      <c r="E434" s="21"/>
      <c r="G434" s="23">
        <v>0.2416739</v>
      </c>
      <c r="H434" s="23">
        <v>-0.1952652</v>
      </c>
    </row>
    <row r="435" spans="1:8" x14ac:dyDescent="0.35">
      <c r="A435" s="23">
        <v>8.4570310000000003E-3</v>
      </c>
      <c r="B435" s="23">
        <f t="shared" si="12"/>
        <v>-0.20687949999999999</v>
      </c>
      <c r="D435" s="22">
        <f t="shared" si="13"/>
        <v>-80.168679245283016</v>
      </c>
      <c r="E435" s="21"/>
      <c r="G435" s="23">
        <v>0.25493640000000001</v>
      </c>
      <c r="H435" s="23">
        <v>-0.20687949999999999</v>
      </c>
    </row>
    <row r="436" spans="1:8" x14ac:dyDescent="0.35">
      <c r="A436" s="23">
        <v>8.476562E-3</v>
      </c>
      <c r="B436" s="23">
        <f t="shared" si="12"/>
        <v>-0.2166257</v>
      </c>
      <c r="D436" s="22">
        <f t="shared" si="13"/>
        <v>-83.751761006289286</v>
      </c>
      <c r="E436" s="21"/>
      <c r="G436" s="23">
        <v>0.26633059999999997</v>
      </c>
      <c r="H436" s="23">
        <v>-0.2166257</v>
      </c>
    </row>
    <row r="437" spans="1:8" x14ac:dyDescent="0.35">
      <c r="A437" s="23">
        <v>8.4960939999999992E-3</v>
      </c>
      <c r="B437" s="23">
        <f t="shared" si="12"/>
        <v>-0.2269333</v>
      </c>
      <c r="D437" s="22">
        <f t="shared" si="13"/>
        <v>-87.345974842767291</v>
      </c>
      <c r="E437" s="21"/>
      <c r="G437" s="23">
        <v>0.27776020000000001</v>
      </c>
      <c r="H437" s="23">
        <v>-0.2269333</v>
      </c>
    </row>
    <row r="438" spans="1:8" x14ac:dyDescent="0.35">
      <c r="A438" s="23">
        <v>8.5156250000000006E-3</v>
      </c>
      <c r="B438" s="23">
        <f t="shared" si="12"/>
        <v>-0.2357928</v>
      </c>
      <c r="D438" s="22">
        <f t="shared" si="13"/>
        <v>-90.519999999999982</v>
      </c>
      <c r="E438" s="21"/>
      <c r="G438" s="23">
        <v>0.28785359999999999</v>
      </c>
      <c r="H438" s="23">
        <v>-0.2357928</v>
      </c>
    </row>
    <row r="439" spans="1:8" x14ac:dyDescent="0.35">
      <c r="A439" s="23">
        <v>8.5351560000000003E-3</v>
      </c>
      <c r="B439" s="23">
        <f t="shared" si="12"/>
        <v>-0.24270169999999999</v>
      </c>
      <c r="D439" s="22">
        <f t="shared" si="13"/>
        <v>-92.992484276729556</v>
      </c>
      <c r="E439" s="21"/>
      <c r="G439" s="23">
        <v>0.29571609999999998</v>
      </c>
      <c r="H439" s="23">
        <v>-0.24270169999999999</v>
      </c>
    </row>
    <row r="440" spans="1:8" x14ac:dyDescent="0.35">
      <c r="A440" s="23">
        <v>8.5546870000000001E-3</v>
      </c>
      <c r="B440" s="23">
        <f t="shared" si="12"/>
        <v>-0.2501293</v>
      </c>
      <c r="D440" s="22">
        <f t="shared" si="13"/>
        <v>-95.804025157232715</v>
      </c>
      <c r="E440" s="21"/>
      <c r="G440" s="23">
        <v>0.30465680000000001</v>
      </c>
      <c r="H440" s="23">
        <v>-0.2501293</v>
      </c>
    </row>
    <row r="441" spans="1:8" x14ac:dyDescent="0.35">
      <c r="A441" s="23">
        <v>8.5742189999999992E-3</v>
      </c>
      <c r="B441" s="23">
        <f t="shared" si="12"/>
        <v>-0.25733919999999999</v>
      </c>
      <c r="D441" s="22">
        <f t="shared" si="13"/>
        <v>-98.214779874213846</v>
      </c>
      <c r="E441" s="21"/>
      <c r="G441" s="23">
        <v>0.31232300000000002</v>
      </c>
      <c r="H441" s="23">
        <v>-0.25733919999999999</v>
      </c>
    </row>
    <row r="442" spans="1:8" x14ac:dyDescent="0.35">
      <c r="A442" s="23">
        <v>8.5937500000000007E-3</v>
      </c>
      <c r="B442" s="23">
        <f t="shared" si="12"/>
        <v>-0.26246770000000003</v>
      </c>
      <c r="D442" s="22">
        <f t="shared" si="13"/>
        <v>-99.959025157232688</v>
      </c>
      <c r="E442" s="21"/>
      <c r="G442" s="23">
        <v>0.31786969999999998</v>
      </c>
      <c r="H442" s="23">
        <v>-0.26246770000000003</v>
      </c>
    </row>
    <row r="443" spans="1:8" x14ac:dyDescent="0.35">
      <c r="A443" s="23">
        <v>8.6132810000000004E-3</v>
      </c>
      <c r="B443" s="23">
        <f t="shared" si="12"/>
        <v>-0.2663798</v>
      </c>
      <c r="D443" s="22">
        <f t="shared" si="13"/>
        <v>-101.49305031446539</v>
      </c>
      <c r="E443" s="21"/>
      <c r="G443" s="23">
        <v>0.32274789999999998</v>
      </c>
      <c r="H443" s="23">
        <v>-0.2663798</v>
      </c>
    </row>
    <row r="444" spans="1:8" x14ac:dyDescent="0.35">
      <c r="A444" s="23">
        <v>8.6328120000000001E-3</v>
      </c>
      <c r="B444" s="23">
        <f t="shared" si="12"/>
        <v>-0.26938119999999999</v>
      </c>
      <c r="D444" s="22">
        <f t="shared" si="13"/>
        <v>-102.22283018867924</v>
      </c>
      <c r="E444" s="21"/>
      <c r="G444" s="23">
        <v>0.32506859999999999</v>
      </c>
      <c r="H444" s="23">
        <v>-0.26938119999999999</v>
      </c>
    </row>
    <row r="445" spans="1:8" x14ac:dyDescent="0.35">
      <c r="A445" s="23">
        <v>8.6523439999999993E-3</v>
      </c>
      <c r="B445" s="23">
        <f t="shared" si="12"/>
        <v>-0.2710727</v>
      </c>
      <c r="D445" s="22">
        <f t="shared" si="13"/>
        <v>-102.63578616352201</v>
      </c>
      <c r="E445" s="21"/>
      <c r="G445" s="23">
        <v>0.3263818</v>
      </c>
      <c r="H445" s="23">
        <v>-0.2710727</v>
      </c>
    </row>
    <row r="446" spans="1:8" x14ac:dyDescent="0.35">
      <c r="A446" s="23">
        <v>8.6718750000000008E-3</v>
      </c>
      <c r="B446" s="23">
        <f t="shared" si="12"/>
        <v>-0.27195979999999997</v>
      </c>
      <c r="D446" s="22">
        <f t="shared" si="13"/>
        <v>-102.98827044025157</v>
      </c>
      <c r="E446" s="21"/>
      <c r="G446" s="23">
        <v>0.32750269999999998</v>
      </c>
      <c r="H446" s="23">
        <v>-0.27195979999999997</v>
      </c>
    </row>
    <row r="447" spans="1:8" x14ac:dyDescent="0.35">
      <c r="A447" s="23">
        <v>8.6914060000000005E-3</v>
      </c>
      <c r="B447" s="23">
        <f t="shared" si="12"/>
        <v>-0.27247290000000002</v>
      </c>
      <c r="D447" s="22">
        <f t="shared" si="13"/>
        <v>-102.93333333333334</v>
      </c>
      <c r="E447" s="21"/>
      <c r="G447" s="23">
        <v>0.32732800000000001</v>
      </c>
      <c r="H447" s="23">
        <v>-0.27247290000000002</v>
      </c>
    </row>
    <row r="448" spans="1:8" x14ac:dyDescent="0.35">
      <c r="A448" s="23">
        <v>8.7109370000000002E-3</v>
      </c>
      <c r="B448" s="23">
        <f t="shared" si="12"/>
        <v>-0.27261200000000002</v>
      </c>
      <c r="D448" s="22">
        <f t="shared" si="13"/>
        <v>-102.81295597484277</v>
      </c>
      <c r="E448" s="21"/>
      <c r="G448" s="23">
        <v>0.32694519999999999</v>
      </c>
      <c r="H448" s="23">
        <v>-0.27261200000000002</v>
      </c>
    </row>
    <row r="449" spans="1:8" x14ac:dyDescent="0.35">
      <c r="A449" s="23">
        <v>8.7304689999999994E-3</v>
      </c>
      <c r="B449" s="23">
        <f t="shared" si="12"/>
        <v>-0.27045710000000001</v>
      </c>
      <c r="D449" s="22">
        <f t="shared" si="13"/>
        <v>-101.9124213836478</v>
      </c>
      <c r="E449" s="21"/>
      <c r="G449" s="23">
        <v>0.32408150000000002</v>
      </c>
      <c r="H449" s="23">
        <v>-0.27045710000000001</v>
      </c>
    </row>
    <row r="450" spans="1:8" x14ac:dyDescent="0.35">
      <c r="A450" s="23">
        <v>8.7500000000000008E-3</v>
      </c>
      <c r="B450" s="23">
        <f t="shared" si="12"/>
        <v>-0.26589309999999999</v>
      </c>
      <c r="D450" s="22">
        <f t="shared" si="13"/>
        <v>-99.990817610062891</v>
      </c>
      <c r="E450" s="21"/>
      <c r="G450" s="23">
        <v>0.3179708</v>
      </c>
      <c r="H450" s="23">
        <v>-0.26589309999999999</v>
      </c>
    </row>
    <row r="451" spans="1:8" x14ac:dyDescent="0.35">
      <c r="A451" s="23">
        <v>8.7695310000000005E-3</v>
      </c>
      <c r="B451" s="23">
        <f t="shared" ref="B451:B513" si="14">H451</f>
        <v>-0.26203209999999999</v>
      </c>
      <c r="D451" s="22">
        <f t="shared" ref="D451:D513" si="15">G451*-1000/3.18</f>
        <v>-98.268993710691802</v>
      </c>
      <c r="E451" s="21"/>
      <c r="G451" s="23">
        <v>0.31249539999999998</v>
      </c>
      <c r="H451" s="23">
        <v>-0.26203209999999999</v>
      </c>
    </row>
    <row r="452" spans="1:8" x14ac:dyDescent="0.35">
      <c r="A452" s="23">
        <v>8.7890620000000003E-3</v>
      </c>
      <c r="B452" s="23">
        <f t="shared" si="14"/>
        <v>-0.2578396</v>
      </c>
      <c r="D452" s="22">
        <f t="shared" si="15"/>
        <v>-96.335440251572336</v>
      </c>
      <c r="E452" s="21"/>
      <c r="G452" s="23">
        <v>0.30634670000000003</v>
      </c>
      <c r="H452" s="23">
        <v>-0.2578396</v>
      </c>
    </row>
    <row r="453" spans="1:8" x14ac:dyDescent="0.35">
      <c r="A453" s="23">
        <v>8.8085939999999995E-3</v>
      </c>
      <c r="B453" s="23">
        <f t="shared" si="14"/>
        <v>-0.2519806</v>
      </c>
      <c r="D453" s="22">
        <f t="shared" si="15"/>
        <v>-93.804874213836484</v>
      </c>
      <c r="E453" s="21"/>
      <c r="G453" s="23">
        <v>0.2982995</v>
      </c>
      <c r="H453" s="23">
        <v>-0.2519806</v>
      </c>
    </row>
    <row r="454" spans="1:8" x14ac:dyDescent="0.35">
      <c r="A454" s="23">
        <v>8.8281249999999992E-3</v>
      </c>
      <c r="B454" s="23">
        <f t="shared" si="14"/>
        <v>-0.246223</v>
      </c>
      <c r="D454" s="22">
        <f t="shared" si="15"/>
        <v>-91.280723270440248</v>
      </c>
      <c r="E454" s="21"/>
      <c r="G454" s="23">
        <v>0.29027269999999999</v>
      </c>
      <c r="H454" s="23">
        <v>-0.246223</v>
      </c>
    </row>
    <row r="455" spans="1:8" x14ac:dyDescent="0.35">
      <c r="A455" s="23">
        <v>8.8476560000000006E-3</v>
      </c>
      <c r="B455" s="23">
        <f t="shared" si="14"/>
        <v>-0.23899000000000001</v>
      </c>
      <c r="D455" s="22">
        <f t="shared" si="15"/>
        <v>-88.047106918238995</v>
      </c>
      <c r="E455" s="21"/>
      <c r="G455" s="23">
        <v>0.27998980000000001</v>
      </c>
      <c r="H455" s="23">
        <v>-0.23899000000000001</v>
      </c>
    </row>
    <row r="456" spans="1:8" x14ac:dyDescent="0.35">
      <c r="A456" s="23">
        <v>8.8671879999999998E-3</v>
      </c>
      <c r="B456" s="23">
        <f t="shared" si="14"/>
        <v>-0.22979479999999999</v>
      </c>
      <c r="D456" s="22">
        <f t="shared" si="15"/>
        <v>-84.258396226415101</v>
      </c>
      <c r="E456" s="21"/>
      <c r="G456" s="23">
        <v>0.2679417</v>
      </c>
      <c r="H456" s="23">
        <v>-0.22979479999999999</v>
      </c>
    </row>
    <row r="457" spans="1:8" x14ac:dyDescent="0.35">
      <c r="A457" s="23">
        <v>8.8867189999999995E-3</v>
      </c>
      <c r="B457" s="23">
        <f t="shared" si="14"/>
        <v>-0.22009780000000001</v>
      </c>
      <c r="D457" s="22">
        <f t="shared" si="15"/>
        <v>-80.363207547169807</v>
      </c>
      <c r="E457" s="21"/>
      <c r="G457" s="23">
        <v>0.25555499999999998</v>
      </c>
      <c r="H457" s="23">
        <v>-0.22009780000000001</v>
      </c>
    </row>
    <row r="458" spans="1:8" x14ac:dyDescent="0.35">
      <c r="A458" s="23">
        <v>8.9062499999999992E-3</v>
      </c>
      <c r="B458" s="23">
        <f t="shared" si="14"/>
        <v>-0.2098275</v>
      </c>
      <c r="D458" s="22">
        <f t="shared" si="15"/>
        <v>-75.908836477987421</v>
      </c>
      <c r="E458" s="21"/>
      <c r="G458" s="23">
        <v>0.2413901</v>
      </c>
      <c r="H458" s="23">
        <v>-0.2098275</v>
      </c>
    </row>
    <row r="459" spans="1:8" x14ac:dyDescent="0.35">
      <c r="A459" s="23">
        <v>8.9257810000000007E-3</v>
      </c>
      <c r="B459" s="23">
        <f t="shared" si="14"/>
        <v>-0.19957800000000001</v>
      </c>
      <c r="D459" s="22">
        <f t="shared" si="15"/>
        <v>-71.59106918238993</v>
      </c>
      <c r="E459" s="21"/>
      <c r="G459" s="23">
        <v>0.22765959999999999</v>
      </c>
      <c r="H459" s="23">
        <v>-0.19957800000000001</v>
      </c>
    </row>
    <row r="460" spans="1:8" x14ac:dyDescent="0.35">
      <c r="A460" s="23">
        <v>8.9453129999999999E-3</v>
      </c>
      <c r="B460" s="23">
        <f t="shared" si="14"/>
        <v>-0.18809819999999999</v>
      </c>
      <c r="D460" s="22">
        <f t="shared" si="15"/>
        <v>-67.030566037735838</v>
      </c>
      <c r="E460" s="21"/>
      <c r="G460" s="23">
        <v>0.21315719999999999</v>
      </c>
      <c r="H460" s="23">
        <v>-0.18809819999999999</v>
      </c>
    </row>
    <row r="461" spans="1:8" x14ac:dyDescent="0.35">
      <c r="A461" s="23">
        <v>8.9648439999999996E-3</v>
      </c>
      <c r="B461" s="23">
        <f t="shared" si="14"/>
        <v>-0.1750198</v>
      </c>
      <c r="D461" s="22">
        <f t="shared" si="15"/>
        <v>-61.658301886792458</v>
      </c>
      <c r="E461" s="21"/>
      <c r="G461" s="23">
        <v>0.19607340000000001</v>
      </c>
      <c r="H461" s="23">
        <v>-0.1750198</v>
      </c>
    </row>
    <row r="462" spans="1:8" x14ac:dyDescent="0.35">
      <c r="A462" s="23">
        <v>8.9843749999999993E-3</v>
      </c>
      <c r="B462" s="23">
        <f t="shared" si="14"/>
        <v>-0.1616359</v>
      </c>
      <c r="D462" s="22">
        <f t="shared" si="15"/>
        <v>-56.310597484276727</v>
      </c>
      <c r="E462" s="21"/>
      <c r="G462" s="23">
        <v>0.1790677</v>
      </c>
      <c r="H462" s="23">
        <v>-0.1616359</v>
      </c>
    </row>
    <row r="463" spans="1:8" x14ac:dyDescent="0.35">
      <c r="A463" s="23">
        <v>9.0039060000000008E-3</v>
      </c>
      <c r="B463" s="23">
        <f t="shared" si="14"/>
        <v>-0.14723620000000001</v>
      </c>
      <c r="D463" s="22">
        <f t="shared" si="15"/>
        <v>-50.561163522012578</v>
      </c>
      <c r="E463" s="21"/>
      <c r="G463" s="23">
        <v>0.1607845</v>
      </c>
      <c r="H463" s="23">
        <v>-0.14723620000000001</v>
      </c>
    </row>
    <row r="464" spans="1:8" x14ac:dyDescent="0.35">
      <c r="A464" s="23">
        <v>9.0234379999999999E-3</v>
      </c>
      <c r="B464" s="23">
        <f t="shared" si="14"/>
        <v>-0.13233149999999999</v>
      </c>
      <c r="D464" s="22">
        <f t="shared" si="15"/>
        <v>-44.424528301886795</v>
      </c>
      <c r="E464" s="21"/>
      <c r="G464" s="23">
        <v>0.14127000000000001</v>
      </c>
      <c r="H464" s="23">
        <v>-0.13233149999999999</v>
      </c>
    </row>
    <row r="465" spans="1:8" x14ac:dyDescent="0.35">
      <c r="A465" s="23">
        <v>9.0429689999999997E-3</v>
      </c>
      <c r="B465" s="23">
        <f t="shared" si="14"/>
        <v>-0.1176847</v>
      </c>
      <c r="D465" s="22">
        <f t="shared" si="15"/>
        <v>-38.633238993710684</v>
      </c>
      <c r="E465" s="21"/>
      <c r="G465" s="23">
        <v>0.1228537</v>
      </c>
      <c r="H465" s="23">
        <v>-0.1176847</v>
      </c>
    </row>
    <row r="466" spans="1:8" x14ac:dyDescent="0.35">
      <c r="A466" s="23">
        <v>9.0624999999999994E-3</v>
      </c>
      <c r="B466" s="23">
        <f t="shared" si="14"/>
        <v>-0.1024702</v>
      </c>
      <c r="D466" s="22">
        <f t="shared" si="15"/>
        <v>-32.538584905660379</v>
      </c>
      <c r="E466" s="21"/>
      <c r="G466" s="23">
        <v>0.1034727</v>
      </c>
      <c r="H466" s="23">
        <v>-0.1024702</v>
      </c>
    </row>
    <row r="467" spans="1:8" x14ac:dyDescent="0.35">
      <c r="A467" s="23">
        <v>9.0820310000000008E-3</v>
      </c>
      <c r="B467" s="23">
        <f t="shared" si="14"/>
        <v>-8.671914E-2</v>
      </c>
      <c r="D467" s="22">
        <f t="shared" si="15"/>
        <v>-26.116880503144653</v>
      </c>
      <c r="E467" s="21"/>
      <c r="G467" s="23">
        <v>8.3051680000000003E-2</v>
      </c>
      <c r="H467" s="23">
        <v>-8.671914E-2</v>
      </c>
    </row>
    <row r="468" spans="1:8" x14ac:dyDescent="0.35">
      <c r="A468" s="23">
        <v>9.101563E-3</v>
      </c>
      <c r="B468" s="23">
        <f t="shared" si="14"/>
        <v>-7.0577929999999997E-2</v>
      </c>
      <c r="D468" s="22">
        <f t="shared" si="15"/>
        <v>-19.733267295597482</v>
      </c>
      <c r="E468" s="21"/>
      <c r="G468" s="23">
        <v>6.2751790000000002E-2</v>
      </c>
      <c r="H468" s="23">
        <v>-7.0577929999999997E-2</v>
      </c>
    </row>
    <row r="469" spans="1:8" x14ac:dyDescent="0.35">
      <c r="A469" s="23">
        <v>9.1210939999999997E-3</v>
      </c>
      <c r="B469" s="23">
        <f t="shared" si="14"/>
        <v>-5.3684219999999998E-2</v>
      </c>
      <c r="D469" s="22">
        <f t="shared" si="15"/>
        <v>-13.147779874213835</v>
      </c>
      <c r="E469" s="21"/>
      <c r="G469" s="23">
        <v>4.1809939999999997E-2</v>
      </c>
      <c r="H469" s="23">
        <v>-5.3684219999999998E-2</v>
      </c>
    </row>
    <row r="470" spans="1:8" x14ac:dyDescent="0.35">
      <c r="A470" s="23">
        <v>9.1406249999999994E-3</v>
      </c>
      <c r="B470" s="23">
        <f t="shared" si="14"/>
        <v>-3.7081169999999997E-2</v>
      </c>
      <c r="D470" s="22">
        <f t="shared" si="15"/>
        <v>-6.6641132075471701</v>
      </c>
      <c r="E470" s="21"/>
      <c r="G470" s="23">
        <v>2.119188E-2</v>
      </c>
      <c r="H470" s="23">
        <v>-3.7081169999999997E-2</v>
      </c>
    </row>
    <row r="471" spans="1:8" x14ac:dyDescent="0.35">
      <c r="A471" s="23">
        <v>9.1601559999999992E-3</v>
      </c>
      <c r="B471" s="23">
        <f t="shared" si="14"/>
        <v>-2.109393E-2</v>
      </c>
      <c r="D471" s="22">
        <f t="shared" si="15"/>
        <v>-0.22267893081761006</v>
      </c>
      <c r="E471" s="21"/>
      <c r="G471" s="23">
        <v>7.08119E-4</v>
      </c>
      <c r="H471" s="23">
        <v>-2.109393E-2</v>
      </c>
    </row>
    <row r="472" spans="1:8" x14ac:dyDescent="0.35">
      <c r="A472" s="23">
        <v>9.1796880000000001E-3</v>
      </c>
      <c r="B472" s="23">
        <f t="shared" si="14"/>
        <v>-4.4789529999999999E-3</v>
      </c>
      <c r="D472" s="22">
        <f t="shared" si="15"/>
        <v>6.3518616352201249</v>
      </c>
      <c r="E472" s="21"/>
      <c r="G472" s="23">
        <v>-2.0198919999999999E-2</v>
      </c>
      <c r="H472" s="23">
        <v>-4.4789529999999999E-3</v>
      </c>
    </row>
    <row r="473" spans="1:8" x14ac:dyDescent="0.35">
      <c r="A473" s="23">
        <v>9.1992189999999998E-3</v>
      </c>
      <c r="B473" s="23">
        <f t="shared" si="14"/>
        <v>1.214353E-2</v>
      </c>
      <c r="D473" s="22">
        <f t="shared" si="15"/>
        <v>12.743915094339624</v>
      </c>
      <c r="E473" s="21"/>
      <c r="G473" s="23">
        <v>-4.0525650000000003E-2</v>
      </c>
      <c r="H473" s="23">
        <v>1.214353E-2</v>
      </c>
    </row>
    <row r="474" spans="1:8" x14ac:dyDescent="0.35">
      <c r="A474" s="23">
        <v>9.2187499999999995E-3</v>
      </c>
      <c r="B474" s="23">
        <f t="shared" si="14"/>
        <v>2.8476319999999999E-2</v>
      </c>
      <c r="D474" s="22">
        <f t="shared" si="15"/>
        <v>19.104650943396226</v>
      </c>
      <c r="E474" s="21"/>
      <c r="G474" s="23">
        <v>-6.0752790000000001E-2</v>
      </c>
      <c r="H474" s="23">
        <v>2.8476319999999999E-2</v>
      </c>
    </row>
    <row r="475" spans="1:8" x14ac:dyDescent="0.35">
      <c r="A475" s="23">
        <v>9.2382809999999992E-3</v>
      </c>
      <c r="B475" s="23">
        <f t="shared" si="14"/>
        <v>4.4810030000000001E-2</v>
      </c>
      <c r="D475" s="22">
        <f t="shared" si="15"/>
        <v>25.492119496855349</v>
      </c>
      <c r="E475" s="21"/>
      <c r="G475" s="23">
        <v>-8.1064940000000002E-2</v>
      </c>
      <c r="H475" s="23">
        <v>4.4810030000000001E-2</v>
      </c>
    </row>
    <row r="476" spans="1:8" x14ac:dyDescent="0.35">
      <c r="A476" s="23">
        <v>9.2578130000000002E-3</v>
      </c>
      <c r="B476" s="23">
        <f t="shared" si="14"/>
        <v>6.0864939999999999E-2</v>
      </c>
      <c r="D476" s="22">
        <f t="shared" si="15"/>
        <v>31.687830188679246</v>
      </c>
      <c r="E476" s="21"/>
      <c r="G476" s="23">
        <v>-0.1007673</v>
      </c>
      <c r="H476" s="23">
        <v>6.0864939999999999E-2</v>
      </c>
    </row>
    <row r="477" spans="1:8" x14ac:dyDescent="0.35">
      <c r="A477" s="23">
        <v>9.2773439999999999E-3</v>
      </c>
      <c r="B477" s="23">
        <f t="shared" si="14"/>
        <v>7.670863E-2</v>
      </c>
      <c r="D477" s="22">
        <f t="shared" si="15"/>
        <v>37.694811320754717</v>
      </c>
      <c r="E477" s="21"/>
      <c r="G477" s="23">
        <v>-0.1198695</v>
      </c>
      <c r="H477" s="23">
        <v>7.670863E-2</v>
      </c>
    </row>
    <row r="478" spans="1:8" x14ac:dyDescent="0.35">
      <c r="A478" s="23">
        <v>9.2968749999999996E-3</v>
      </c>
      <c r="B478" s="23">
        <f t="shared" si="14"/>
        <v>9.2018749999999996E-2</v>
      </c>
      <c r="D478" s="22">
        <f t="shared" si="15"/>
        <v>43.605943396226415</v>
      </c>
      <c r="E478" s="21"/>
      <c r="G478" s="23">
        <v>-0.13866690000000001</v>
      </c>
      <c r="H478" s="23">
        <v>9.2018749999999996E-2</v>
      </c>
    </row>
    <row r="479" spans="1:8" x14ac:dyDescent="0.35">
      <c r="A479" s="23">
        <v>9.3164059999999993E-3</v>
      </c>
      <c r="B479" s="23">
        <f t="shared" si="14"/>
        <v>0.1070511</v>
      </c>
      <c r="D479" s="22">
        <f t="shared" si="15"/>
        <v>49.379685534591189</v>
      </c>
      <c r="E479" s="21"/>
      <c r="G479" s="23">
        <v>-0.15702740000000001</v>
      </c>
      <c r="H479" s="23">
        <v>0.1070511</v>
      </c>
    </row>
    <row r="480" spans="1:8" x14ac:dyDescent="0.35">
      <c r="A480" s="23">
        <v>9.3359380000000002E-3</v>
      </c>
      <c r="B480" s="23">
        <f t="shared" si="14"/>
        <v>0.12142940000000001</v>
      </c>
      <c r="D480" s="22">
        <f t="shared" si="15"/>
        <v>54.793993710691822</v>
      </c>
      <c r="E480" s="21"/>
      <c r="G480" s="23">
        <v>-0.17424490000000001</v>
      </c>
      <c r="H480" s="23">
        <v>0.12142940000000001</v>
      </c>
    </row>
    <row r="481" spans="1:8" x14ac:dyDescent="0.35">
      <c r="A481" s="23">
        <v>9.3554689999999999E-3</v>
      </c>
      <c r="B481" s="23">
        <f t="shared" si="14"/>
        <v>0.1347546</v>
      </c>
      <c r="D481" s="22">
        <f t="shared" si="15"/>
        <v>59.874905660377351</v>
      </c>
      <c r="E481" s="21"/>
      <c r="G481" s="23">
        <v>-0.19040219999999999</v>
      </c>
      <c r="H481" s="23">
        <v>0.1347546</v>
      </c>
    </row>
    <row r="482" spans="1:8" x14ac:dyDescent="0.35">
      <c r="A482" s="23">
        <v>9.3749999999999997E-3</v>
      </c>
      <c r="B482" s="23">
        <f t="shared" si="14"/>
        <v>0.14806849999999999</v>
      </c>
      <c r="D482" s="22">
        <f t="shared" si="15"/>
        <v>64.908207547169809</v>
      </c>
      <c r="E482" s="21"/>
      <c r="G482" s="23">
        <v>-0.20640810000000001</v>
      </c>
      <c r="H482" s="23">
        <v>0.14806849999999999</v>
      </c>
    </row>
    <row r="483" spans="1:8" x14ac:dyDescent="0.35">
      <c r="A483" s="23">
        <v>9.3945309999999994E-3</v>
      </c>
      <c r="B483" s="23">
        <f t="shared" si="14"/>
        <v>0.1612198</v>
      </c>
      <c r="D483" s="22">
        <f t="shared" si="15"/>
        <v>69.846132075471701</v>
      </c>
      <c r="E483" s="21"/>
      <c r="G483" s="23">
        <v>-0.22211069999999999</v>
      </c>
      <c r="H483" s="23">
        <v>0.1612198</v>
      </c>
    </row>
    <row r="484" spans="1:8" x14ac:dyDescent="0.35">
      <c r="A484" s="23">
        <v>9.4140630000000003E-3</v>
      </c>
      <c r="B484" s="23">
        <f t="shared" si="14"/>
        <v>0.1730817</v>
      </c>
      <c r="D484" s="22">
        <f t="shared" si="15"/>
        <v>74.306698113207545</v>
      </c>
      <c r="E484" s="21"/>
      <c r="G484" s="23">
        <v>-0.23629530000000001</v>
      </c>
      <c r="H484" s="23">
        <v>0.1730817</v>
      </c>
    </row>
    <row r="485" spans="1:8" x14ac:dyDescent="0.35">
      <c r="A485" s="23">
        <v>9.433594E-3</v>
      </c>
      <c r="B485" s="23">
        <f t="shared" si="14"/>
        <v>0.18394949999999999</v>
      </c>
      <c r="D485" s="22">
        <f t="shared" si="15"/>
        <v>78.451383647798735</v>
      </c>
      <c r="E485" s="21"/>
      <c r="G485" s="23">
        <v>-0.24947540000000001</v>
      </c>
      <c r="H485" s="23">
        <v>0.18394949999999999</v>
      </c>
    </row>
    <row r="486" spans="1:8" x14ac:dyDescent="0.35">
      <c r="A486" s="23">
        <v>9.4531249999999997E-3</v>
      </c>
      <c r="B486" s="23">
        <f t="shared" si="14"/>
        <v>0.19395599999999999</v>
      </c>
      <c r="D486" s="22">
        <f t="shared" si="15"/>
        <v>82.215471698113205</v>
      </c>
      <c r="E486" s="21"/>
      <c r="G486" s="23">
        <v>-0.26144519999999999</v>
      </c>
      <c r="H486" s="23">
        <v>0.19395599999999999</v>
      </c>
    </row>
    <row r="487" spans="1:8" x14ac:dyDescent="0.35">
      <c r="A487" s="23">
        <v>9.4726559999999994E-3</v>
      </c>
      <c r="B487" s="23">
        <f t="shared" si="14"/>
        <v>0.20284179999999999</v>
      </c>
      <c r="D487" s="22">
        <f t="shared" si="15"/>
        <v>85.446477987421389</v>
      </c>
      <c r="E487" s="21"/>
      <c r="G487" s="23">
        <v>-0.27171980000000001</v>
      </c>
      <c r="H487" s="23">
        <v>0.20284179999999999</v>
      </c>
    </row>
    <row r="488" spans="1:8" x14ac:dyDescent="0.35">
      <c r="A488" s="23">
        <v>9.4921880000000004E-3</v>
      </c>
      <c r="B488" s="23">
        <f t="shared" si="14"/>
        <v>0.2118102</v>
      </c>
      <c r="D488" s="22">
        <f t="shared" si="15"/>
        <v>88.841257861635228</v>
      </c>
      <c r="E488" s="21"/>
      <c r="G488" s="23">
        <v>-0.28251520000000002</v>
      </c>
      <c r="H488" s="23">
        <v>0.2118102</v>
      </c>
    </row>
    <row r="489" spans="1:8" x14ac:dyDescent="0.35">
      <c r="A489" s="23">
        <v>9.5117190000000001E-3</v>
      </c>
      <c r="B489" s="23">
        <f t="shared" si="14"/>
        <v>0.22013070000000001</v>
      </c>
      <c r="D489" s="22">
        <f t="shared" si="15"/>
        <v>91.908710691823899</v>
      </c>
      <c r="E489" s="21"/>
      <c r="G489" s="23">
        <v>-0.29226970000000002</v>
      </c>
      <c r="H489" s="23">
        <v>0.22013070000000001</v>
      </c>
    </row>
    <row r="490" spans="1:8" x14ac:dyDescent="0.35">
      <c r="A490" s="23">
        <v>9.5312499999999998E-3</v>
      </c>
      <c r="B490" s="23">
        <f t="shared" si="14"/>
        <v>0.2266329</v>
      </c>
      <c r="D490" s="22">
        <f t="shared" si="15"/>
        <v>94.273710691823908</v>
      </c>
      <c r="E490" s="21"/>
      <c r="G490" s="23">
        <v>-0.29979040000000001</v>
      </c>
      <c r="H490" s="23">
        <v>0.2266329</v>
      </c>
    </row>
    <row r="491" spans="1:8" x14ac:dyDescent="0.35">
      <c r="A491" s="23">
        <v>9.5507809999999995E-3</v>
      </c>
      <c r="B491" s="23">
        <f t="shared" si="14"/>
        <v>0.23244980000000001</v>
      </c>
      <c r="D491" s="22">
        <f t="shared" si="15"/>
        <v>96.484433962264134</v>
      </c>
      <c r="E491" s="21"/>
      <c r="G491" s="23">
        <v>-0.3068205</v>
      </c>
      <c r="H491" s="23">
        <v>0.23244980000000001</v>
      </c>
    </row>
    <row r="492" spans="1:8" x14ac:dyDescent="0.35">
      <c r="A492" s="23">
        <v>9.5703130000000004E-3</v>
      </c>
      <c r="B492" s="23">
        <f t="shared" si="14"/>
        <v>0.23710790000000001</v>
      </c>
      <c r="D492" s="22">
        <f t="shared" si="15"/>
        <v>98.052578616352207</v>
      </c>
      <c r="E492" s="21"/>
      <c r="G492" s="23">
        <v>-0.31180720000000001</v>
      </c>
      <c r="H492" s="23">
        <v>0.23710790000000001</v>
      </c>
    </row>
    <row r="493" spans="1:8" x14ac:dyDescent="0.35">
      <c r="A493" s="23">
        <v>9.5898440000000001E-3</v>
      </c>
      <c r="B493" s="23">
        <f t="shared" si="14"/>
        <v>0.24091360000000001</v>
      </c>
      <c r="D493" s="22">
        <f t="shared" si="15"/>
        <v>99.327012578616362</v>
      </c>
      <c r="E493" s="21"/>
      <c r="G493" s="23">
        <v>-0.31585990000000003</v>
      </c>
      <c r="H493" s="23">
        <v>0.24091360000000001</v>
      </c>
    </row>
    <row r="494" spans="1:8" x14ac:dyDescent="0.35">
      <c r="A494" s="23">
        <v>9.6093749999999999E-3</v>
      </c>
      <c r="B494" s="23">
        <f t="shared" si="14"/>
        <v>0.2448516</v>
      </c>
      <c r="D494" s="22">
        <f t="shared" si="15"/>
        <v>100.70132075471699</v>
      </c>
      <c r="E494" s="21"/>
      <c r="G494" s="23">
        <v>-0.32023020000000002</v>
      </c>
      <c r="H494" s="23">
        <v>0.2448516</v>
      </c>
    </row>
    <row r="495" spans="1:8" x14ac:dyDescent="0.35">
      <c r="A495" s="23">
        <v>9.6289059999999996E-3</v>
      </c>
      <c r="B495" s="23">
        <f t="shared" si="14"/>
        <v>0.2479016</v>
      </c>
      <c r="D495" s="22">
        <f t="shared" si="15"/>
        <v>101.5662893081761</v>
      </c>
      <c r="E495" s="21"/>
      <c r="G495" s="23">
        <v>-0.32298080000000001</v>
      </c>
      <c r="H495" s="23">
        <v>0.2479016</v>
      </c>
    </row>
    <row r="496" spans="1:8" x14ac:dyDescent="0.35">
      <c r="A496" s="23">
        <v>9.6484380000000005E-3</v>
      </c>
      <c r="B496" s="23">
        <f t="shared" si="14"/>
        <v>0.25002410000000003</v>
      </c>
      <c r="D496" s="22">
        <f t="shared" si="15"/>
        <v>101.95827044025157</v>
      </c>
      <c r="E496" s="21"/>
      <c r="G496" s="23">
        <v>-0.3242273</v>
      </c>
      <c r="H496" s="23">
        <v>0.25002410000000003</v>
      </c>
    </row>
    <row r="497" spans="1:8" x14ac:dyDescent="0.35">
      <c r="A497" s="23">
        <v>9.6679690000000002E-3</v>
      </c>
      <c r="B497" s="23">
        <f t="shared" si="14"/>
        <v>0.25079010000000002</v>
      </c>
      <c r="D497" s="22">
        <f t="shared" si="15"/>
        <v>101.89940251572327</v>
      </c>
      <c r="E497" s="21"/>
      <c r="G497" s="23">
        <v>-0.3240401</v>
      </c>
      <c r="H497" s="23">
        <v>0.25079010000000002</v>
      </c>
    </row>
    <row r="498" spans="1:8" x14ac:dyDescent="0.35">
      <c r="A498" s="23">
        <v>9.6874999999999999E-3</v>
      </c>
      <c r="B498" s="23">
        <f t="shared" si="14"/>
        <v>0.25021700000000002</v>
      </c>
      <c r="D498" s="22">
        <f t="shared" si="15"/>
        <v>101.4127358490566</v>
      </c>
      <c r="E498" s="21"/>
      <c r="G498" s="23">
        <v>-0.32249250000000002</v>
      </c>
      <c r="H498" s="23">
        <v>0.25021700000000002</v>
      </c>
    </row>
    <row r="499" spans="1:8" x14ac:dyDescent="0.35">
      <c r="A499" s="23">
        <v>9.7070309999999996E-3</v>
      </c>
      <c r="B499" s="23">
        <f t="shared" si="14"/>
        <v>0.24953049999999999</v>
      </c>
      <c r="D499" s="22">
        <f t="shared" si="15"/>
        <v>100.60559748427671</v>
      </c>
      <c r="E499" s="21"/>
      <c r="G499" s="23">
        <v>-0.31992579999999998</v>
      </c>
      <c r="H499" s="23">
        <v>0.24953049999999999</v>
      </c>
    </row>
    <row r="500" spans="1:8" x14ac:dyDescent="0.35">
      <c r="A500" s="23">
        <v>9.7265630000000006E-3</v>
      </c>
      <c r="B500" s="23">
        <f t="shared" si="14"/>
        <v>0.2485174</v>
      </c>
      <c r="D500" s="22">
        <f t="shared" si="15"/>
        <v>99.552106918239005</v>
      </c>
      <c r="E500" s="21"/>
      <c r="G500" s="23">
        <v>-0.31657570000000002</v>
      </c>
      <c r="H500" s="23">
        <v>0.2485174</v>
      </c>
    </row>
    <row r="501" spans="1:8" x14ac:dyDescent="0.35">
      <c r="A501" s="23">
        <v>9.7460940000000003E-3</v>
      </c>
      <c r="B501" s="23">
        <f t="shared" si="14"/>
        <v>0.2474259</v>
      </c>
      <c r="D501" s="22">
        <f t="shared" si="15"/>
        <v>98.502012578616345</v>
      </c>
      <c r="E501" s="21"/>
      <c r="G501" s="23">
        <v>-0.31323640000000003</v>
      </c>
      <c r="H501" s="23">
        <v>0.2474259</v>
      </c>
    </row>
    <row r="502" spans="1:8" x14ac:dyDescent="0.35">
      <c r="A502" s="23">
        <v>9.765625E-3</v>
      </c>
      <c r="B502" s="23">
        <f t="shared" si="14"/>
        <v>0.24548980000000001</v>
      </c>
      <c r="D502" s="22">
        <f t="shared" si="15"/>
        <v>96.975283018867927</v>
      </c>
      <c r="E502" s="21"/>
      <c r="G502" s="23">
        <v>-0.30838140000000003</v>
      </c>
      <c r="H502" s="23">
        <v>0.24548980000000001</v>
      </c>
    </row>
    <row r="503" spans="1:8" x14ac:dyDescent="0.35">
      <c r="A503" s="23">
        <v>9.7851559999999997E-3</v>
      </c>
      <c r="B503" s="23">
        <f t="shared" si="14"/>
        <v>0.241146</v>
      </c>
      <c r="D503" s="22">
        <f t="shared" si="15"/>
        <v>94.61166666666665</v>
      </c>
      <c r="E503" s="21"/>
      <c r="G503" s="23">
        <v>-0.3008651</v>
      </c>
      <c r="H503" s="23">
        <v>0.241146</v>
      </c>
    </row>
    <row r="504" spans="1:8" x14ac:dyDescent="0.35">
      <c r="A504" s="23">
        <v>9.8046880000000006E-3</v>
      </c>
      <c r="B504" s="23">
        <f t="shared" si="14"/>
        <v>0.23598269999999999</v>
      </c>
      <c r="D504" s="22">
        <f t="shared" si="15"/>
        <v>91.978962264150951</v>
      </c>
      <c r="E504" s="21"/>
      <c r="G504" s="23">
        <v>-0.29249310000000001</v>
      </c>
      <c r="H504" s="23">
        <v>0.23598269999999999</v>
      </c>
    </row>
    <row r="505" spans="1:8" x14ac:dyDescent="0.35">
      <c r="A505" s="23">
        <v>9.8242190000000004E-3</v>
      </c>
      <c r="B505" s="23">
        <f t="shared" si="14"/>
        <v>0.23093920000000001</v>
      </c>
      <c r="D505" s="22">
        <f t="shared" si="15"/>
        <v>89.130408805031436</v>
      </c>
      <c r="E505" s="21"/>
      <c r="G505" s="23">
        <v>-0.28343469999999998</v>
      </c>
      <c r="H505" s="23">
        <v>0.23093920000000001</v>
      </c>
    </row>
    <row r="506" spans="1:8" x14ac:dyDescent="0.35">
      <c r="A506" s="23">
        <v>9.8437500000000001E-3</v>
      </c>
      <c r="B506" s="23">
        <f t="shared" si="14"/>
        <v>0.22536539999999999</v>
      </c>
      <c r="D506" s="22">
        <f t="shared" si="15"/>
        <v>85.986855345911948</v>
      </c>
      <c r="E506" s="21"/>
      <c r="G506" s="23">
        <v>-0.27343820000000002</v>
      </c>
      <c r="H506" s="23">
        <v>0.22536539999999999</v>
      </c>
    </row>
    <row r="507" spans="1:8" x14ac:dyDescent="0.35">
      <c r="A507" s="23">
        <v>9.8632809999999998E-3</v>
      </c>
      <c r="B507" s="23">
        <f t="shared" si="14"/>
        <v>0.2196785</v>
      </c>
      <c r="D507" s="22">
        <f t="shared" si="15"/>
        <v>82.936006289308168</v>
      </c>
      <c r="E507" s="21"/>
      <c r="G507" s="23">
        <v>-0.26373649999999998</v>
      </c>
      <c r="H507" s="23">
        <v>0.2196785</v>
      </c>
    </row>
    <row r="508" spans="1:8" x14ac:dyDescent="0.35">
      <c r="A508" s="23">
        <v>9.8828130000000007E-3</v>
      </c>
      <c r="B508" s="23">
        <f t="shared" si="14"/>
        <v>0.21284359999999999</v>
      </c>
      <c r="D508" s="22">
        <f t="shared" si="15"/>
        <v>79.353144654088041</v>
      </c>
      <c r="E508" s="21"/>
      <c r="G508" s="23">
        <v>-0.25234299999999998</v>
      </c>
      <c r="H508" s="23">
        <v>0.21284359999999999</v>
      </c>
    </row>
    <row r="509" spans="1:8" x14ac:dyDescent="0.35">
      <c r="A509" s="23">
        <v>9.9023440000000004E-3</v>
      </c>
      <c r="B509" s="23">
        <f t="shared" si="14"/>
        <v>0.20474290000000001</v>
      </c>
      <c r="D509" s="22">
        <f t="shared" si="15"/>
        <v>75.189371069182386</v>
      </c>
      <c r="E509" s="21"/>
      <c r="G509" s="23">
        <v>-0.23910219999999999</v>
      </c>
      <c r="H509" s="23">
        <v>0.20474290000000001</v>
      </c>
    </row>
    <row r="510" spans="1:8" x14ac:dyDescent="0.35">
      <c r="A510" s="23">
        <v>9.9218750000000001E-3</v>
      </c>
      <c r="B510" s="23">
        <f t="shared" si="14"/>
        <v>0.19520689999999999</v>
      </c>
      <c r="D510" s="22">
        <f t="shared" si="15"/>
        <v>70.933333333333323</v>
      </c>
      <c r="E510" s="21"/>
      <c r="G510" s="23">
        <v>-0.22556799999999999</v>
      </c>
      <c r="H510" s="23">
        <v>0.19520689999999999</v>
      </c>
    </row>
    <row r="511" spans="1:8" x14ac:dyDescent="0.35">
      <c r="A511" s="23">
        <v>9.9414059999999999E-3</v>
      </c>
      <c r="B511" s="23">
        <f t="shared" si="14"/>
        <v>0.18366679999999999</v>
      </c>
      <c r="D511" s="22">
        <f t="shared" si="15"/>
        <v>66.034654088050303</v>
      </c>
      <c r="E511" s="21"/>
      <c r="G511" s="23">
        <v>-0.20999019999999999</v>
      </c>
      <c r="H511" s="23">
        <v>0.18366679999999999</v>
      </c>
    </row>
    <row r="512" spans="1:8" x14ac:dyDescent="0.35">
      <c r="A512" s="23">
        <v>9.9609380000000008E-3</v>
      </c>
      <c r="B512" s="23">
        <f t="shared" si="14"/>
        <v>0.17393819999999999</v>
      </c>
      <c r="D512" s="22">
        <f t="shared" si="15"/>
        <v>61.19688679245283</v>
      </c>
      <c r="E512" s="21"/>
      <c r="G512" s="23">
        <v>-0.1946061</v>
      </c>
      <c r="H512" s="23">
        <v>0.17393819999999999</v>
      </c>
    </row>
    <row r="513" spans="1:8" x14ac:dyDescent="0.35">
      <c r="A513" s="23">
        <v>9.9804690000000005E-3</v>
      </c>
      <c r="B513" s="23">
        <f t="shared" si="14"/>
        <v>0.16491749999999999</v>
      </c>
      <c r="D513" s="22">
        <f t="shared" si="15"/>
        <v>56.612893081761001</v>
      </c>
      <c r="E513" s="21"/>
      <c r="G513" s="23">
        <v>-0.18002899999999999</v>
      </c>
      <c r="H513" s="23">
        <v>0.16491749999999999</v>
      </c>
    </row>
    <row r="514" spans="1:8" x14ac:dyDescent="0.35">
      <c r="A514" s="23">
        <v>0.01</v>
      </c>
      <c r="B514" s="23">
        <f t="shared" ref="B514:B577" si="16">H514</f>
        <v>0.15260000000000001</v>
      </c>
      <c r="C514" s="24"/>
      <c r="D514" s="24">
        <f t="shared" ref="D514:D577" si="17">G514*-1000/3.18</f>
        <v>51.306163522012582</v>
      </c>
      <c r="E514" s="21"/>
      <c r="G514" s="23">
        <v>-0.16315360000000001</v>
      </c>
      <c r="H514" s="23">
        <v>0.15260000000000001</v>
      </c>
    </row>
    <row r="515" spans="1:8" x14ac:dyDescent="0.35">
      <c r="A515" s="23">
        <v>1.001953E-2</v>
      </c>
      <c r="B515" s="23">
        <f t="shared" si="16"/>
        <v>0.13983490000000001</v>
      </c>
      <c r="C515" s="24"/>
      <c r="D515" s="24">
        <f t="shared" si="17"/>
        <v>45.967893081761005</v>
      </c>
      <c r="E515" s="21"/>
      <c r="G515" s="23">
        <v>-0.1461779</v>
      </c>
      <c r="H515" s="23">
        <v>0.13983490000000001</v>
      </c>
    </row>
    <row r="516" spans="1:8" x14ac:dyDescent="0.35">
      <c r="A516" s="23">
        <v>1.0039060000000001E-2</v>
      </c>
      <c r="B516" s="23">
        <f t="shared" si="16"/>
        <v>0.12725729999999999</v>
      </c>
      <c r="C516" s="24"/>
      <c r="D516" s="24">
        <f t="shared" si="17"/>
        <v>40.395251572327048</v>
      </c>
      <c r="E516" s="21"/>
      <c r="G516" s="23">
        <v>-0.12845690000000001</v>
      </c>
      <c r="H516" s="23">
        <v>0.12725729999999999</v>
      </c>
    </row>
    <row r="517" spans="1:8" x14ac:dyDescent="0.35">
      <c r="A517" s="23">
        <v>1.0058589999999999E-2</v>
      </c>
      <c r="B517" s="23">
        <f t="shared" si="16"/>
        <v>0.11466170000000001</v>
      </c>
      <c r="C517" s="24"/>
      <c r="D517" s="24">
        <f t="shared" si="17"/>
        <v>34.013176100628932</v>
      </c>
      <c r="E517" s="21"/>
      <c r="G517" s="23">
        <v>-0.10816190000000001</v>
      </c>
      <c r="H517" s="23">
        <v>0.11466170000000001</v>
      </c>
    </row>
    <row r="518" spans="1:8" x14ac:dyDescent="0.35">
      <c r="A518" s="23">
        <v>1.0078129999999999E-2</v>
      </c>
      <c r="B518" s="23">
        <f t="shared" si="16"/>
        <v>0.1027062</v>
      </c>
      <c r="C518" s="24"/>
      <c r="D518" s="24">
        <f t="shared" si="17"/>
        <v>28.231251572327043</v>
      </c>
      <c r="E518" s="21"/>
      <c r="G518" s="23">
        <v>-8.9775380000000002E-2</v>
      </c>
      <c r="H518" s="23">
        <v>0.1027062</v>
      </c>
    </row>
    <row r="519" spans="1:8" x14ac:dyDescent="0.35">
      <c r="A519" s="23">
        <v>1.009766E-2</v>
      </c>
      <c r="B519" s="23">
        <f t="shared" si="16"/>
        <v>9.0910450000000004E-2</v>
      </c>
      <c r="C519" s="24"/>
      <c r="D519" s="24">
        <f t="shared" si="17"/>
        <v>22.809867924528302</v>
      </c>
      <c r="E519" s="21"/>
      <c r="G519" s="23">
        <v>-7.2535379999999997E-2</v>
      </c>
      <c r="H519" s="23">
        <v>9.0910450000000004E-2</v>
      </c>
    </row>
    <row r="520" spans="1:8" x14ac:dyDescent="0.35">
      <c r="A520" s="23">
        <v>1.011719E-2</v>
      </c>
      <c r="B520" s="23">
        <f t="shared" si="16"/>
        <v>7.7934030000000001E-2</v>
      </c>
      <c r="C520" s="24"/>
      <c r="D520" s="24">
        <f t="shared" si="17"/>
        <v>16.776789308176099</v>
      </c>
      <c r="E520" s="21"/>
      <c r="G520" s="23">
        <v>-5.3350189999999999E-2</v>
      </c>
      <c r="H520" s="23">
        <v>7.7934030000000001E-2</v>
      </c>
    </row>
    <row r="521" spans="1:8" x14ac:dyDescent="0.35">
      <c r="A521" s="23">
        <v>1.013672E-2</v>
      </c>
      <c r="B521" s="23">
        <f t="shared" si="16"/>
        <v>6.3348189999999999E-2</v>
      </c>
      <c r="C521" s="24"/>
      <c r="D521" s="24">
        <f t="shared" si="17"/>
        <v>10.660358490566038</v>
      </c>
      <c r="E521" s="21"/>
      <c r="G521" s="23">
        <v>-3.3899940000000003E-2</v>
      </c>
      <c r="H521" s="23">
        <v>6.3348189999999999E-2</v>
      </c>
    </row>
    <row r="522" spans="1:8" x14ac:dyDescent="0.35">
      <c r="A522" s="23">
        <v>1.015625E-2</v>
      </c>
      <c r="B522" s="23">
        <f t="shared" si="16"/>
        <v>4.9269859999999999E-2</v>
      </c>
      <c r="C522" s="24"/>
      <c r="D522" s="24">
        <f t="shared" si="17"/>
        <v>4.1989999999999998</v>
      </c>
      <c r="E522" s="21"/>
      <c r="G522" s="23">
        <v>-1.335282E-2</v>
      </c>
      <c r="H522" s="23">
        <v>4.9269859999999999E-2</v>
      </c>
    </row>
    <row r="523" spans="1:8" x14ac:dyDescent="0.35">
      <c r="A523" s="23">
        <v>1.0175780000000001E-2</v>
      </c>
      <c r="B523" s="23">
        <f t="shared" si="16"/>
        <v>3.3635110000000003E-2</v>
      </c>
      <c r="C523" s="24"/>
      <c r="D523" s="24">
        <f t="shared" si="17"/>
        <v>-2.3495562893081758</v>
      </c>
      <c r="E523" s="21"/>
      <c r="G523" s="23">
        <v>7.4715889999999998E-3</v>
      </c>
      <c r="H523" s="23">
        <v>3.3635110000000003E-2</v>
      </c>
    </row>
    <row r="524" spans="1:8" x14ac:dyDescent="0.35">
      <c r="A524" s="23">
        <v>1.0195310000000001E-2</v>
      </c>
      <c r="B524" s="23">
        <f t="shared" si="16"/>
        <v>1.7898379999999998E-2</v>
      </c>
      <c r="C524" s="24"/>
      <c r="D524" s="24">
        <f t="shared" si="17"/>
        <v>-8.3369591194968535</v>
      </c>
      <c r="E524" s="21"/>
      <c r="G524" s="23">
        <v>2.6511529999999998E-2</v>
      </c>
      <c r="H524" s="23">
        <v>1.7898379999999998E-2</v>
      </c>
    </row>
    <row r="525" spans="1:8" x14ac:dyDescent="0.35">
      <c r="A525" s="23">
        <v>1.0214839999999999E-2</v>
      </c>
      <c r="B525" s="23">
        <f t="shared" si="16"/>
        <v>2.542824E-3</v>
      </c>
      <c r="C525" s="24"/>
      <c r="D525" s="24">
        <f t="shared" si="17"/>
        <v>-14.525852201257859</v>
      </c>
      <c r="E525" s="21"/>
      <c r="G525" s="23">
        <v>4.6192209999999997E-2</v>
      </c>
      <c r="H525" s="23">
        <v>2.542824E-3</v>
      </c>
    </row>
    <row r="526" spans="1:8" x14ac:dyDescent="0.35">
      <c r="A526" s="23">
        <v>1.023438E-2</v>
      </c>
      <c r="B526" s="23">
        <f t="shared" si="16"/>
        <v>-1.479041E-2</v>
      </c>
      <c r="C526" s="24"/>
      <c r="D526" s="24">
        <f t="shared" si="17"/>
        <v>-20.751987421383646</v>
      </c>
      <c r="E526" s="21"/>
      <c r="G526" s="23">
        <v>6.5991320000000006E-2</v>
      </c>
      <c r="H526" s="23">
        <v>-1.479041E-2</v>
      </c>
    </row>
    <row r="527" spans="1:8" x14ac:dyDescent="0.35">
      <c r="A527" s="23">
        <v>1.025391E-2</v>
      </c>
      <c r="B527" s="23">
        <f t="shared" si="16"/>
        <v>-3.2160870000000001E-2</v>
      </c>
      <c r="C527" s="24"/>
      <c r="D527" s="24">
        <f t="shared" si="17"/>
        <v>-26.592116352201256</v>
      </c>
      <c r="E527" s="21"/>
      <c r="G527" s="23">
        <v>8.4562929999999994E-2</v>
      </c>
      <c r="H527" s="23">
        <v>-3.2160870000000001E-2</v>
      </c>
    </row>
    <row r="528" spans="1:8" x14ac:dyDescent="0.35">
      <c r="A528" s="23">
        <v>1.027344E-2</v>
      </c>
      <c r="B528" s="23">
        <f t="shared" si="16"/>
        <v>-5.0928290000000001E-2</v>
      </c>
      <c r="C528" s="24"/>
      <c r="D528" s="24">
        <f t="shared" si="17"/>
        <v>-32.614088050314457</v>
      </c>
      <c r="E528" s="21"/>
      <c r="G528" s="23">
        <v>0.10371279999999999</v>
      </c>
      <c r="H528" s="23">
        <v>-5.0928290000000001E-2</v>
      </c>
    </row>
    <row r="529" spans="1:8" x14ac:dyDescent="0.35">
      <c r="A529" s="23">
        <v>1.029297E-2</v>
      </c>
      <c r="B529" s="23">
        <f t="shared" si="16"/>
        <v>-6.9634539999999995E-2</v>
      </c>
      <c r="C529" s="24"/>
      <c r="D529" s="24">
        <f t="shared" si="17"/>
        <v>-38.394150943396227</v>
      </c>
      <c r="E529" s="21"/>
      <c r="G529" s="23">
        <v>0.1220934</v>
      </c>
      <c r="H529" s="23">
        <v>-6.9634539999999995E-2</v>
      </c>
    </row>
    <row r="530" spans="1:8" x14ac:dyDescent="0.35">
      <c r="A530" s="23">
        <v>1.03125E-2</v>
      </c>
      <c r="B530" s="23">
        <f t="shared" si="16"/>
        <v>-8.7854399999999999E-2</v>
      </c>
      <c r="C530" s="24"/>
      <c r="D530" s="24">
        <f t="shared" si="17"/>
        <v>-43.859371069182387</v>
      </c>
      <c r="E530" s="21"/>
      <c r="G530" s="23">
        <v>0.13947280000000001</v>
      </c>
      <c r="H530" s="23">
        <v>-8.7854399999999999E-2</v>
      </c>
    </row>
    <row r="531" spans="1:8" x14ac:dyDescent="0.35">
      <c r="A531" s="23">
        <v>1.0332030000000001E-2</v>
      </c>
      <c r="B531" s="23">
        <f t="shared" si="16"/>
        <v>-0.1075733</v>
      </c>
      <c r="C531" s="24"/>
      <c r="D531" s="24">
        <f t="shared" si="17"/>
        <v>-49.54094339622641</v>
      </c>
      <c r="E531" s="21"/>
      <c r="G531" s="23">
        <v>0.15754019999999999</v>
      </c>
      <c r="H531" s="23">
        <v>-0.1075733</v>
      </c>
    </row>
    <row r="532" spans="1:8" x14ac:dyDescent="0.35">
      <c r="A532" s="23">
        <v>1.0351559999999999E-2</v>
      </c>
      <c r="B532" s="23">
        <f t="shared" si="16"/>
        <v>-0.12595290000000001</v>
      </c>
      <c r="C532" s="24"/>
      <c r="D532" s="24">
        <f t="shared" si="17"/>
        <v>-54.909622641509436</v>
      </c>
      <c r="E532" s="21"/>
      <c r="G532" s="23">
        <v>0.17461260000000001</v>
      </c>
      <c r="H532" s="23">
        <v>-0.12595290000000001</v>
      </c>
    </row>
    <row r="533" spans="1:8" x14ac:dyDescent="0.35">
      <c r="A533" s="23">
        <v>1.0371089999999999E-2</v>
      </c>
      <c r="B533" s="23">
        <f t="shared" si="16"/>
        <v>-0.14349190000000001</v>
      </c>
      <c r="C533" s="24"/>
      <c r="D533" s="24">
        <f t="shared" si="17"/>
        <v>-60.009591194968543</v>
      </c>
      <c r="E533" s="21"/>
      <c r="G533" s="23">
        <v>0.19083049999999999</v>
      </c>
      <c r="H533" s="23">
        <v>-0.14349190000000001</v>
      </c>
    </row>
    <row r="534" spans="1:8" x14ac:dyDescent="0.35">
      <c r="A534" s="23">
        <v>1.039063E-2</v>
      </c>
      <c r="B534" s="23">
        <f t="shared" si="16"/>
        <v>-0.16043830000000001</v>
      </c>
      <c r="C534" s="24"/>
      <c r="D534" s="24">
        <f t="shared" si="17"/>
        <v>-65.042295597484269</v>
      </c>
      <c r="E534" s="21"/>
      <c r="G534" s="23">
        <v>0.2068345</v>
      </c>
      <c r="H534" s="23">
        <v>-0.16043830000000001</v>
      </c>
    </row>
    <row r="535" spans="1:8" x14ac:dyDescent="0.35">
      <c r="A535" s="23">
        <v>1.041016E-2</v>
      </c>
      <c r="B535" s="23">
        <f t="shared" si="16"/>
        <v>-0.1758699</v>
      </c>
      <c r="C535" s="24"/>
      <c r="D535" s="24">
        <f t="shared" si="17"/>
        <v>-69.719465408805036</v>
      </c>
      <c r="E535" s="21"/>
      <c r="G535" s="23">
        <v>0.22170790000000001</v>
      </c>
      <c r="H535" s="23">
        <v>-0.1758699</v>
      </c>
    </row>
    <row r="536" spans="1:8" x14ac:dyDescent="0.35">
      <c r="A536" s="23">
        <v>1.042969E-2</v>
      </c>
      <c r="B536" s="23">
        <f t="shared" si="16"/>
        <v>-0.19006619999999999</v>
      </c>
      <c r="C536" s="24"/>
      <c r="D536" s="24">
        <f t="shared" si="17"/>
        <v>-74.258364779874213</v>
      </c>
      <c r="E536" s="21"/>
      <c r="G536" s="23">
        <v>0.23614160000000001</v>
      </c>
      <c r="H536" s="23">
        <v>-0.19006619999999999</v>
      </c>
    </row>
    <row r="537" spans="1:8" x14ac:dyDescent="0.35">
      <c r="A537" s="23">
        <v>1.044922E-2</v>
      </c>
      <c r="B537" s="23">
        <f t="shared" si="16"/>
        <v>-0.20215610000000001</v>
      </c>
      <c r="C537" s="24"/>
      <c r="D537" s="24">
        <f t="shared" si="17"/>
        <v>-78.500157232704396</v>
      </c>
      <c r="E537" s="21"/>
      <c r="G537" s="23">
        <v>0.24963050000000001</v>
      </c>
      <c r="H537" s="23">
        <v>-0.20215610000000001</v>
      </c>
    </row>
    <row r="538" spans="1:8" x14ac:dyDescent="0.35">
      <c r="A538" s="23">
        <v>1.0468750000000001E-2</v>
      </c>
      <c r="B538" s="23">
        <f t="shared" si="16"/>
        <v>-0.21279890000000001</v>
      </c>
      <c r="C538" s="24"/>
      <c r="D538" s="24">
        <f t="shared" si="17"/>
        <v>-82.228459119496861</v>
      </c>
      <c r="E538" s="21"/>
      <c r="G538" s="23">
        <v>0.26148650000000001</v>
      </c>
      <c r="H538" s="23">
        <v>-0.21279890000000001</v>
      </c>
    </row>
    <row r="539" spans="1:8" x14ac:dyDescent="0.35">
      <c r="A539" s="23">
        <v>1.0488280000000001E-2</v>
      </c>
      <c r="B539" s="23">
        <f t="shared" si="16"/>
        <v>-0.2227403</v>
      </c>
      <c r="C539" s="24"/>
      <c r="D539" s="24">
        <f t="shared" si="17"/>
        <v>-85.931352201257866</v>
      </c>
      <c r="E539" s="21"/>
      <c r="G539" s="23">
        <v>0.2732617</v>
      </c>
      <c r="H539" s="23">
        <v>-0.2227403</v>
      </c>
    </row>
    <row r="540" spans="1:8" x14ac:dyDescent="0.35">
      <c r="A540" s="23">
        <v>1.0507809999999999E-2</v>
      </c>
      <c r="B540" s="23">
        <f t="shared" si="16"/>
        <v>-0.23211560000000001</v>
      </c>
      <c r="C540" s="24"/>
      <c r="D540" s="24">
        <f t="shared" si="17"/>
        <v>-89.396415094339616</v>
      </c>
      <c r="E540" s="21"/>
      <c r="G540" s="23">
        <v>0.28428059999999999</v>
      </c>
      <c r="H540" s="23">
        <v>-0.23211560000000001</v>
      </c>
    </row>
    <row r="541" spans="1:8" x14ac:dyDescent="0.35">
      <c r="A541" s="23">
        <v>1.052734E-2</v>
      </c>
      <c r="B541" s="23">
        <f t="shared" si="16"/>
        <v>-0.24026429999999999</v>
      </c>
      <c r="C541" s="24"/>
      <c r="D541" s="24">
        <f t="shared" si="17"/>
        <v>-92.184433962264151</v>
      </c>
      <c r="E541" s="21"/>
      <c r="G541" s="23">
        <v>0.29314649999999998</v>
      </c>
      <c r="H541" s="23">
        <v>-0.24026429999999999</v>
      </c>
    </row>
    <row r="542" spans="1:8" x14ac:dyDescent="0.35">
      <c r="A542" s="23">
        <v>1.054688E-2</v>
      </c>
      <c r="B542" s="23">
        <f t="shared" si="16"/>
        <v>-0.2473746</v>
      </c>
      <c r="C542" s="24"/>
      <c r="D542" s="24">
        <f t="shared" si="17"/>
        <v>-94.775220125786163</v>
      </c>
      <c r="E542" s="21"/>
      <c r="G542" s="23">
        <v>0.30138520000000002</v>
      </c>
      <c r="H542" s="23">
        <v>-0.2473746</v>
      </c>
    </row>
    <row r="543" spans="1:8" x14ac:dyDescent="0.35">
      <c r="A543" s="23">
        <v>1.056641E-2</v>
      </c>
      <c r="B543" s="23">
        <f t="shared" si="16"/>
        <v>-0.25415989999999999</v>
      </c>
      <c r="C543" s="24"/>
      <c r="D543" s="24">
        <f t="shared" si="17"/>
        <v>-97.138930817610046</v>
      </c>
      <c r="E543" s="21"/>
      <c r="G543" s="23">
        <v>0.3089018</v>
      </c>
      <c r="H543" s="23">
        <v>-0.25415989999999999</v>
      </c>
    </row>
    <row r="544" spans="1:8" x14ac:dyDescent="0.35">
      <c r="A544" s="23">
        <v>1.058594E-2</v>
      </c>
      <c r="B544" s="23">
        <f t="shared" si="16"/>
        <v>-0.26021519999999998</v>
      </c>
      <c r="C544" s="24"/>
      <c r="D544" s="24">
        <f t="shared" si="17"/>
        <v>-99.182767295597486</v>
      </c>
      <c r="E544" s="21"/>
      <c r="G544" s="23">
        <v>0.31540119999999999</v>
      </c>
      <c r="H544" s="23">
        <v>-0.26021519999999998</v>
      </c>
    </row>
    <row r="545" spans="1:8" x14ac:dyDescent="0.35">
      <c r="A545" s="23">
        <v>1.0605470000000001E-2</v>
      </c>
      <c r="B545" s="23">
        <f t="shared" si="16"/>
        <v>-0.26551010000000003</v>
      </c>
      <c r="C545" s="24"/>
      <c r="D545" s="24">
        <f t="shared" si="17"/>
        <v>-101.02352201257861</v>
      </c>
      <c r="E545" s="21"/>
      <c r="G545" s="23">
        <v>0.32125480000000001</v>
      </c>
      <c r="H545" s="23">
        <v>-0.26551010000000003</v>
      </c>
    </row>
    <row r="546" spans="1:8" x14ac:dyDescent="0.35">
      <c r="A546" s="23">
        <v>1.0625000000000001E-2</v>
      </c>
      <c r="B546" s="23">
        <f t="shared" si="16"/>
        <v>-0.268706</v>
      </c>
      <c r="C546" s="24"/>
      <c r="D546" s="24">
        <f t="shared" si="17"/>
        <v>-102.06981132075471</v>
      </c>
      <c r="E546" s="21"/>
      <c r="G546" s="23">
        <v>0.32458199999999998</v>
      </c>
      <c r="H546" s="23">
        <v>-0.268706</v>
      </c>
    </row>
    <row r="547" spans="1:8" x14ac:dyDescent="0.35">
      <c r="A547" s="23">
        <v>1.0644529999999999E-2</v>
      </c>
      <c r="B547" s="23">
        <f t="shared" si="16"/>
        <v>-0.27045370000000002</v>
      </c>
      <c r="C547" s="24"/>
      <c r="D547" s="24">
        <f t="shared" si="17"/>
        <v>-102.58025157232703</v>
      </c>
      <c r="E547" s="21"/>
      <c r="G547" s="23">
        <v>0.32620519999999997</v>
      </c>
      <c r="H547" s="23">
        <v>-0.27045370000000002</v>
      </c>
    </row>
    <row r="548" spans="1:8" x14ac:dyDescent="0.35">
      <c r="A548" s="23">
        <v>1.066406E-2</v>
      </c>
      <c r="B548" s="23">
        <f t="shared" si="16"/>
        <v>-0.27184560000000002</v>
      </c>
      <c r="C548" s="24"/>
      <c r="D548" s="24">
        <f t="shared" si="17"/>
        <v>-102.94619496855346</v>
      </c>
      <c r="E548" s="21"/>
      <c r="G548" s="23">
        <v>0.32736890000000002</v>
      </c>
      <c r="H548" s="23">
        <v>-0.27184560000000002</v>
      </c>
    </row>
    <row r="549" spans="1:8" x14ac:dyDescent="0.35">
      <c r="A549" s="23">
        <v>1.068359E-2</v>
      </c>
      <c r="B549" s="23">
        <f t="shared" si="16"/>
        <v>-0.27180110000000002</v>
      </c>
      <c r="C549" s="24"/>
      <c r="D549" s="24">
        <f t="shared" si="17"/>
        <v>-102.86088050314464</v>
      </c>
      <c r="E549" s="21"/>
      <c r="G549" s="23">
        <v>0.32709759999999999</v>
      </c>
      <c r="H549" s="23">
        <v>-0.27180110000000002</v>
      </c>
    </row>
    <row r="550" spans="1:8" x14ac:dyDescent="0.35">
      <c r="A550" s="23">
        <v>1.070313E-2</v>
      </c>
      <c r="B550" s="23">
        <f t="shared" si="16"/>
        <v>-0.27164450000000001</v>
      </c>
      <c r="C550" s="24"/>
      <c r="D550" s="24">
        <f t="shared" si="17"/>
        <v>-102.6882389937107</v>
      </c>
      <c r="E550" s="21"/>
      <c r="G550" s="23">
        <v>0.32654860000000002</v>
      </c>
      <c r="H550" s="23">
        <v>-0.27164450000000001</v>
      </c>
    </row>
    <row r="551" spans="1:8" x14ac:dyDescent="0.35">
      <c r="A551" s="23">
        <v>1.072266E-2</v>
      </c>
      <c r="B551" s="23">
        <f t="shared" si="16"/>
        <v>-0.27122580000000002</v>
      </c>
      <c r="C551" s="24"/>
      <c r="D551" s="24">
        <f t="shared" si="17"/>
        <v>-102.37091194968552</v>
      </c>
      <c r="E551" s="21"/>
      <c r="G551" s="23">
        <v>0.32553949999999998</v>
      </c>
      <c r="H551" s="23">
        <v>-0.27122580000000002</v>
      </c>
    </row>
    <row r="552" spans="1:8" x14ac:dyDescent="0.35">
      <c r="A552" s="23">
        <v>1.074219E-2</v>
      </c>
      <c r="B552" s="23">
        <f t="shared" si="16"/>
        <v>-0.26869539999999997</v>
      </c>
      <c r="C552" s="24"/>
      <c r="D552" s="24">
        <f t="shared" si="17"/>
        <v>-101.16578616352201</v>
      </c>
      <c r="E552" s="21"/>
      <c r="G552" s="23">
        <v>0.32170720000000003</v>
      </c>
      <c r="H552" s="23">
        <v>-0.26869539999999997</v>
      </c>
    </row>
    <row r="553" spans="1:8" x14ac:dyDescent="0.35">
      <c r="A553" s="23">
        <v>1.0761720000000001E-2</v>
      </c>
      <c r="B553" s="23">
        <f t="shared" si="16"/>
        <v>-0.26412409999999997</v>
      </c>
      <c r="C553" s="24"/>
      <c r="D553" s="24">
        <f t="shared" si="17"/>
        <v>-99.204276729559751</v>
      </c>
      <c r="E553" s="21"/>
      <c r="G553" s="23">
        <v>0.31546960000000002</v>
      </c>
      <c r="H553" s="23">
        <v>-0.26412409999999997</v>
      </c>
    </row>
    <row r="554" spans="1:8" x14ac:dyDescent="0.35">
      <c r="A554" s="23">
        <v>1.0781249999999999E-2</v>
      </c>
      <c r="B554" s="23">
        <f t="shared" si="16"/>
        <v>-0.2587371</v>
      </c>
      <c r="C554" s="24"/>
      <c r="D554" s="24">
        <f t="shared" si="17"/>
        <v>-97.083113207547171</v>
      </c>
      <c r="E554" s="21"/>
      <c r="G554" s="23">
        <v>0.30872430000000001</v>
      </c>
      <c r="H554" s="23">
        <v>-0.2587371</v>
      </c>
    </row>
    <row r="555" spans="1:8" x14ac:dyDescent="0.35">
      <c r="A555" s="23">
        <v>1.0800779999999999E-2</v>
      </c>
      <c r="B555" s="23">
        <f t="shared" si="16"/>
        <v>-0.25356129999999999</v>
      </c>
      <c r="C555" s="24"/>
      <c r="D555" s="24">
        <f t="shared" si="17"/>
        <v>-94.791194968553441</v>
      </c>
      <c r="E555" s="21"/>
      <c r="G555" s="23">
        <v>0.30143599999999998</v>
      </c>
      <c r="H555" s="23">
        <v>-0.25356129999999999</v>
      </c>
    </row>
    <row r="556" spans="1:8" x14ac:dyDescent="0.35">
      <c r="A556" s="23">
        <v>1.082031E-2</v>
      </c>
      <c r="B556" s="23">
        <f t="shared" si="16"/>
        <v>-0.24792349999999999</v>
      </c>
      <c r="C556" s="24"/>
      <c r="D556" s="24">
        <f t="shared" si="17"/>
        <v>-92.223081761006284</v>
      </c>
      <c r="E556" s="21"/>
      <c r="G556" s="23">
        <v>0.29326940000000001</v>
      </c>
      <c r="H556" s="23">
        <v>-0.24792349999999999</v>
      </c>
    </row>
    <row r="557" spans="1:8" x14ac:dyDescent="0.35">
      <c r="A557" s="23">
        <v>1.083984E-2</v>
      </c>
      <c r="B557" s="23">
        <f t="shared" si="16"/>
        <v>-0.2417667</v>
      </c>
      <c r="C557" s="24"/>
      <c r="D557" s="24">
        <f t="shared" si="17"/>
        <v>-89.503836477987406</v>
      </c>
      <c r="E557" s="21"/>
      <c r="G557" s="23">
        <v>0.28462219999999999</v>
      </c>
      <c r="H557" s="23">
        <v>-0.2417667</v>
      </c>
    </row>
    <row r="558" spans="1:8" x14ac:dyDescent="0.35">
      <c r="A558" s="23">
        <v>1.085938E-2</v>
      </c>
      <c r="B558" s="23">
        <f t="shared" si="16"/>
        <v>-0.2344202</v>
      </c>
      <c r="C558" s="24"/>
      <c r="D558" s="24">
        <f t="shared" si="17"/>
        <v>-86.192327044025149</v>
      </c>
      <c r="E558" s="21"/>
      <c r="G558" s="23">
        <v>0.27409159999999999</v>
      </c>
      <c r="H558" s="23">
        <v>-0.2344202</v>
      </c>
    </row>
    <row r="559" spans="1:8" x14ac:dyDescent="0.35">
      <c r="A559" s="23">
        <v>1.087891E-2</v>
      </c>
      <c r="B559" s="23">
        <f t="shared" si="16"/>
        <v>-0.22469829999999999</v>
      </c>
      <c r="C559" s="24"/>
      <c r="D559" s="24">
        <f t="shared" si="17"/>
        <v>-82.05037735849055</v>
      </c>
      <c r="E559" s="21"/>
      <c r="G559" s="23">
        <v>0.26092019999999999</v>
      </c>
      <c r="H559" s="23">
        <v>-0.22469829999999999</v>
      </c>
    </row>
    <row r="560" spans="1:8" x14ac:dyDescent="0.35">
      <c r="A560" s="23">
        <v>1.0898440000000001E-2</v>
      </c>
      <c r="B560" s="23">
        <f t="shared" si="16"/>
        <v>-0.21393300000000001</v>
      </c>
      <c r="C560" s="24"/>
      <c r="D560" s="24">
        <f t="shared" si="17"/>
        <v>-77.652735849056597</v>
      </c>
      <c r="E560" s="21"/>
      <c r="G560" s="23">
        <v>0.24693570000000001</v>
      </c>
      <c r="H560" s="23">
        <v>-0.21393300000000001</v>
      </c>
    </row>
    <row r="561" spans="1:8" x14ac:dyDescent="0.35">
      <c r="A561" s="23">
        <v>1.0917970000000001E-2</v>
      </c>
      <c r="B561" s="23">
        <f t="shared" si="16"/>
        <v>-0.2031809</v>
      </c>
      <c r="C561" s="24"/>
      <c r="D561" s="24">
        <f t="shared" si="17"/>
        <v>-73.23849056603774</v>
      </c>
      <c r="E561" s="21"/>
      <c r="G561" s="23">
        <v>0.23289840000000001</v>
      </c>
      <c r="H561" s="23">
        <v>-0.2031809</v>
      </c>
    </row>
    <row r="562" spans="1:8" x14ac:dyDescent="0.35">
      <c r="A562" s="23">
        <v>1.0937499999999999E-2</v>
      </c>
      <c r="B562" s="23">
        <f t="shared" si="16"/>
        <v>-0.19265689999999999</v>
      </c>
      <c r="C562" s="24"/>
      <c r="D562" s="24">
        <f t="shared" si="17"/>
        <v>-68.855471698113206</v>
      </c>
      <c r="E562" s="21"/>
      <c r="G562" s="23">
        <v>0.2189604</v>
      </c>
      <c r="H562" s="23">
        <v>-0.19265689999999999</v>
      </c>
    </row>
    <row r="563" spans="1:8" x14ac:dyDescent="0.35">
      <c r="A563" s="23">
        <v>1.095703E-2</v>
      </c>
      <c r="B563" s="23">
        <f t="shared" si="16"/>
        <v>-0.18140329999999999</v>
      </c>
      <c r="C563" s="24"/>
      <c r="D563" s="24">
        <f t="shared" si="17"/>
        <v>-64.19955974842766</v>
      </c>
      <c r="E563" s="21"/>
      <c r="G563" s="23">
        <v>0.20415459999999999</v>
      </c>
      <c r="H563" s="23">
        <v>-0.18140329999999999</v>
      </c>
    </row>
    <row r="564" spans="1:8" x14ac:dyDescent="0.35">
      <c r="A564" s="23">
        <v>1.097656E-2</v>
      </c>
      <c r="B564" s="23">
        <f t="shared" si="16"/>
        <v>-0.16797300000000001</v>
      </c>
      <c r="C564" s="24"/>
      <c r="D564" s="24">
        <f t="shared" si="17"/>
        <v>-58.6688679245283</v>
      </c>
      <c r="E564" s="21"/>
      <c r="G564" s="23">
        <v>0.18656700000000001</v>
      </c>
      <c r="H564" s="23">
        <v>-0.16797300000000001</v>
      </c>
    </row>
    <row r="565" spans="1:8" x14ac:dyDescent="0.35">
      <c r="A565" s="23">
        <v>1.099609E-2</v>
      </c>
      <c r="B565" s="23">
        <f t="shared" si="16"/>
        <v>-0.153473</v>
      </c>
      <c r="C565" s="24"/>
      <c r="D565" s="24">
        <f t="shared" si="17"/>
        <v>-52.8025786163522</v>
      </c>
      <c r="E565" s="21"/>
      <c r="G565" s="23">
        <v>0.16791220000000001</v>
      </c>
      <c r="H565" s="23">
        <v>-0.153473</v>
      </c>
    </row>
    <row r="566" spans="1:8" x14ac:dyDescent="0.35">
      <c r="A566" s="23">
        <v>1.101562E-2</v>
      </c>
      <c r="B566" s="23">
        <f t="shared" si="16"/>
        <v>-0.13883409999999999</v>
      </c>
      <c r="C566" s="24"/>
      <c r="D566" s="24">
        <f t="shared" si="17"/>
        <v>-47.024465408805028</v>
      </c>
      <c r="E566" s="21"/>
      <c r="G566" s="23">
        <v>0.1495378</v>
      </c>
      <c r="H566" s="23">
        <v>-0.13883409999999999</v>
      </c>
    </row>
    <row r="567" spans="1:8" x14ac:dyDescent="0.35">
      <c r="A567" s="23">
        <v>1.103516E-2</v>
      </c>
      <c r="B567" s="23">
        <f t="shared" si="16"/>
        <v>-0.1236939</v>
      </c>
      <c r="C567" s="24"/>
      <c r="D567" s="24">
        <f t="shared" si="17"/>
        <v>-40.937830188679243</v>
      </c>
      <c r="E567" s="21"/>
      <c r="G567" s="23">
        <v>0.1301823</v>
      </c>
      <c r="H567" s="23">
        <v>-0.1236939</v>
      </c>
    </row>
    <row r="568" spans="1:8" x14ac:dyDescent="0.35">
      <c r="A568" s="23">
        <v>1.1054690000000001E-2</v>
      </c>
      <c r="B568" s="23">
        <f t="shared" si="16"/>
        <v>-0.1084041</v>
      </c>
      <c r="C568" s="24"/>
      <c r="D568" s="24">
        <f t="shared" si="17"/>
        <v>-34.863742138364778</v>
      </c>
      <c r="E568" s="21"/>
      <c r="G568" s="23">
        <v>0.1108667</v>
      </c>
      <c r="H568" s="23">
        <v>-0.1084041</v>
      </c>
    </row>
    <row r="569" spans="1:8" x14ac:dyDescent="0.35">
      <c r="A569" s="23">
        <v>1.1074219999999999E-2</v>
      </c>
      <c r="B569" s="23">
        <f t="shared" si="16"/>
        <v>-9.3336950000000002E-2</v>
      </c>
      <c r="C569" s="24"/>
      <c r="D569" s="24">
        <f t="shared" si="17"/>
        <v>-28.876399371069184</v>
      </c>
      <c r="E569" s="21"/>
      <c r="G569" s="23">
        <v>9.1826950000000004E-2</v>
      </c>
      <c r="H569" s="23">
        <v>-9.3336950000000002E-2</v>
      </c>
    </row>
    <row r="570" spans="1:8" x14ac:dyDescent="0.35">
      <c r="A570" s="23">
        <v>1.1093749999999999E-2</v>
      </c>
      <c r="B570" s="23">
        <f t="shared" si="16"/>
        <v>-7.7330709999999997E-2</v>
      </c>
      <c r="C570" s="24"/>
      <c r="D570" s="24">
        <f t="shared" si="17"/>
        <v>-22.383279874213837</v>
      </c>
      <c r="E570" s="21"/>
      <c r="G570" s="23">
        <v>7.1178829999999998E-2</v>
      </c>
      <c r="H570" s="23">
        <v>-7.7330709999999997E-2</v>
      </c>
    </row>
    <row r="571" spans="1:8" x14ac:dyDescent="0.35">
      <c r="A571" s="23">
        <v>1.111328E-2</v>
      </c>
      <c r="B571" s="23">
        <f t="shared" si="16"/>
        <v>-6.0493060000000001E-2</v>
      </c>
      <c r="C571" s="24"/>
      <c r="D571" s="24">
        <f t="shared" si="17"/>
        <v>-15.820635220125785</v>
      </c>
      <c r="E571" s="21"/>
      <c r="G571" s="23">
        <v>5.0309619999999999E-2</v>
      </c>
      <c r="H571" s="23">
        <v>-6.0493060000000001E-2</v>
      </c>
    </row>
    <row r="572" spans="1:8" x14ac:dyDescent="0.35">
      <c r="A572" s="23">
        <v>1.113281E-2</v>
      </c>
      <c r="B572" s="23">
        <f t="shared" si="16"/>
        <v>-4.4052479999999998E-2</v>
      </c>
      <c r="C572" s="24"/>
      <c r="D572" s="24">
        <f t="shared" si="17"/>
        <v>-9.4337201257861629</v>
      </c>
      <c r="E572" s="21"/>
      <c r="G572" s="23">
        <v>2.9999230000000002E-2</v>
      </c>
      <c r="H572" s="23">
        <v>-4.4052479999999998E-2</v>
      </c>
    </row>
    <row r="573" spans="1:8" x14ac:dyDescent="0.35">
      <c r="A573" s="23">
        <v>1.115234E-2</v>
      </c>
      <c r="B573" s="23">
        <f t="shared" si="16"/>
        <v>-2.7276410000000001E-2</v>
      </c>
      <c r="C573" s="24"/>
      <c r="D573" s="24">
        <f t="shared" si="17"/>
        <v>-2.7234364779874216</v>
      </c>
      <c r="E573" s="21"/>
      <c r="G573" s="23">
        <v>8.6605280000000007E-3</v>
      </c>
      <c r="H573" s="23">
        <v>-2.7276410000000001E-2</v>
      </c>
    </row>
    <row r="574" spans="1:8" x14ac:dyDescent="0.35">
      <c r="A574" s="23">
        <v>1.117187E-2</v>
      </c>
      <c r="B574" s="23">
        <f t="shared" si="16"/>
        <v>-1.0740370000000001E-2</v>
      </c>
      <c r="C574" s="24"/>
      <c r="D574" s="24">
        <f t="shared" si="17"/>
        <v>3.7493207547169813</v>
      </c>
      <c r="E574" s="21"/>
      <c r="G574" s="23">
        <v>-1.1922840000000001E-2</v>
      </c>
      <c r="H574" s="23">
        <v>-1.0740370000000001E-2</v>
      </c>
    </row>
    <row r="575" spans="1:8" x14ac:dyDescent="0.35">
      <c r="A575" s="23">
        <v>1.1191410000000001E-2</v>
      </c>
      <c r="B575" s="23">
        <f t="shared" si="16"/>
        <v>5.1829900000000002E-3</v>
      </c>
      <c r="C575" s="24"/>
      <c r="D575" s="24">
        <f t="shared" si="17"/>
        <v>9.9710220125786169</v>
      </c>
      <c r="E575" s="21"/>
      <c r="G575" s="23">
        <v>-3.1707850000000003E-2</v>
      </c>
      <c r="H575" s="23">
        <v>5.1829900000000002E-3</v>
      </c>
    </row>
    <row r="576" spans="1:8" x14ac:dyDescent="0.35">
      <c r="A576" s="23">
        <v>1.1210940000000001E-2</v>
      </c>
      <c r="B576" s="23">
        <f t="shared" si="16"/>
        <v>2.1376840000000001E-2</v>
      </c>
      <c r="C576" s="24"/>
      <c r="D576" s="24">
        <f t="shared" si="17"/>
        <v>16.415716981132075</v>
      </c>
      <c r="E576" s="21"/>
      <c r="G576" s="23">
        <v>-5.2201980000000002E-2</v>
      </c>
      <c r="H576" s="23">
        <v>2.1376840000000001E-2</v>
      </c>
    </row>
    <row r="577" spans="1:8" x14ac:dyDescent="0.35">
      <c r="A577" s="23">
        <v>1.1230469999999999E-2</v>
      </c>
      <c r="B577" s="23">
        <f t="shared" si="16"/>
        <v>3.7584090000000001E-2</v>
      </c>
      <c r="C577" s="24"/>
      <c r="D577" s="24">
        <f t="shared" si="17"/>
        <v>22.671301886792453</v>
      </c>
      <c r="E577" s="21"/>
      <c r="G577" s="23">
        <v>-7.2094740000000004E-2</v>
      </c>
      <c r="H577" s="23">
        <v>3.7584090000000001E-2</v>
      </c>
    </row>
    <row r="578" spans="1:8" x14ac:dyDescent="0.35">
      <c r="A578" s="23">
        <v>1.125E-2</v>
      </c>
      <c r="B578" s="23">
        <f t="shared" ref="B578:B641" si="18">H578</f>
        <v>5.4178619999999997E-2</v>
      </c>
      <c r="C578" s="24"/>
      <c r="D578" s="24">
        <f t="shared" ref="D578:D641" si="19">G578*-1000/3.18</f>
        <v>29.047484276729556</v>
      </c>
      <c r="E578" s="21"/>
      <c r="G578" s="23">
        <v>-9.2370999999999995E-2</v>
      </c>
      <c r="H578" s="23">
        <v>5.4178619999999997E-2</v>
      </c>
    </row>
    <row r="579" spans="1:8" x14ac:dyDescent="0.35">
      <c r="A579" s="23">
        <v>1.126953E-2</v>
      </c>
      <c r="B579" s="23">
        <f t="shared" si="18"/>
        <v>7.0310940000000002E-2</v>
      </c>
      <c r="C579" s="24"/>
      <c r="D579" s="24">
        <f t="shared" si="19"/>
        <v>35.286069182389937</v>
      </c>
      <c r="E579" s="21"/>
      <c r="G579" s="23">
        <v>-0.1122097</v>
      </c>
      <c r="H579" s="23">
        <v>7.0310940000000002E-2</v>
      </c>
    </row>
    <row r="580" spans="1:8" x14ac:dyDescent="0.35">
      <c r="A580" s="23">
        <v>1.128906E-2</v>
      </c>
      <c r="B580" s="23">
        <f t="shared" si="18"/>
        <v>8.5512859999999996E-2</v>
      </c>
      <c r="C580" s="24"/>
      <c r="D580" s="24">
        <f t="shared" si="19"/>
        <v>40.988805031446539</v>
      </c>
      <c r="E580" s="21"/>
      <c r="G580" s="23">
        <v>-0.1303444</v>
      </c>
      <c r="H580" s="23">
        <v>8.5512859999999996E-2</v>
      </c>
    </row>
    <row r="581" spans="1:8" x14ac:dyDescent="0.35">
      <c r="A581" s="23">
        <v>1.130859E-2</v>
      </c>
      <c r="B581" s="23">
        <f t="shared" si="18"/>
        <v>0.10105740000000001</v>
      </c>
      <c r="C581" s="24"/>
      <c r="D581" s="24">
        <f t="shared" si="19"/>
        <v>46.94166666666667</v>
      </c>
      <c r="E581" s="21"/>
      <c r="G581" s="23">
        <v>-0.1492745</v>
      </c>
      <c r="H581" s="23">
        <v>0.10105740000000001</v>
      </c>
    </row>
    <row r="582" spans="1:8" x14ac:dyDescent="0.35">
      <c r="A582" s="23">
        <v>1.1328120000000001E-2</v>
      </c>
      <c r="B582" s="23">
        <f t="shared" si="18"/>
        <v>0.11581080000000001</v>
      </c>
      <c r="C582" s="24"/>
      <c r="D582" s="24">
        <f t="shared" si="19"/>
        <v>52.558490566037733</v>
      </c>
      <c r="E582" s="21"/>
      <c r="G582" s="23">
        <v>-0.16713600000000001</v>
      </c>
      <c r="H582" s="23">
        <v>0.11581080000000001</v>
      </c>
    </row>
    <row r="583" spans="1:8" x14ac:dyDescent="0.35">
      <c r="A583" s="23">
        <v>1.1347660000000001E-2</v>
      </c>
      <c r="B583" s="23">
        <f t="shared" si="18"/>
        <v>0.12927920000000001</v>
      </c>
      <c r="C583" s="24"/>
      <c r="D583" s="24">
        <f t="shared" si="19"/>
        <v>57.588144654088048</v>
      </c>
      <c r="E583" s="21"/>
      <c r="G583" s="23">
        <v>-0.1831303</v>
      </c>
      <c r="H583" s="23">
        <v>0.12927920000000001</v>
      </c>
    </row>
    <row r="584" spans="1:8" x14ac:dyDescent="0.35">
      <c r="A584" s="23">
        <v>1.1367189999999999E-2</v>
      </c>
      <c r="B584" s="23">
        <f t="shared" si="18"/>
        <v>0.14294979999999999</v>
      </c>
      <c r="C584" s="24"/>
      <c r="D584" s="24">
        <f t="shared" si="19"/>
        <v>62.867264150943392</v>
      </c>
      <c r="E584" s="21"/>
      <c r="G584" s="23">
        <v>-0.19991790000000001</v>
      </c>
      <c r="H584" s="23">
        <v>0.14294979999999999</v>
      </c>
    </row>
    <row r="585" spans="1:8" x14ac:dyDescent="0.35">
      <c r="A585" s="23">
        <v>1.1386719999999999E-2</v>
      </c>
      <c r="B585" s="23">
        <f t="shared" si="18"/>
        <v>0.1562395</v>
      </c>
      <c r="C585" s="24"/>
      <c r="D585" s="24">
        <f t="shared" si="19"/>
        <v>67.796352201257861</v>
      </c>
      <c r="E585" s="21"/>
      <c r="G585" s="23">
        <v>-0.21559239999999999</v>
      </c>
      <c r="H585" s="23">
        <v>0.1562395</v>
      </c>
    </row>
    <row r="586" spans="1:8" x14ac:dyDescent="0.35">
      <c r="A586" s="23">
        <v>1.140625E-2</v>
      </c>
      <c r="B586" s="23">
        <f t="shared" si="18"/>
        <v>0.16819790000000001</v>
      </c>
      <c r="C586" s="24"/>
      <c r="D586" s="24">
        <f t="shared" si="19"/>
        <v>72.27977987421383</v>
      </c>
      <c r="E586" s="21"/>
      <c r="G586" s="23">
        <v>-0.22984969999999999</v>
      </c>
      <c r="H586" s="23">
        <v>0.16819790000000001</v>
      </c>
    </row>
    <row r="587" spans="1:8" x14ac:dyDescent="0.35">
      <c r="A587" s="23">
        <v>1.142578E-2</v>
      </c>
      <c r="B587" s="23">
        <f t="shared" si="18"/>
        <v>0.17951839999999999</v>
      </c>
      <c r="C587" s="24"/>
      <c r="D587" s="24">
        <f t="shared" si="19"/>
        <v>76.745786163522013</v>
      </c>
      <c r="E587" s="21"/>
      <c r="G587" s="23">
        <v>-0.24405160000000001</v>
      </c>
      <c r="H587" s="23">
        <v>0.17951839999999999</v>
      </c>
    </row>
    <row r="588" spans="1:8" x14ac:dyDescent="0.35">
      <c r="A588" s="23">
        <v>1.144531E-2</v>
      </c>
      <c r="B588" s="23">
        <f t="shared" si="18"/>
        <v>0.18999079999999999</v>
      </c>
      <c r="C588" s="24"/>
      <c r="D588" s="24">
        <f t="shared" si="19"/>
        <v>80.586037735849047</v>
      </c>
      <c r="E588" s="21"/>
      <c r="G588" s="23">
        <v>-0.25626359999999998</v>
      </c>
      <c r="H588" s="23">
        <v>0.18999079999999999</v>
      </c>
    </row>
    <row r="589" spans="1:8" x14ac:dyDescent="0.35">
      <c r="A589" s="23">
        <v>1.146484E-2</v>
      </c>
      <c r="B589" s="23">
        <f t="shared" si="18"/>
        <v>0.1993752</v>
      </c>
      <c r="C589" s="24"/>
      <c r="D589" s="24">
        <f t="shared" si="19"/>
        <v>84.094182389937089</v>
      </c>
      <c r="E589" s="21"/>
      <c r="G589" s="23">
        <v>-0.26741949999999998</v>
      </c>
      <c r="H589" s="23">
        <v>0.1993752</v>
      </c>
    </row>
    <row r="590" spans="1:8" x14ac:dyDescent="0.35">
      <c r="A590" s="23">
        <v>1.1484370000000001E-2</v>
      </c>
      <c r="B590" s="23">
        <f t="shared" si="18"/>
        <v>0.20828769999999999</v>
      </c>
      <c r="C590" s="24"/>
      <c r="D590" s="24">
        <f t="shared" si="19"/>
        <v>87.582547169811306</v>
      </c>
      <c r="E590" s="21"/>
      <c r="G590" s="23">
        <v>-0.2785125</v>
      </c>
      <c r="H590" s="23">
        <v>0.20828769999999999</v>
      </c>
    </row>
    <row r="591" spans="1:8" x14ac:dyDescent="0.35">
      <c r="A591" s="23">
        <v>1.1503909999999999E-2</v>
      </c>
      <c r="B591" s="23">
        <f t="shared" si="18"/>
        <v>0.2163902</v>
      </c>
      <c r="C591" s="24"/>
      <c r="D591" s="24">
        <f t="shared" si="19"/>
        <v>90.506603773584899</v>
      </c>
      <c r="E591" s="21"/>
      <c r="G591" s="23">
        <v>-0.28781099999999998</v>
      </c>
      <c r="H591" s="23">
        <v>0.2163902</v>
      </c>
    </row>
    <row r="592" spans="1:8" x14ac:dyDescent="0.35">
      <c r="A592" s="23">
        <v>1.1523439999999999E-2</v>
      </c>
      <c r="B592" s="23">
        <f t="shared" si="18"/>
        <v>0.22386339999999999</v>
      </c>
      <c r="C592" s="24"/>
      <c r="D592" s="24">
        <f t="shared" si="19"/>
        <v>93.275188679245289</v>
      </c>
      <c r="E592" s="21"/>
      <c r="G592" s="23">
        <v>-0.29661510000000002</v>
      </c>
      <c r="H592" s="23">
        <v>0.22386339999999999</v>
      </c>
    </row>
    <row r="593" spans="1:8" x14ac:dyDescent="0.35">
      <c r="A593" s="23">
        <v>1.154297E-2</v>
      </c>
      <c r="B593" s="23">
        <f t="shared" si="18"/>
        <v>0.2301494</v>
      </c>
      <c r="C593" s="24"/>
      <c r="D593" s="24">
        <f t="shared" si="19"/>
        <v>95.657735849056593</v>
      </c>
      <c r="E593" s="21"/>
      <c r="G593" s="23">
        <v>-0.30419160000000001</v>
      </c>
      <c r="H593" s="23">
        <v>0.2301494</v>
      </c>
    </row>
    <row r="594" spans="1:8" x14ac:dyDescent="0.35">
      <c r="A594" s="23">
        <v>1.15625E-2</v>
      </c>
      <c r="B594" s="23">
        <f t="shared" si="18"/>
        <v>0.23462369999999999</v>
      </c>
      <c r="C594" s="24"/>
      <c r="D594" s="24">
        <f t="shared" si="19"/>
        <v>97.21223270440251</v>
      </c>
      <c r="E594" s="21"/>
      <c r="G594" s="23">
        <v>-0.30913489999999999</v>
      </c>
      <c r="H594" s="23">
        <v>0.23462369999999999</v>
      </c>
    </row>
    <row r="595" spans="1:8" x14ac:dyDescent="0.35">
      <c r="A595" s="23">
        <v>1.158203E-2</v>
      </c>
      <c r="B595" s="23">
        <f t="shared" si="18"/>
        <v>0.23908219999999999</v>
      </c>
      <c r="C595" s="24"/>
      <c r="D595" s="24">
        <f t="shared" si="19"/>
        <v>98.816383647798745</v>
      </c>
      <c r="E595" s="21"/>
      <c r="G595" s="23">
        <v>-0.31423610000000002</v>
      </c>
      <c r="H595" s="23">
        <v>0.23908219999999999</v>
      </c>
    </row>
    <row r="596" spans="1:8" x14ac:dyDescent="0.35">
      <c r="A596" s="23">
        <v>1.160156E-2</v>
      </c>
      <c r="B596" s="23">
        <f t="shared" si="18"/>
        <v>0.24313709999999999</v>
      </c>
      <c r="C596" s="24"/>
      <c r="D596" s="24">
        <f t="shared" si="19"/>
        <v>100.17264150943397</v>
      </c>
      <c r="E596" s="21"/>
      <c r="G596" s="23">
        <v>-0.31854900000000003</v>
      </c>
      <c r="H596" s="23">
        <v>0.24313709999999999</v>
      </c>
    </row>
    <row r="597" spans="1:8" x14ac:dyDescent="0.35">
      <c r="A597" s="23">
        <v>1.1621090000000001E-2</v>
      </c>
      <c r="B597" s="23">
        <f t="shared" si="18"/>
        <v>0.2461352</v>
      </c>
      <c r="C597" s="24"/>
      <c r="D597" s="24">
        <f t="shared" si="19"/>
        <v>101.0572641509434</v>
      </c>
      <c r="E597" s="21"/>
      <c r="G597" s="23">
        <v>-0.32136209999999998</v>
      </c>
      <c r="H597" s="23">
        <v>0.2461352</v>
      </c>
    </row>
    <row r="598" spans="1:8" x14ac:dyDescent="0.35">
      <c r="A598" s="23">
        <v>1.1640620000000001E-2</v>
      </c>
      <c r="B598" s="23">
        <f t="shared" si="18"/>
        <v>0.2491206</v>
      </c>
      <c r="C598" s="24"/>
      <c r="D598" s="24">
        <f t="shared" si="19"/>
        <v>101.94952830188679</v>
      </c>
      <c r="E598" s="21"/>
      <c r="G598" s="23">
        <v>-0.32419949999999997</v>
      </c>
      <c r="H598" s="23">
        <v>0.2491206</v>
      </c>
    </row>
    <row r="599" spans="1:8" x14ac:dyDescent="0.35">
      <c r="A599" s="23">
        <v>1.1660159999999999E-2</v>
      </c>
      <c r="B599" s="23">
        <f t="shared" si="18"/>
        <v>0.25063259999999998</v>
      </c>
      <c r="C599" s="24"/>
      <c r="D599" s="24">
        <f t="shared" si="19"/>
        <v>102.04040880503143</v>
      </c>
      <c r="E599" s="21"/>
      <c r="G599" s="23">
        <v>-0.32448850000000001</v>
      </c>
      <c r="H599" s="23">
        <v>0.25063259999999998</v>
      </c>
    </row>
    <row r="600" spans="1:8" x14ac:dyDescent="0.35">
      <c r="A600" s="23">
        <v>1.167969E-2</v>
      </c>
      <c r="B600" s="23">
        <f t="shared" si="18"/>
        <v>0.25057099999999999</v>
      </c>
      <c r="C600" s="24"/>
      <c r="D600" s="24">
        <f t="shared" si="19"/>
        <v>101.50229559748426</v>
      </c>
      <c r="E600" s="21"/>
      <c r="G600" s="23">
        <v>-0.32277729999999999</v>
      </c>
      <c r="H600" s="23">
        <v>0.25057099999999999</v>
      </c>
    </row>
    <row r="601" spans="1:8" x14ac:dyDescent="0.35">
      <c r="A601" s="23">
        <v>1.169922E-2</v>
      </c>
      <c r="B601" s="23">
        <f t="shared" si="18"/>
        <v>0.2502432</v>
      </c>
      <c r="C601" s="24"/>
      <c r="D601" s="24">
        <f t="shared" si="19"/>
        <v>100.9364465408805</v>
      </c>
      <c r="E601" s="21"/>
      <c r="G601" s="23">
        <v>-0.32097789999999998</v>
      </c>
      <c r="H601" s="23">
        <v>0.2502432</v>
      </c>
    </row>
    <row r="602" spans="1:8" x14ac:dyDescent="0.35">
      <c r="A602" s="23">
        <v>1.171875E-2</v>
      </c>
      <c r="B602" s="23">
        <f t="shared" si="18"/>
        <v>0.2492859</v>
      </c>
      <c r="C602" s="24"/>
      <c r="D602" s="24">
        <f t="shared" si="19"/>
        <v>99.943647798742134</v>
      </c>
      <c r="E602" s="21"/>
      <c r="G602" s="23">
        <v>-0.31782080000000001</v>
      </c>
      <c r="H602" s="23">
        <v>0.2492859</v>
      </c>
    </row>
    <row r="603" spans="1:8" x14ac:dyDescent="0.35">
      <c r="A603" s="23">
        <v>1.173828E-2</v>
      </c>
      <c r="B603" s="23">
        <f t="shared" si="18"/>
        <v>0.24816060000000001</v>
      </c>
      <c r="C603" s="24"/>
      <c r="D603" s="24">
        <f t="shared" si="19"/>
        <v>98.937075471698122</v>
      </c>
      <c r="E603" s="21"/>
      <c r="G603" s="23">
        <v>-0.31461990000000001</v>
      </c>
      <c r="H603" s="23">
        <v>0.24816060000000001</v>
      </c>
    </row>
    <row r="604" spans="1:8" x14ac:dyDescent="0.35">
      <c r="A604" s="23">
        <v>1.175781E-2</v>
      </c>
      <c r="B604" s="23">
        <f t="shared" si="18"/>
        <v>0.24639929999999999</v>
      </c>
      <c r="C604" s="24"/>
      <c r="D604" s="24">
        <f t="shared" si="19"/>
        <v>97.643490566037741</v>
      </c>
      <c r="E604" s="21"/>
      <c r="G604" s="23">
        <v>-0.31050630000000001</v>
      </c>
      <c r="H604" s="23">
        <v>0.24639929999999999</v>
      </c>
    </row>
    <row r="605" spans="1:8" x14ac:dyDescent="0.35">
      <c r="A605" s="23">
        <v>1.1777340000000001E-2</v>
      </c>
      <c r="B605" s="23">
        <f t="shared" si="18"/>
        <v>0.24326719999999999</v>
      </c>
      <c r="C605" s="24"/>
      <c r="D605" s="24">
        <f t="shared" si="19"/>
        <v>95.458805031446545</v>
      </c>
      <c r="E605" s="21"/>
      <c r="G605" s="23">
        <v>-0.30355900000000002</v>
      </c>
      <c r="H605" s="23">
        <v>0.24326719999999999</v>
      </c>
    </row>
    <row r="606" spans="1:8" x14ac:dyDescent="0.35">
      <c r="A606" s="23">
        <v>1.1796879999999999E-2</v>
      </c>
      <c r="B606" s="23">
        <f t="shared" si="18"/>
        <v>0.2389879</v>
      </c>
      <c r="C606" s="24"/>
      <c r="D606" s="24">
        <f t="shared" si="19"/>
        <v>93.132389937106907</v>
      </c>
      <c r="E606" s="21"/>
      <c r="G606" s="23">
        <v>-0.29616100000000001</v>
      </c>
      <c r="H606" s="23">
        <v>0.2389879</v>
      </c>
    </row>
    <row r="607" spans="1:8" x14ac:dyDescent="0.35">
      <c r="A607" s="23">
        <v>1.1816409999999999E-2</v>
      </c>
      <c r="B607" s="23">
        <f t="shared" si="18"/>
        <v>0.23328119999999999</v>
      </c>
      <c r="C607" s="24"/>
      <c r="D607" s="24">
        <f t="shared" si="19"/>
        <v>90.42254716981131</v>
      </c>
      <c r="E607" s="21"/>
      <c r="G607" s="23">
        <v>-0.28754370000000001</v>
      </c>
      <c r="H607" s="23">
        <v>0.23328119999999999</v>
      </c>
    </row>
    <row r="608" spans="1:8" x14ac:dyDescent="0.35">
      <c r="A608" s="23">
        <v>1.183594E-2</v>
      </c>
      <c r="B608" s="23">
        <f t="shared" si="18"/>
        <v>0.22746449999999999</v>
      </c>
      <c r="C608" s="24"/>
      <c r="D608" s="24">
        <f t="shared" si="19"/>
        <v>87.157515723270421</v>
      </c>
      <c r="E608" s="21"/>
      <c r="G608" s="23">
        <v>-0.27716089999999999</v>
      </c>
      <c r="H608" s="23">
        <v>0.22746449999999999</v>
      </c>
    </row>
    <row r="609" spans="1:8" x14ac:dyDescent="0.35">
      <c r="A609" s="23">
        <v>1.185547E-2</v>
      </c>
      <c r="B609" s="23">
        <f t="shared" si="18"/>
        <v>0.222995</v>
      </c>
      <c r="C609" s="24"/>
      <c r="D609" s="24">
        <f t="shared" si="19"/>
        <v>84.198930817610062</v>
      </c>
      <c r="E609" s="21"/>
      <c r="G609" s="23">
        <v>-0.26775260000000001</v>
      </c>
      <c r="H609" s="23">
        <v>0.222995</v>
      </c>
    </row>
    <row r="610" spans="1:8" x14ac:dyDescent="0.35">
      <c r="A610" s="23">
        <v>1.1875E-2</v>
      </c>
      <c r="B610" s="23">
        <f t="shared" si="18"/>
        <v>0.21715979999999999</v>
      </c>
      <c r="C610" s="24"/>
      <c r="D610" s="24">
        <f t="shared" si="19"/>
        <v>80.928144654088044</v>
      </c>
      <c r="E610" s="21"/>
      <c r="G610" s="23">
        <v>-0.25735150000000001</v>
      </c>
      <c r="H610" s="23">
        <v>0.21715979999999999</v>
      </c>
    </row>
    <row r="611" spans="1:8" x14ac:dyDescent="0.35">
      <c r="A611" s="23">
        <v>1.189453E-2</v>
      </c>
      <c r="B611" s="23">
        <f t="shared" si="18"/>
        <v>0.2083023</v>
      </c>
      <c r="C611" s="24"/>
      <c r="D611" s="24">
        <f t="shared" si="19"/>
        <v>76.904937106918226</v>
      </c>
      <c r="E611" s="21"/>
      <c r="G611" s="23">
        <v>-0.24455769999999999</v>
      </c>
      <c r="H611" s="23">
        <v>0.2083023</v>
      </c>
    </row>
    <row r="612" spans="1:8" x14ac:dyDescent="0.35">
      <c r="A612" s="23">
        <v>1.1914060000000001E-2</v>
      </c>
      <c r="B612" s="23">
        <f t="shared" si="18"/>
        <v>0.19877139999999999</v>
      </c>
      <c r="C612" s="24"/>
      <c r="D612" s="24">
        <f t="shared" si="19"/>
        <v>72.657610062893085</v>
      </c>
      <c r="E612" s="21"/>
      <c r="G612" s="23">
        <v>-0.23105120000000001</v>
      </c>
      <c r="H612" s="23">
        <v>0.19877139999999999</v>
      </c>
    </row>
    <row r="613" spans="1:8" x14ac:dyDescent="0.35">
      <c r="A613" s="23">
        <v>1.1933590000000001E-2</v>
      </c>
      <c r="B613" s="23">
        <f t="shared" si="18"/>
        <v>0.18870310000000001</v>
      </c>
      <c r="C613" s="24"/>
      <c r="D613" s="24">
        <f t="shared" si="19"/>
        <v>67.954968553459111</v>
      </c>
      <c r="E613" s="21"/>
      <c r="G613" s="23">
        <v>-0.21609680000000001</v>
      </c>
      <c r="H613" s="23">
        <v>0.18870310000000001</v>
      </c>
    </row>
    <row r="614" spans="1:8" x14ac:dyDescent="0.35">
      <c r="A614" s="23">
        <v>1.1953129999999999E-2</v>
      </c>
      <c r="B614" s="23">
        <f t="shared" si="18"/>
        <v>0.17790729999999999</v>
      </c>
      <c r="C614" s="24"/>
      <c r="D614" s="24">
        <f t="shared" si="19"/>
        <v>63.009685534591185</v>
      </c>
      <c r="E614" s="21"/>
      <c r="G614" s="23">
        <v>-0.20037079999999999</v>
      </c>
      <c r="H614" s="23">
        <v>0.17790729999999999</v>
      </c>
    </row>
    <row r="615" spans="1:8" x14ac:dyDescent="0.35">
      <c r="A615" s="23">
        <v>1.197266E-2</v>
      </c>
      <c r="B615" s="23">
        <f t="shared" si="18"/>
        <v>0.16729859999999999</v>
      </c>
      <c r="C615" s="24"/>
      <c r="D615" s="24">
        <f t="shared" si="19"/>
        <v>58.271320754716974</v>
      </c>
      <c r="E615" s="21"/>
      <c r="G615" s="23">
        <v>-0.18530279999999999</v>
      </c>
      <c r="H615" s="23">
        <v>0.16729859999999999</v>
      </c>
    </row>
    <row r="616" spans="1:8" x14ac:dyDescent="0.35">
      <c r="A616" s="23">
        <v>1.199219E-2</v>
      </c>
      <c r="B616" s="23">
        <f t="shared" si="18"/>
        <v>0.1566603</v>
      </c>
      <c r="C616" s="24"/>
      <c r="D616" s="24">
        <f t="shared" si="19"/>
        <v>53.481320754716975</v>
      </c>
      <c r="E616" s="21"/>
      <c r="G616" s="23">
        <v>-0.17007059999999999</v>
      </c>
      <c r="H616" s="23">
        <v>0.1566603</v>
      </c>
    </row>
    <row r="617" spans="1:8" x14ac:dyDescent="0.35">
      <c r="A617" s="23">
        <v>1.201172E-2</v>
      </c>
      <c r="B617" s="23">
        <f t="shared" si="18"/>
        <v>0.14579239999999999</v>
      </c>
      <c r="C617" s="24"/>
      <c r="D617" s="24">
        <f t="shared" si="19"/>
        <v>48.339559748427668</v>
      </c>
      <c r="E617" s="21"/>
      <c r="G617" s="23">
        <v>-0.15371979999999999</v>
      </c>
      <c r="H617" s="23">
        <v>0.14579239999999999</v>
      </c>
    </row>
    <row r="618" spans="1:8" x14ac:dyDescent="0.35">
      <c r="A618" s="23">
        <v>1.203125E-2</v>
      </c>
      <c r="B618" s="23">
        <f t="shared" si="18"/>
        <v>0.13287099999999999</v>
      </c>
      <c r="C618" s="24"/>
      <c r="D618" s="24">
        <f t="shared" si="19"/>
        <v>42.657924528301884</v>
      </c>
      <c r="E618" s="21"/>
      <c r="G618" s="23">
        <v>-0.1356522</v>
      </c>
      <c r="H618" s="23">
        <v>0.13287099999999999</v>
      </c>
    </row>
    <row r="619" spans="1:8" x14ac:dyDescent="0.35">
      <c r="A619" s="23">
        <v>1.2050780000000001E-2</v>
      </c>
      <c r="B619" s="23">
        <f t="shared" si="18"/>
        <v>0.1188071</v>
      </c>
      <c r="C619" s="24"/>
      <c r="D619" s="24">
        <f t="shared" si="19"/>
        <v>36.608427672955976</v>
      </c>
      <c r="E619" s="21"/>
      <c r="G619" s="23">
        <v>-0.1164148</v>
      </c>
      <c r="H619" s="23">
        <v>0.1188071</v>
      </c>
    </row>
    <row r="620" spans="1:8" x14ac:dyDescent="0.35">
      <c r="A620" s="23">
        <v>1.2070310000000001E-2</v>
      </c>
      <c r="B620" s="23">
        <f t="shared" si="18"/>
        <v>0.106257</v>
      </c>
      <c r="C620" s="24"/>
      <c r="D620" s="24">
        <f t="shared" si="19"/>
        <v>30.523572327044022</v>
      </c>
      <c r="E620" s="21"/>
      <c r="G620" s="23">
        <v>-9.7064960000000006E-2</v>
      </c>
      <c r="H620" s="23">
        <v>0.106257</v>
      </c>
    </row>
    <row r="621" spans="1:8" x14ac:dyDescent="0.35">
      <c r="A621" s="23">
        <v>1.2089839999999999E-2</v>
      </c>
      <c r="B621" s="23">
        <f t="shared" si="18"/>
        <v>9.3557130000000002E-2</v>
      </c>
      <c r="C621" s="24"/>
      <c r="D621" s="24">
        <f t="shared" si="19"/>
        <v>24.699289308176098</v>
      </c>
      <c r="E621" s="21"/>
      <c r="G621" s="23">
        <v>-7.8543740000000001E-2</v>
      </c>
      <c r="H621" s="23">
        <v>9.3557130000000002E-2</v>
      </c>
    </row>
    <row r="622" spans="1:8" x14ac:dyDescent="0.35">
      <c r="A622" s="23">
        <v>1.2109379999999999E-2</v>
      </c>
      <c r="B622" s="23">
        <f t="shared" si="18"/>
        <v>8.0845849999999997E-2</v>
      </c>
      <c r="C622" s="24"/>
      <c r="D622" s="24">
        <f t="shared" si="19"/>
        <v>19.127761006289308</v>
      </c>
      <c r="E622" s="21"/>
      <c r="G622" s="23">
        <v>-6.0826280000000003E-2</v>
      </c>
      <c r="H622" s="23">
        <v>8.0845849999999997E-2</v>
      </c>
    </row>
    <row r="623" spans="1:8" x14ac:dyDescent="0.35">
      <c r="A623" s="23">
        <v>1.212891E-2</v>
      </c>
      <c r="B623" s="23">
        <f t="shared" si="18"/>
        <v>6.8783129999999998E-2</v>
      </c>
      <c r="C623" s="24"/>
      <c r="D623" s="24">
        <f t="shared" si="19"/>
        <v>13.085198113207545</v>
      </c>
      <c r="E623" s="21"/>
      <c r="G623" s="23">
        <v>-4.1610929999999997E-2</v>
      </c>
      <c r="H623" s="23">
        <v>6.8783129999999998E-2</v>
      </c>
    </row>
    <row r="624" spans="1:8" x14ac:dyDescent="0.35">
      <c r="A624" s="23">
        <v>1.214844E-2</v>
      </c>
      <c r="B624" s="23">
        <f t="shared" si="18"/>
        <v>5.4986260000000002E-2</v>
      </c>
      <c r="C624" s="24"/>
      <c r="D624" s="24">
        <f t="shared" si="19"/>
        <v>6.6690125786163525</v>
      </c>
      <c r="E624" s="21"/>
      <c r="G624" s="23">
        <v>-2.1207460000000001E-2</v>
      </c>
      <c r="H624" s="23">
        <v>5.4986260000000002E-2</v>
      </c>
    </row>
    <row r="625" spans="1:8" x14ac:dyDescent="0.35">
      <c r="A625" s="23">
        <v>1.216797E-2</v>
      </c>
      <c r="B625" s="23">
        <f t="shared" si="18"/>
        <v>3.9608450000000003E-2</v>
      </c>
      <c r="C625" s="24"/>
      <c r="D625" s="24">
        <f t="shared" si="19"/>
        <v>0.44170974842767297</v>
      </c>
      <c r="E625" s="21"/>
      <c r="G625" s="23">
        <v>-1.404637E-3</v>
      </c>
      <c r="H625" s="23">
        <v>3.9608450000000003E-2</v>
      </c>
    </row>
    <row r="626" spans="1:8" x14ac:dyDescent="0.35">
      <c r="A626" s="23">
        <v>1.21875E-2</v>
      </c>
      <c r="B626" s="23">
        <f t="shared" si="18"/>
        <v>2.477188E-2</v>
      </c>
      <c r="C626" s="24"/>
      <c r="D626" s="24">
        <f t="shared" si="19"/>
        <v>-5.9063805031446535</v>
      </c>
      <c r="E626" s="21"/>
      <c r="G626" s="23">
        <v>1.878229E-2</v>
      </c>
      <c r="H626" s="23">
        <v>2.477188E-2</v>
      </c>
    </row>
    <row r="627" spans="1:8" x14ac:dyDescent="0.35">
      <c r="A627" s="23">
        <v>1.2207030000000001E-2</v>
      </c>
      <c r="B627" s="23">
        <f t="shared" si="18"/>
        <v>8.7390239999999998E-3</v>
      </c>
      <c r="C627" s="24"/>
      <c r="D627" s="24">
        <f t="shared" si="19"/>
        <v>-12.326050314465407</v>
      </c>
      <c r="E627" s="21"/>
      <c r="G627" s="23">
        <v>3.9196839999999997E-2</v>
      </c>
      <c r="H627" s="23">
        <v>8.7390239999999998E-3</v>
      </c>
    </row>
    <row r="628" spans="1:8" x14ac:dyDescent="0.35">
      <c r="A628" s="23">
        <v>1.2226559999999999E-2</v>
      </c>
      <c r="B628" s="23">
        <f t="shared" si="18"/>
        <v>-8.6189409999999998E-3</v>
      </c>
      <c r="C628" s="24"/>
      <c r="D628" s="24">
        <f t="shared" si="19"/>
        <v>-18.593235849056601</v>
      </c>
      <c r="E628" s="21"/>
      <c r="G628" s="23">
        <v>5.9126489999999997E-2</v>
      </c>
      <c r="H628" s="23">
        <v>-8.6189409999999998E-3</v>
      </c>
    </row>
    <row r="629" spans="1:8" x14ac:dyDescent="0.35">
      <c r="A629" s="23">
        <v>1.2246089999999999E-2</v>
      </c>
      <c r="B629" s="23">
        <f t="shared" si="18"/>
        <v>-2.5895640000000001E-2</v>
      </c>
      <c r="C629" s="24"/>
      <c r="D629" s="24">
        <f t="shared" si="19"/>
        <v>-24.589773584905661</v>
      </c>
      <c r="E629" s="21"/>
      <c r="G629" s="23">
        <v>7.8195479999999998E-2</v>
      </c>
      <c r="H629" s="23">
        <v>-2.5895640000000001E-2</v>
      </c>
    </row>
    <row r="630" spans="1:8" x14ac:dyDescent="0.35">
      <c r="A630" s="23">
        <v>1.226563E-2</v>
      </c>
      <c r="B630" s="23">
        <f t="shared" si="18"/>
        <v>-4.3401420000000003E-2</v>
      </c>
      <c r="C630" s="24"/>
      <c r="D630" s="24">
        <f t="shared" si="19"/>
        <v>-30.143235849056602</v>
      </c>
      <c r="E630" s="21"/>
      <c r="G630" s="23">
        <v>9.5855490000000002E-2</v>
      </c>
      <c r="H630" s="23">
        <v>-4.3401420000000003E-2</v>
      </c>
    </row>
    <row r="631" spans="1:8" x14ac:dyDescent="0.35">
      <c r="A631" s="23">
        <v>1.228516E-2</v>
      </c>
      <c r="B631" s="23">
        <f t="shared" si="18"/>
        <v>-6.1143089999999997E-2</v>
      </c>
      <c r="C631" s="24"/>
      <c r="D631" s="24">
        <f t="shared" si="19"/>
        <v>-35.908899371069175</v>
      </c>
      <c r="E631" s="21"/>
      <c r="G631" s="23">
        <v>0.11419029999999999</v>
      </c>
      <c r="H631" s="23">
        <v>-6.1143089999999997E-2</v>
      </c>
    </row>
    <row r="632" spans="1:8" x14ac:dyDescent="0.35">
      <c r="A632" s="23">
        <v>1.230469E-2</v>
      </c>
      <c r="B632" s="23">
        <f t="shared" si="18"/>
        <v>-8.0618860000000001E-2</v>
      </c>
      <c r="C632" s="24"/>
      <c r="D632" s="24">
        <f t="shared" si="19"/>
        <v>-41.975125786163524</v>
      </c>
      <c r="E632" s="21"/>
      <c r="G632" s="23">
        <v>0.13348090000000001</v>
      </c>
      <c r="H632" s="23">
        <v>-8.0618860000000001E-2</v>
      </c>
    </row>
    <row r="633" spans="1:8" x14ac:dyDescent="0.35">
      <c r="A633" s="23">
        <v>1.232422E-2</v>
      </c>
      <c r="B633" s="23">
        <f t="shared" si="18"/>
        <v>-0.10036929999999999</v>
      </c>
      <c r="C633" s="24"/>
      <c r="D633" s="24">
        <f t="shared" si="19"/>
        <v>-47.610723270440253</v>
      </c>
      <c r="E633" s="21"/>
      <c r="G633" s="23">
        <v>0.15140210000000001</v>
      </c>
      <c r="H633" s="23">
        <v>-0.10036929999999999</v>
      </c>
    </row>
    <row r="634" spans="1:8" x14ac:dyDescent="0.35">
      <c r="A634" s="23">
        <v>1.2343750000000001E-2</v>
      </c>
      <c r="B634" s="23">
        <f t="shared" si="18"/>
        <v>-0.1195575</v>
      </c>
      <c r="C634" s="24"/>
      <c r="D634" s="24">
        <f t="shared" si="19"/>
        <v>-53.116509433962257</v>
      </c>
      <c r="E634" s="21"/>
      <c r="G634" s="23">
        <v>0.16891049999999999</v>
      </c>
      <c r="H634" s="23">
        <v>-0.1195575</v>
      </c>
    </row>
    <row r="635" spans="1:8" x14ac:dyDescent="0.35">
      <c r="A635" s="23">
        <v>1.2363280000000001E-2</v>
      </c>
      <c r="B635" s="23">
        <f t="shared" si="18"/>
        <v>-0.13850180000000001</v>
      </c>
      <c r="C635" s="24"/>
      <c r="D635" s="24">
        <f t="shared" si="19"/>
        <v>-58.525283018867924</v>
      </c>
      <c r="E635" s="21"/>
      <c r="G635" s="23">
        <v>0.18611040000000001</v>
      </c>
      <c r="H635" s="23">
        <v>-0.13850180000000001</v>
      </c>
    </row>
    <row r="636" spans="1:8" x14ac:dyDescent="0.35">
      <c r="A636" s="23">
        <v>1.2382809999999999E-2</v>
      </c>
      <c r="B636" s="23">
        <f t="shared" si="18"/>
        <v>-0.15473629999999999</v>
      </c>
      <c r="C636" s="24"/>
      <c r="D636" s="24">
        <f t="shared" si="19"/>
        <v>-63.177704402515722</v>
      </c>
      <c r="E636" s="21"/>
      <c r="G636" s="23">
        <v>0.2009051</v>
      </c>
      <c r="H636" s="23">
        <v>-0.15473629999999999</v>
      </c>
    </row>
    <row r="637" spans="1:8" x14ac:dyDescent="0.35">
      <c r="A637" s="23">
        <v>1.240234E-2</v>
      </c>
      <c r="B637" s="23">
        <f t="shared" si="18"/>
        <v>-0.1703498</v>
      </c>
      <c r="C637" s="24"/>
      <c r="D637" s="24">
        <f t="shared" si="19"/>
        <v>-67.901761006289306</v>
      </c>
      <c r="E637" s="21"/>
      <c r="G637" s="23">
        <v>0.2159276</v>
      </c>
      <c r="H637" s="23">
        <v>-0.1703498</v>
      </c>
    </row>
    <row r="638" spans="1:8" x14ac:dyDescent="0.35">
      <c r="A638" s="23">
        <v>1.242188E-2</v>
      </c>
      <c r="B638" s="23">
        <f t="shared" si="18"/>
        <v>-0.18551860000000001</v>
      </c>
      <c r="C638" s="24"/>
      <c r="D638" s="24">
        <f t="shared" si="19"/>
        <v>-72.987106918238993</v>
      </c>
      <c r="E638" s="21"/>
      <c r="G638" s="23">
        <v>0.232099</v>
      </c>
      <c r="H638" s="23">
        <v>-0.18551860000000001</v>
      </c>
    </row>
    <row r="639" spans="1:8" x14ac:dyDescent="0.35">
      <c r="A639" s="23">
        <v>1.244141E-2</v>
      </c>
      <c r="B639" s="23">
        <f t="shared" si="18"/>
        <v>-0.19835949999999999</v>
      </c>
      <c r="C639" s="24"/>
      <c r="D639" s="24">
        <f t="shared" si="19"/>
        <v>-77.271886792452818</v>
      </c>
      <c r="E639" s="21"/>
      <c r="G639" s="23">
        <v>0.24572459999999999</v>
      </c>
      <c r="H639" s="23">
        <v>-0.19835949999999999</v>
      </c>
    </row>
    <row r="640" spans="1:8" x14ac:dyDescent="0.35">
      <c r="A640" s="23">
        <v>1.246094E-2</v>
      </c>
      <c r="B640" s="23">
        <f t="shared" si="18"/>
        <v>-0.20954030000000001</v>
      </c>
      <c r="C640" s="24"/>
      <c r="D640" s="24">
        <f t="shared" si="19"/>
        <v>-81.035754716981145</v>
      </c>
      <c r="E640" s="21"/>
      <c r="G640" s="23">
        <v>0.25769370000000003</v>
      </c>
      <c r="H640" s="23">
        <v>-0.20954030000000001</v>
      </c>
    </row>
    <row r="641" spans="1:8" x14ac:dyDescent="0.35">
      <c r="A641" s="23">
        <v>1.248047E-2</v>
      </c>
      <c r="B641" s="23">
        <f t="shared" si="18"/>
        <v>-0.21939649999999999</v>
      </c>
      <c r="C641" s="24"/>
      <c r="D641" s="24">
        <f t="shared" si="19"/>
        <v>-84.748333333333335</v>
      </c>
      <c r="E641" s="21"/>
      <c r="G641" s="23">
        <v>0.26949970000000001</v>
      </c>
      <c r="H641" s="23">
        <v>-0.21939649999999999</v>
      </c>
    </row>
    <row r="642" spans="1:8" x14ac:dyDescent="0.35">
      <c r="A642" s="23">
        <v>1.2500000000000001E-2</v>
      </c>
      <c r="B642" s="23">
        <f t="shared" ref="B642:B705" si="20">H642</f>
        <v>-0.22929849999999999</v>
      </c>
      <c r="C642" s="24"/>
      <c r="D642" s="24">
        <f t="shared" ref="D642:D705" si="21">G642*-1000/3.18</f>
        <v>-88.202201257861631</v>
      </c>
      <c r="E642" s="21"/>
      <c r="G642" s="23">
        <v>0.28048299999999998</v>
      </c>
      <c r="H642" s="23">
        <v>-0.22929849999999999</v>
      </c>
    </row>
    <row r="643" spans="1:8" x14ac:dyDescent="0.35">
      <c r="A643" s="23">
        <v>1.2519529999999999E-2</v>
      </c>
      <c r="B643" s="23">
        <f t="shared" si="20"/>
        <v>-0.23796919999999999</v>
      </c>
      <c r="C643" s="24"/>
      <c r="D643" s="24">
        <f t="shared" si="21"/>
        <v>-91.308773584905651</v>
      </c>
      <c r="E643" s="21"/>
      <c r="G643" s="23">
        <v>0.29036190000000001</v>
      </c>
      <c r="H643" s="23">
        <v>-0.23796919999999999</v>
      </c>
    </row>
    <row r="644" spans="1:8" x14ac:dyDescent="0.35">
      <c r="A644" s="23">
        <v>1.2539059999999999E-2</v>
      </c>
      <c r="B644" s="23">
        <f t="shared" si="20"/>
        <v>-0.24513199999999999</v>
      </c>
      <c r="C644" s="24"/>
      <c r="D644" s="24">
        <f t="shared" si="21"/>
        <v>-94.044716981132083</v>
      </c>
      <c r="E644" s="21"/>
      <c r="G644" s="23">
        <v>0.2990622</v>
      </c>
      <c r="H644" s="23">
        <v>-0.24513199999999999</v>
      </c>
    </row>
    <row r="645" spans="1:8" x14ac:dyDescent="0.35">
      <c r="A645" s="23">
        <v>1.255859E-2</v>
      </c>
      <c r="B645" s="23">
        <f t="shared" si="20"/>
        <v>-0.2525367</v>
      </c>
      <c r="C645" s="24"/>
      <c r="D645" s="24">
        <f t="shared" si="21"/>
        <v>-96.651981132075463</v>
      </c>
      <c r="E645" s="21"/>
      <c r="G645" s="23">
        <v>0.3073533</v>
      </c>
      <c r="H645" s="23">
        <v>-0.2525367</v>
      </c>
    </row>
    <row r="646" spans="1:8" x14ac:dyDescent="0.35">
      <c r="A646" s="23">
        <v>1.257813E-2</v>
      </c>
      <c r="B646" s="23">
        <f t="shared" si="20"/>
        <v>-0.25874380000000002</v>
      </c>
      <c r="C646" s="24"/>
      <c r="D646" s="24">
        <f t="shared" si="21"/>
        <v>-98.824339622641517</v>
      </c>
      <c r="E646" s="21"/>
      <c r="G646" s="23">
        <v>0.31426140000000002</v>
      </c>
      <c r="H646" s="23">
        <v>-0.25874380000000002</v>
      </c>
    </row>
    <row r="647" spans="1:8" x14ac:dyDescent="0.35">
      <c r="A647" s="23">
        <v>1.259766E-2</v>
      </c>
      <c r="B647" s="23">
        <f t="shared" si="20"/>
        <v>-0.26381650000000001</v>
      </c>
      <c r="C647" s="24"/>
      <c r="D647" s="24">
        <f t="shared" si="21"/>
        <v>-100.51298742138364</v>
      </c>
      <c r="E647" s="21"/>
      <c r="G647" s="23">
        <v>0.31963130000000001</v>
      </c>
      <c r="H647" s="23">
        <v>-0.26381650000000001</v>
      </c>
    </row>
    <row r="648" spans="1:8" x14ac:dyDescent="0.35">
      <c r="A648" s="23">
        <v>1.261719E-2</v>
      </c>
      <c r="B648" s="23">
        <f t="shared" si="20"/>
        <v>-0.26828629999999998</v>
      </c>
      <c r="C648" s="24"/>
      <c r="D648" s="24">
        <f t="shared" si="21"/>
        <v>-101.9812578616352</v>
      </c>
      <c r="E648" s="21"/>
      <c r="G648" s="23">
        <v>0.32430039999999999</v>
      </c>
      <c r="H648" s="23">
        <v>-0.26828629999999998</v>
      </c>
    </row>
    <row r="649" spans="1:8" x14ac:dyDescent="0.35">
      <c r="A649" s="23">
        <v>1.2636720000000001E-2</v>
      </c>
      <c r="B649" s="23">
        <f t="shared" si="20"/>
        <v>-0.27087810000000001</v>
      </c>
      <c r="C649" s="24"/>
      <c r="D649" s="24">
        <f t="shared" si="21"/>
        <v>-102.7559433962264</v>
      </c>
      <c r="E649" s="21"/>
      <c r="G649" s="23">
        <v>0.3267639</v>
      </c>
      <c r="H649" s="23">
        <v>-0.27087810000000001</v>
      </c>
    </row>
    <row r="650" spans="1:8" x14ac:dyDescent="0.35">
      <c r="A650" s="23">
        <v>1.2656250000000001E-2</v>
      </c>
      <c r="B650" s="23">
        <f t="shared" si="20"/>
        <v>-0.27178170000000001</v>
      </c>
      <c r="C650" s="24"/>
      <c r="D650" s="24">
        <f t="shared" si="21"/>
        <v>-103.0158176100629</v>
      </c>
      <c r="E650" s="21"/>
      <c r="G650" s="23">
        <v>0.3275903</v>
      </c>
      <c r="H650" s="23">
        <v>-0.27178170000000001</v>
      </c>
    </row>
    <row r="651" spans="1:8" x14ac:dyDescent="0.35">
      <c r="A651" s="23">
        <v>1.2675779999999999E-2</v>
      </c>
      <c r="B651" s="23">
        <f t="shared" si="20"/>
        <v>-0.27266420000000002</v>
      </c>
      <c r="C651" s="24"/>
      <c r="D651" s="24">
        <f t="shared" si="21"/>
        <v>-103.30339622641509</v>
      </c>
      <c r="E651" s="21"/>
      <c r="G651" s="23">
        <v>0.32850479999999999</v>
      </c>
      <c r="H651" s="23">
        <v>-0.27266420000000002</v>
      </c>
    </row>
    <row r="652" spans="1:8" x14ac:dyDescent="0.35">
      <c r="A652" s="23">
        <v>1.269531E-2</v>
      </c>
      <c r="B652" s="23">
        <f t="shared" si="20"/>
        <v>-0.27350380000000002</v>
      </c>
      <c r="C652" s="24"/>
      <c r="D652" s="24">
        <f t="shared" si="21"/>
        <v>-103.32889937106917</v>
      </c>
      <c r="E652" s="21"/>
      <c r="G652" s="23">
        <v>0.32858589999999999</v>
      </c>
      <c r="H652" s="23">
        <v>-0.27350380000000002</v>
      </c>
    </row>
    <row r="653" spans="1:8" x14ac:dyDescent="0.35">
      <c r="A653" s="23">
        <v>1.271484E-2</v>
      </c>
      <c r="B653" s="23">
        <f t="shared" si="20"/>
        <v>-0.27274140000000002</v>
      </c>
      <c r="C653" s="24"/>
      <c r="D653" s="24">
        <f t="shared" si="21"/>
        <v>-102.87528301886792</v>
      </c>
      <c r="E653" s="21"/>
      <c r="G653" s="23">
        <v>0.32714339999999997</v>
      </c>
      <c r="H653" s="23">
        <v>-0.27274140000000002</v>
      </c>
    </row>
    <row r="654" spans="1:8" x14ac:dyDescent="0.35">
      <c r="A654" s="23">
        <v>1.273438E-2</v>
      </c>
      <c r="B654" s="23">
        <f t="shared" si="20"/>
        <v>-0.27037889999999998</v>
      </c>
      <c r="C654" s="24"/>
      <c r="D654" s="24">
        <f t="shared" si="21"/>
        <v>-101.88084905660378</v>
      </c>
      <c r="E654" s="21"/>
      <c r="G654" s="23">
        <v>0.32398110000000002</v>
      </c>
      <c r="H654" s="23">
        <v>-0.27037889999999998</v>
      </c>
    </row>
    <row r="655" spans="1:8" x14ac:dyDescent="0.35">
      <c r="A655" s="23">
        <v>1.275391E-2</v>
      </c>
      <c r="B655" s="23">
        <f t="shared" si="20"/>
        <v>-0.2662948</v>
      </c>
      <c r="C655" s="24"/>
      <c r="D655" s="24">
        <f t="shared" si="21"/>
        <v>-100.08427672955973</v>
      </c>
      <c r="E655" s="21"/>
      <c r="G655" s="23">
        <v>0.318268</v>
      </c>
      <c r="H655" s="23">
        <v>-0.2662948</v>
      </c>
    </row>
    <row r="656" spans="1:8" x14ac:dyDescent="0.35">
      <c r="A656" s="23">
        <v>1.277344E-2</v>
      </c>
      <c r="B656" s="23">
        <f t="shared" si="20"/>
        <v>-0.26145679999999999</v>
      </c>
      <c r="C656" s="24"/>
      <c r="D656" s="24">
        <f t="shared" si="21"/>
        <v>-98.091320754716989</v>
      </c>
      <c r="E656" s="21"/>
      <c r="G656" s="23">
        <v>0.3119304</v>
      </c>
      <c r="H656" s="23">
        <v>-0.26145679999999999</v>
      </c>
    </row>
    <row r="657" spans="1:8" x14ac:dyDescent="0.35">
      <c r="A657" s="23">
        <v>1.2792970000000001E-2</v>
      </c>
      <c r="B657" s="23">
        <f t="shared" si="20"/>
        <v>-0.25686049999999999</v>
      </c>
      <c r="C657" s="24"/>
      <c r="D657" s="24">
        <f t="shared" si="21"/>
        <v>-96.046163522012577</v>
      </c>
      <c r="E657" s="21"/>
      <c r="G657" s="23">
        <v>0.3054268</v>
      </c>
      <c r="H657" s="23">
        <v>-0.25686049999999999</v>
      </c>
    </row>
    <row r="658" spans="1:8" x14ac:dyDescent="0.35">
      <c r="A658" s="23">
        <v>1.2812499999999999E-2</v>
      </c>
      <c r="B658" s="23">
        <f t="shared" si="20"/>
        <v>-0.25138779999999999</v>
      </c>
      <c r="C658" s="24"/>
      <c r="D658" s="24">
        <f t="shared" si="21"/>
        <v>-93.471257861635223</v>
      </c>
      <c r="E658" s="21"/>
      <c r="G658" s="23">
        <v>0.29723860000000002</v>
      </c>
      <c r="H658" s="23">
        <v>-0.25138779999999999</v>
      </c>
    </row>
    <row r="659" spans="1:8" x14ac:dyDescent="0.35">
      <c r="A659" s="23">
        <v>1.2832029999999999E-2</v>
      </c>
      <c r="B659" s="23">
        <f t="shared" si="20"/>
        <v>-0.24527940000000001</v>
      </c>
      <c r="C659" s="24"/>
      <c r="D659" s="24">
        <f t="shared" si="21"/>
        <v>-90.907798742138354</v>
      </c>
      <c r="E659" s="21"/>
      <c r="G659" s="23">
        <v>0.28908679999999998</v>
      </c>
      <c r="H659" s="23">
        <v>-0.24527940000000001</v>
      </c>
    </row>
    <row r="660" spans="1:8" x14ac:dyDescent="0.35">
      <c r="A660" s="23">
        <v>1.285156E-2</v>
      </c>
      <c r="B660" s="23">
        <f t="shared" si="20"/>
        <v>-0.237735</v>
      </c>
      <c r="C660" s="24"/>
      <c r="D660" s="24">
        <f t="shared" si="21"/>
        <v>-87.778270440251575</v>
      </c>
      <c r="E660" s="21"/>
      <c r="G660" s="23">
        <v>0.27913490000000002</v>
      </c>
      <c r="H660" s="23">
        <v>-0.237735</v>
      </c>
    </row>
    <row r="661" spans="1:8" x14ac:dyDescent="0.35">
      <c r="A661" s="23">
        <v>1.287109E-2</v>
      </c>
      <c r="B661" s="23">
        <f t="shared" si="20"/>
        <v>-0.22826150000000001</v>
      </c>
      <c r="C661" s="24"/>
      <c r="D661" s="24">
        <f t="shared" si="21"/>
        <v>-83.65877358490566</v>
      </c>
      <c r="E661" s="21"/>
      <c r="G661" s="23">
        <v>0.26603490000000002</v>
      </c>
      <c r="H661" s="23">
        <v>-0.22826150000000001</v>
      </c>
    </row>
    <row r="662" spans="1:8" x14ac:dyDescent="0.35">
      <c r="A662" s="23">
        <v>1.289063E-2</v>
      </c>
      <c r="B662" s="23">
        <f t="shared" si="20"/>
        <v>-0.2184104</v>
      </c>
      <c r="C662" s="24"/>
      <c r="D662" s="24">
        <f t="shared" si="21"/>
        <v>-79.58789308176101</v>
      </c>
      <c r="E662" s="21"/>
      <c r="G662" s="23">
        <v>0.25308950000000002</v>
      </c>
      <c r="H662" s="23">
        <v>-0.2184104</v>
      </c>
    </row>
    <row r="663" spans="1:8" x14ac:dyDescent="0.35">
      <c r="A663" s="23">
        <v>1.291016E-2</v>
      </c>
      <c r="B663" s="23">
        <f t="shared" si="20"/>
        <v>-0.2076916</v>
      </c>
      <c r="C663" s="24"/>
      <c r="D663" s="24">
        <f t="shared" si="21"/>
        <v>-75.252547169811322</v>
      </c>
      <c r="E663" s="21"/>
      <c r="G663" s="23">
        <v>0.23930309999999999</v>
      </c>
      <c r="H663" s="23">
        <v>-0.2076916</v>
      </c>
    </row>
    <row r="664" spans="1:8" x14ac:dyDescent="0.35">
      <c r="A664" s="23">
        <v>1.2929690000000001E-2</v>
      </c>
      <c r="B664" s="23">
        <f t="shared" si="20"/>
        <v>-0.1968396</v>
      </c>
      <c r="C664" s="24"/>
      <c r="D664" s="24">
        <f t="shared" si="21"/>
        <v>-70.673867924528295</v>
      </c>
      <c r="E664" s="21"/>
      <c r="G664" s="23">
        <v>0.2247429</v>
      </c>
      <c r="H664" s="23">
        <v>-0.1968396</v>
      </c>
    </row>
    <row r="665" spans="1:8" x14ac:dyDescent="0.35">
      <c r="A665" s="23">
        <v>1.2949219999999999E-2</v>
      </c>
      <c r="B665" s="23">
        <f t="shared" si="20"/>
        <v>-0.1864461</v>
      </c>
      <c r="C665" s="24"/>
      <c r="D665" s="24">
        <f t="shared" si="21"/>
        <v>-66.252578616352196</v>
      </c>
      <c r="E665" s="21"/>
      <c r="G665" s="23">
        <v>0.21068319999999999</v>
      </c>
      <c r="H665" s="23">
        <v>-0.1864461</v>
      </c>
    </row>
    <row r="666" spans="1:8" x14ac:dyDescent="0.35">
      <c r="A666" s="23">
        <v>1.2968749999999999E-2</v>
      </c>
      <c r="B666" s="23">
        <f t="shared" si="20"/>
        <v>-0.17391680000000001</v>
      </c>
      <c r="C666" s="24"/>
      <c r="D666" s="24">
        <f t="shared" si="21"/>
        <v>-61.073805031446533</v>
      </c>
      <c r="E666" s="21"/>
      <c r="G666" s="23">
        <v>0.19421469999999999</v>
      </c>
      <c r="H666" s="23">
        <v>-0.17391680000000001</v>
      </c>
    </row>
    <row r="667" spans="1:8" x14ac:dyDescent="0.35">
      <c r="A667" s="23">
        <v>1.298828E-2</v>
      </c>
      <c r="B667" s="23">
        <f t="shared" si="20"/>
        <v>-0.15931719999999999</v>
      </c>
      <c r="C667" s="24"/>
      <c r="D667" s="24">
        <f t="shared" si="21"/>
        <v>-55.229937106918229</v>
      </c>
      <c r="E667" s="21"/>
      <c r="G667" s="23">
        <v>0.17563119999999999</v>
      </c>
      <c r="H667" s="23">
        <v>-0.15931719999999999</v>
      </c>
    </row>
    <row r="668" spans="1:8" x14ac:dyDescent="0.35">
      <c r="A668" s="23">
        <v>1.300781E-2</v>
      </c>
      <c r="B668" s="23">
        <f t="shared" si="20"/>
        <v>-0.14441319999999999</v>
      </c>
      <c r="C668" s="24"/>
      <c r="D668" s="24">
        <f t="shared" si="21"/>
        <v>-49.333647798742135</v>
      </c>
      <c r="E668" s="21"/>
      <c r="G668" s="23">
        <v>0.15688099999999999</v>
      </c>
      <c r="H668" s="23">
        <v>-0.14441319999999999</v>
      </c>
    </row>
    <row r="669" spans="1:8" x14ac:dyDescent="0.35">
      <c r="A669" s="23">
        <v>1.302734E-2</v>
      </c>
      <c r="B669" s="23">
        <f t="shared" si="20"/>
        <v>-0.1293589</v>
      </c>
      <c r="C669" s="24"/>
      <c r="D669" s="24">
        <f t="shared" si="21"/>
        <v>-43.322452830188674</v>
      </c>
      <c r="E669" s="21"/>
      <c r="G669" s="23">
        <v>0.13776540000000001</v>
      </c>
      <c r="H669" s="23">
        <v>-0.1293589</v>
      </c>
    </row>
    <row r="670" spans="1:8" x14ac:dyDescent="0.35">
      <c r="A670" s="23">
        <v>1.304687E-2</v>
      </c>
      <c r="B670" s="23">
        <f t="shared" si="20"/>
        <v>-0.1147238</v>
      </c>
      <c r="C670" s="24"/>
      <c r="D670" s="24">
        <f t="shared" si="21"/>
        <v>-37.377327044025158</v>
      </c>
      <c r="E670" s="21"/>
      <c r="G670" s="23">
        <v>0.1188599</v>
      </c>
      <c r="H670" s="23">
        <v>-0.1147238</v>
      </c>
    </row>
    <row r="671" spans="1:8" x14ac:dyDescent="0.35">
      <c r="A671" s="23">
        <v>1.3066410000000001E-2</v>
      </c>
      <c r="B671" s="23">
        <f t="shared" si="20"/>
        <v>-9.9795480000000006E-2</v>
      </c>
      <c r="C671" s="24"/>
      <c r="D671" s="24">
        <f t="shared" si="21"/>
        <v>-31.325836477987419</v>
      </c>
      <c r="E671" s="21"/>
      <c r="G671" s="23">
        <v>9.9616159999999995E-2</v>
      </c>
      <c r="H671" s="23">
        <v>-9.9795480000000006E-2</v>
      </c>
    </row>
    <row r="672" spans="1:8" x14ac:dyDescent="0.35">
      <c r="A672" s="23">
        <v>1.3085940000000001E-2</v>
      </c>
      <c r="B672" s="23">
        <f t="shared" si="20"/>
        <v>-8.4006020000000001E-2</v>
      </c>
      <c r="C672" s="24"/>
      <c r="D672" s="24">
        <f t="shared" si="21"/>
        <v>-25.021396226415096</v>
      </c>
      <c r="E672" s="21"/>
      <c r="G672" s="23">
        <v>7.9568040000000007E-2</v>
      </c>
      <c r="H672" s="23">
        <v>-8.4006020000000001E-2</v>
      </c>
    </row>
    <row r="673" spans="1:8" x14ac:dyDescent="0.35">
      <c r="A673" s="23">
        <v>1.3105469999999999E-2</v>
      </c>
      <c r="B673" s="23">
        <f t="shared" si="20"/>
        <v>-6.7704940000000005E-2</v>
      </c>
      <c r="C673" s="24"/>
      <c r="D673" s="24">
        <f t="shared" si="21"/>
        <v>-18.616034591194968</v>
      </c>
      <c r="E673" s="21"/>
      <c r="G673" s="23">
        <v>5.919899E-2</v>
      </c>
      <c r="H673" s="23">
        <v>-6.7704940000000005E-2</v>
      </c>
    </row>
    <row r="674" spans="1:8" x14ac:dyDescent="0.35">
      <c r="A674" s="23">
        <v>1.3125E-2</v>
      </c>
      <c r="B674" s="23">
        <f t="shared" si="20"/>
        <v>-5.0457259999999997E-2</v>
      </c>
      <c r="C674" s="24"/>
      <c r="D674" s="24">
        <f t="shared" si="21"/>
        <v>-11.822352201257862</v>
      </c>
      <c r="E674" s="21"/>
      <c r="G674" s="23">
        <v>3.7595080000000003E-2</v>
      </c>
      <c r="H674" s="23">
        <v>-5.0457259999999997E-2</v>
      </c>
    </row>
    <row r="675" spans="1:8" x14ac:dyDescent="0.35">
      <c r="A675" s="23">
        <v>1.314453E-2</v>
      </c>
      <c r="B675" s="23">
        <f t="shared" si="20"/>
        <v>-3.3731459999999998E-2</v>
      </c>
      <c r="C675" s="24"/>
      <c r="D675" s="24">
        <f t="shared" si="21"/>
        <v>-5.1672610062893085</v>
      </c>
      <c r="E675" s="21"/>
      <c r="G675" s="23">
        <v>1.6431890000000001E-2</v>
      </c>
      <c r="H675" s="23">
        <v>-3.3731459999999998E-2</v>
      </c>
    </row>
    <row r="676" spans="1:8" x14ac:dyDescent="0.35">
      <c r="A676" s="23">
        <v>1.316406E-2</v>
      </c>
      <c r="B676" s="23">
        <f t="shared" si="20"/>
        <v>-1.774657E-2</v>
      </c>
      <c r="C676" s="24"/>
      <c r="D676" s="24">
        <f t="shared" si="21"/>
        <v>1.0919625786163523</v>
      </c>
      <c r="E676" s="21"/>
      <c r="G676" s="23">
        <v>-3.4724410000000002E-3</v>
      </c>
      <c r="H676" s="23">
        <v>-1.774657E-2</v>
      </c>
    </row>
    <row r="677" spans="1:8" x14ac:dyDescent="0.35">
      <c r="A677" s="23">
        <v>1.318359E-2</v>
      </c>
      <c r="B677" s="23">
        <f t="shared" si="20"/>
        <v>-1.3220230000000001E-3</v>
      </c>
      <c r="C677" s="24"/>
      <c r="D677" s="24">
        <f t="shared" si="21"/>
        <v>7.6207106918238994</v>
      </c>
      <c r="E677" s="21"/>
      <c r="G677" s="23">
        <v>-2.4233859999999999E-2</v>
      </c>
      <c r="H677" s="23">
        <v>-1.3220230000000001E-3</v>
      </c>
    </row>
    <row r="678" spans="1:8" x14ac:dyDescent="0.35">
      <c r="A678" s="23">
        <v>1.320312E-2</v>
      </c>
      <c r="B678" s="23">
        <f t="shared" si="20"/>
        <v>1.466261E-2</v>
      </c>
      <c r="C678" s="24"/>
      <c r="D678" s="24">
        <f t="shared" si="21"/>
        <v>13.917471698113205</v>
      </c>
      <c r="E678" s="21"/>
      <c r="G678" s="23">
        <v>-4.4257560000000001E-2</v>
      </c>
      <c r="H678" s="23">
        <v>1.466261E-2</v>
      </c>
    </row>
    <row r="679" spans="1:8" x14ac:dyDescent="0.35">
      <c r="A679" s="23">
        <v>1.3222660000000001E-2</v>
      </c>
      <c r="B679" s="23">
        <f t="shared" si="20"/>
        <v>3.055681E-2</v>
      </c>
      <c r="C679" s="24"/>
      <c r="D679" s="24">
        <f t="shared" si="21"/>
        <v>20.119452830188678</v>
      </c>
      <c r="E679" s="21"/>
      <c r="G679" s="23">
        <v>-6.397986E-2</v>
      </c>
      <c r="H679" s="23">
        <v>3.055681E-2</v>
      </c>
    </row>
    <row r="680" spans="1:8" x14ac:dyDescent="0.35">
      <c r="A680" s="23">
        <v>1.3242189999999999E-2</v>
      </c>
      <c r="B680" s="23">
        <f t="shared" si="20"/>
        <v>4.7570260000000003E-2</v>
      </c>
      <c r="C680" s="24"/>
      <c r="D680" s="24">
        <f t="shared" si="21"/>
        <v>26.824606918238992</v>
      </c>
      <c r="E680" s="21"/>
      <c r="G680" s="23">
        <v>-8.5302249999999996E-2</v>
      </c>
      <c r="H680" s="23">
        <v>4.7570260000000003E-2</v>
      </c>
    </row>
    <row r="681" spans="1:8" x14ac:dyDescent="0.35">
      <c r="A681" s="23">
        <v>1.3261719999999999E-2</v>
      </c>
      <c r="B681" s="23">
        <f t="shared" si="20"/>
        <v>6.4414230000000003E-2</v>
      </c>
      <c r="C681" s="24"/>
      <c r="D681" s="24">
        <f t="shared" si="21"/>
        <v>33.116729559748428</v>
      </c>
      <c r="E681" s="21"/>
      <c r="G681" s="23">
        <v>-0.10531119999999999</v>
      </c>
      <c r="H681" s="23">
        <v>6.4414230000000003E-2</v>
      </c>
    </row>
    <row r="682" spans="1:8" x14ac:dyDescent="0.35">
      <c r="A682" s="23">
        <v>1.328125E-2</v>
      </c>
      <c r="B682" s="23">
        <f t="shared" si="20"/>
        <v>7.9551440000000001E-2</v>
      </c>
      <c r="C682" s="24"/>
      <c r="D682" s="24">
        <f t="shared" si="21"/>
        <v>38.816257861635215</v>
      </c>
      <c r="E682" s="21"/>
      <c r="G682" s="23">
        <v>-0.1234357</v>
      </c>
      <c r="H682" s="23">
        <v>7.9551440000000001E-2</v>
      </c>
    </row>
    <row r="683" spans="1:8" x14ac:dyDescent="0.35">
      <c r="A683" s="23">
        <v>1.330078E-2</v>
      </c>
      <c r="B683" s="23">
        <f t="shared" si="20"/>
        <v>9.4568449999999998E-2</v>
      </c>
      <c r="C683" s="24"/>
      <c r="D683" s="24">
        <f t="shared" si="21"/>
        <v>44.674088050314467</v>
      </c>
      <c r="E683" s="21"/>
      <c r="G683" s="23">
        <v>-0.14206360000000001</v>
      </c>
      <c r="H683" s="23">
        <v>9.4568449999999998E-2</v>
      </c>
    </row>
    <row r="684" spans="1:8" x14ac:dyDescent="0.35">
      <c r="A684" s="23">
        <v>1.332031E-2</v>
      </c>
      <c r="B684" s="23">
        <f t="shared" si="20"/>
        <v>0.1101652</v>
      </c>
      <c r="C684" s="24"/>
      <c r="D684" s="24">
        <f t="shared" si="21"/>
        <v>50.461981132075465</v>
      </c>
      <c r="E684" s="21"/>
      <c r="G684" s="23">
        <v>-0.1604691</v>
      </c>
      <c r="H684" s="23">
        <v>0.1101652</v>
      </c>
    </row>
    <row r="685" spans="1:8" x14ac:dyDescent="0.35">
      <c r="A685" s="23">
        <v>1.333984E-2</v>
      </c>
      <c r="B685" s="23">
        <f t="shared" si="20"/>
        <v>0.1245371</v>
      </c>
      <c r="C685" s="24"/>
      <c r="D685" s="24">
        <f t="shared" si="21"/>
        <v>55.862893081761008</v>
      </c>
      <c r="E685" s="21"/>
      <c r="G685" s="23">
        <v>-0.177644</v>
      </c>
      <c r="H685" s="23">
        <v>0.1245371</v>
      </c>
    </row>
    <row r="686" spans="1:8" x14ac:dyDescent="0.35">
      <c r="A686" s="23">
        <v>1.3359370000000001E-2</v>
      </c>
      <c r="B686" s="23">
        <f t="shared" si="20"/>
        <v>0.13803309999999999</v>
      </c>
      <c r="C686" s="24"/>
      <c r="D686" s="24">
        <f t="shared" si="21"/>
        <v>61.119591194968557</v>
      </c>
      <c r="E686" s="21"/>
      <c r="G686" s="23">
        <v>-0.19436030000000001</v>
      </c>
      <c r="H686" s="23">
        <v>0.13803309999999999</v>
      </c>
    </row>
    <row r="687" spans="1:8" x14ac:dyDescent="0.35">
      <c r="A687" s="23">
        <v>1.3378910000000001E-2</v>
      </c>
      <c r="B687" s="23">
        <f t="shared" si="20"/>
        <v>0.15142659999999999</v>
      </c>
      <c r="C687" s="24"/>
      <c r="D687" s="24">
        <f t="shared" si="21"/>
        <v>66.133584905660371</v>
      </c>
      <c r="E687" s="21"/>
      <c r="G687" s="23">
        <v>-0.21030479999999999</v>
      </c>
      <c r="H687" s="23">
        <v>0.15142659999999999</v>
      </c>
    </row>
    <row r="688" spans="1:8" x14ac:dyDescent="0.35">
      <c r="A688" s="23">
        <v>1.3398439999999999E-2</v>
      </c>
      <c r="B688" s="23">
        <f t="shared" si="20"/>
        <v>0.16408809999999999</v>
      </c>
      <c r="C688" s="24"/>
      <c r="D688" s="24">
        <f t="shared" si="21"/>
        <v>70.837169811320749</v>
      </c>
      <c r="E688" s="21"/>
      <c r="G688" s="23">
        <v>-0.2252622</v>
      </c>
      <c r="H688" s="23">
        <v>0.16408809999999999</v>
      </c>
    </row>
    <row r="689" spans="1:8" x14ac:dyDescent="0.35">
      <c r="A689" s="23">
        <v>1.341797E-2</v>
      </c>
      <c r="B689" s="23">
        <f t="shared" si="20"/>
        <v>0.17547760000000001</v>
      </c>
      <c r="C689" s="24"/>
      <c r="D689" s="24">
        <f t="shared" si="21"/>
        <v>75.200503144654078</v>
      </c>
      <c r="E689" s="21"/>
      <c r="G689" s="23">
        <v>-0.23913760000000001</v>
      </c>
      <c r="H689" s="23">
        <v>0.17547760000000001</v>
      </c>
    </row>
    <row r="690" spans="1:8" x14ac:dyDescent="0.35">
      <c r="A690" s="23">
        <v>1.34375E-2</v>
      </c>
      <c r="B690" s="23">
        <f t="shared" si="20"/>
        <v>0.1859748</v>
      </c>
      <c r="C690" s="24"/>
      <c r="D690" s="24">
        <f t="shared" si="21"/>
        <v>79.160314465408803</v>
      </c>
      <c r="E690" s="21"/>
      <c r="G690" s="23">
        <v>-0.2517298</v>
      </c>
      <c r="H690" s="23">
        <v>0.1859748</v>
      </c>
    </row>
    <row r="691" spans="1:8" x14ac:dyDescent="0.35">
      <c r="A691" s="23">
        <v>1.345703E-2</v>
      </c>
      <c r="B691" s="23">
        <f t="shared" si="20"/>
        <v>0.19639680000000001</v>
      </c>
      <c r="C691" s="24"/>
      <c r="D691" s="24">
        <f t="shared" si="21"/>
        <v>82.982201257861632</v>
      </c>
      <c r="E691" s="21"/>
      <c r="G691" s="23">
        <v>-0.26388339999999999</v>
      </c>
      <c r="H691" s="23">
        <v>0.19639680000000001</v>
      </c>
    </row>
    <row r="692" spans="1:8" x14ac:dyDescent="0.35">
      <c r="A692" s="23">
        <v>1.347656E-2</v>
      </c>
      <c r="B692" s="23">
        <f t="shared" si="20"/>
        <v>0.20566960000000001</v>
      </c>
      <c r="C692" s="24"/>
      <c r="D692" s="24">
        <f t="shared" si="21"/>
        <v>86.510880503144648</v>
      </c>
      <c r="E692" s="21"/>
      <c r="G692" s="23">
        <v>-0.27510459999999998</v>
      </c>
      <c r="H692" s="23">
        <v>0.20566960000000001</v>
      </c>
    </row>
    <row r="693" spans="1:8" x14ac:dyDescent="0.35">
      <c r="A693" s="23">
        <v>1.3496090000000001E-2</v>
      </c>
      <c r="B693" s="23">
        <f t="shared" si="20"/>
        <v>0.21377060000000001</v>
      </c>
      <c r="C693" s="24"/>
      <c r="D693" s="24">
        <f t="shared" si="21"/>
        <v>89.614874213836472</v>
      </c>
      <c r="E693" s="21"/>
      <c r="G693" s="23">
        <v>-0.28497529999999999</v>
      </c>
      <c r="H693" s="23">
        <v>0.21377060000000001</v>
      </c>
    </row>
    <row r="694" spans="1:8" x14ac:dyDescent="0.35">
      <c r="A694" s="23">
        <v>1.3515620000000001E-2</v>
      </c>
      <c r="B694" s="23">
        <f t="shared" si="20"/>
        <v>0.22162509999999999</v>
      </c>
      <c r="C694" s="24"/>
      <c r="D694" s="24">
        <f t="shared" si="21"/>
        <v>92.461100628930808</v>
      </c>
      <c r="E694" s="21"/>
      <c r="G694" s="23">
        <v>-0.29402630000000002</v>
      </c>
      <c r="H694" s="23">
        <v>0.22162509999999999</v>
      </c>
    </row>
    <row r="695" spans="1:8" x14ac:dyDescent="0.35">
      <c r="A695" s="23">
        <v>1.3535159999999999E-2</v>
      </c>
      <c r="B695" s="23">
        <f t="shared" si="20"/>
        <v>0.2282624</v>
      </c>
      <c r="C695" s="24"/>
      <c r="D695" s="24">
        <f t="shared" si="21"/>
        <v>94.905345911949681</v>
      </c>
      <c r="E695" s="21"/>
      <c r="G695" s="23">
        <v>-0.30179899999999998</v>
      </c>
      <c r="H695" s="23">
        <v>0.2282624</v>
      </c>
    </row>
    <row r="696" spans="1:8" x14ac:dyDescent="0.35">
      <c r="A696" s="23">
        <v>1.3554689999999999E-2</v>
      </c>
      <c r="B696" s="23">
        <f t="shared" si="20"/>
        <v>0.23356279999999999</v>
      </c>
      <c r="C696" s="24"/>
      <c r="D696" s="24">
        <f t="shared" si="21"/>
        <v>96.880125786163518</v>
      </c>
      <c r="E696" s="21"/>
      <c r="G696" s="23">
        <v>-0.30807879999999999</v>
      </c>
      <c r="H696" s="23">
        <v>0.23356279999999999</v>
      </c>
    </row>
    <row r="697" spans="1:8" x14ac:dyDescent="0.35">
      <c r="A697" s="23">
        <v>1.357422E-2</v>
      </c>
      <c r="B697" s="23">
        <f t="shared" si="20"/>
        <v>0.23812649999999999</v>
      </c>
      <c r="C697" s="24"/>
      <c r="D697" s="24">
        <f t="shared" si="21"/>
        <v>98.442767295597477</v>
      </c>
      <c r="E697" s="21"/>
      <c r="G697" s="23">
        <v>-0.31304799999999999</v>
      </c>
      <c r="H697" s="23">
        <v>0.23812649999999999</v>
      </c>
    </row>
    <row r="698" spans="1:8" x14ac:dyDescent="0.35">
      <c r="A698" s="23">
        <v>1.359375E-2</v>
      </c>
      <c r="B698" s="23">
        <f t="shared" si="20"/>
        <v>0.24221690000000001</v>
      </c>
      <c r="C698" s="24"/>
      <c r="D698" s="24">
        <f t="shared" si="21"/>
        <v>99.843773584905648</v>
      </c>
      <c r="E698" s="21"/>
      <c r="G698" s="23">
        <v>-0.31750319999999999</v>
      </c>
      <c r="H698" s="23">
        <v>0.24221690000000001</v>
      </c>
    </row>
    <row r="699" spans="1:8" x14ac:dyDescent="0.35">
      <c r="A699" s="23">
        <v>1.361328E-2</v>
      </c>
      <c r="B699" s="23">
        <f t="shared" si="20"/>
        <v>0.24596660000000001</v>
      </c>
      <c r="C699" s="24"/>
      <c r="D699" s="24">
        <f t="shared" si="21"/>
        <v>101.15971698113208</v>
      </c>
      <c r="E699" s="21"/>
      <c r="G699" s="23">
        <v>-0.32168790000000003</v>
      </c>
      <c r="H699" s="23">
        <v>0.24596660000000001</v>
      </c>
    </row>
    <row r="700" spans="1:8" x14ac:dyDescent="0.35">
      <c r="A700" s="23">
        <v>1.363281E-2</v>
      </c>
      <c r="B700" s="23">
        <f t="shared" si="20"/>
        <v>0.2489518</v>
      </c>
      <c r="C700" s="24"/>
      <c r="D700" s="24">
        <f t="shared" si="21"/>
        <v>101.96383647798741</v>
      </c>
      <c r="E700" s="21"/>
      <c r="G700" s="23">
        <v>-0.32424500000000001</v>
      </c>
      <c r="H700" s="23">
        <v>0.2489518</v>
      </c>
    </row>
    <row r="701" spans="1:8" x14ac:dyDescent="0.35">
      <c r="A701" s="23">
        <v>1.3652340000000001E-2</v>
      </c>
      <c r="B701" s="23">
        <f t="shared" si="20"/>
        <v>0.2505735</v>
      </c>
      <c r="C701" s="24"/>
      <c r="D701" s="24">
        <f t="shared" si="21"/>
        <v>102.17817610062893</v>
      </c>
      <c r="E701" s="21"/>
      <c r="G701" s="23">
        <v>-0.32492660000000001</v>
      </c>
      <c r="H701" s="23">
        <v>0.2505735</v>
      </c>
    </row>
    <row r="702" spans="1:8" x14ac:dyDescent="0.35">
      <c r="A702" s="23">
        <v>1.3671880000000001E-2</v>
      </c>
      <c r="B702" s="23">
        <f t="shared" si="20"/>
        <v>0.2511565</v>
      </c>
      <c r="C702" s="24"/>
      <c r="D702" s="24">
        <f t="shared" si="21"/>
        <v>102.02691823899372</v>
      </c>
      <c r="E702" s="21"/>
      <c r="G702" s="23">
        <v>-0.3244456</v>
      </c>
      <c r="H702" s="23">
        <v>0.2511565</v>
      </c>
    </row>
    <row r="703" spans="1:8" x14ac:dyDescent="0.35">
      <c r="A703" s="23">
        <v>1.3691409999999999E-2</v>
      </c>
      <c r="B703" s="23">
        <f t="shared" si="20"/>
        <v>0.2511584</v>
      </c>
      <c r="C703" s="24"/>
      <c r="D703" s="24">
        <f t="shared" si="21"/>
        <v>101.49333333333334</v>
      </c>
      <c r="E703" s="21"/>
      <c r="G703" s="23">
        <v>-0.3227488</v>
      </c>
      <c r="H703" s="23">
        <v>0.2511584</v>
      </c>
    </row>
    <row r="704" spans="1:8" x14ac:dyDescent="0.35">
      <c r="A704" s="23">
        <v>1.371094E-2</v>
      </c>
      <c r="B704" s="23">
        <f t="shared" si="20"/>
        <v>0.25036019999999998</v>
      </c>
      <c r="C704" s="24"/>
      <c r="D704" s="24">
        <f t="shared" si="21"/>
        <v>100.68289308176101</v>
      </c>
      <c r="E704" s="21"/>
      <c r="G704" s="23">
        <v>-0.3201716</v>
      </c>
      <c r="H704" s="23">
        <v>0.25036019999999998</v>
      </c>
    </row>
    <row r="705" spans="1:8" x14ac:dyDescent="0.35">
      <c r="A705" s="23">
        <v>1.373047E-2</v>
      </c>
      <c r="B705" s="23">
        <f t="shared" si="20"/>
        <v>0.24911990000000001</v>
      </c>
      <c r="C705" s="24"/>
      <c r="D705" s="24">
        <f t="shared" si="21"/>
        <v>99.740786163522003</v>
      </c>
      <c r="E705" s="21"/>
      <c r="G705" s="23">
        <v>-0.3171757</v>
      </c>
      <c r="H705" s="23">
        <v>0.24911990000000001</v>
      </c>
    </row>
    <row r="706" spans="1:8" x14ac:dyDescent="0.35">
      <c r="A706" s="23">
        <v>1.375E-2</v>
      </c>
      <c r="B706" s="23">
        <f t="shared" ref="B706:B769" si="22">H706</f>
        <v>0.24739639999999999</v>
      </c>
      <c r="C706" s="24"/>
      <c r="D706" s="24">
        <f t="shared" ref="D706:D769" si="23">G706*-1000/3.18</f>
        <v>98.393364779874219</v>
      </c>
      <c r="E706" s="21"/>
      <c r="G706" s="23">
        <v>-0.31289090000000003</v>
      </c>
      <c r="H706" s="23">
        <v>0.24739639999999999</v>
      </c>
    </row>
    <row r="707" spans="1:8" x14ac:dyDescent="0.35">
      <c r="A707" s="23">
        <v>1.376953E-2</v>
      </c>
      <c r="B707" s="23">
        <f t="shared" si="22"/>
        <v>0.2446769</v>
      </c>
      <c r="C707" s="24"/>
      <c r="D707" s="24">
        <f t="shared" si="23"/>
        <v>96.516698113207539</v>
      </c>
      <c r="E707" s="21"/>
      <c r="G707" s="23">
        <v>-0.3069231</v>
      </c>
      <c r="H707" s="23">
        <v>0.2446769</v>
      </c>
    </row>
    <row r="708" spans="1:8" x14ac:dyDescent="0.35">
      <c r="A708" s="23">
        <v>1.3789060000000001E-2</v>
      </c>
      <c r="B708" s="23">
        <f t="shared" si="22"/>
        <v>0.2410409</v>
      </c>
      <c r="C708" s="24"/>
      <c r="D708" s="24">
        <f t="shared" si="23"/>
        <v>94.239905660377346</v>
      </c>
      <c r="E708" s="21"/>
      <c r="G708" s="23">
        <v>-0.29968289999999997</v>
      </c>
      <c r="H708" s="23">
        <v>0.2410409</v>
      </c>
    </row>
    <row r="709" spans="1:8" x14ac:dyDescent="0.35">
      <c r="A709" s="23">
        <v>1.3808590000000001E-2</v>
      </c>
      <c r="B709" s="23">
        <f t="shared" si="22"/>
        <v>0.2363961</v>
      </c>
      <c r="C709" s="24"/>
      <c r="D709" s="24">
        <f t="shared" si="23"/>
        <v>91.6646855345912</v>
      </c>
      <c r="E709" s="21"/>
      <c r="G709" s="23">
        <v>-0.29149370000000002</v>
      </c>
      <c r="H709" s="23">
        <v>0.2363961</v>
      </c>
    </row>
    <row r="710" spans="1:8" x14ac:dyDescent="0.35">
      <c r="A710" s="23">
        <v>1.3828129999999999E-2</v>
      </c>
      <c r="B710" s="23">
        <f t="shared" si="22"/>
        <v>0.23081090000000001</v>
      </c>
      <c r="C710" s="24"/>
      <c r="D710" s="24">
        <f t="shared" si="23"/>
        <v>88.812075471698122</v>
      </c>
      <c r="E710" s="21"/>
      <c r="G710" s="23">
        <v>-0.28242240000000002</v>
      </c>
      <c r="H710" s="23">
        <v>0.23081090000000001</v>
      </c>
    </row>
    <row r="711" spans="1:8" x14ac:dyDescent="0.35">
      <c r="A711" s="23">
        <v>1.3847659999999999E-2</v>
      </c>
      <c r="B711" s="23">
        <f t="shared" si="22"/>
        <v>0.22486229999999999</v>
      </c>
      <c r="C711" s="24"/>
      <c r="D711" s="24">
        <f t="shared" si="23"/>
        <v>85.61424528301886</v>
      </c>
      <c r="E711" s="21"/>
      <c r="G711" s="23">
        <v>-0.27225329999999998</v>
      </c>
      <c r="H711" s="23">
        <v>0.22486229999999999</v>
      </c>
    </row>
    <row r="712" spans="1:8" x14ac:dyDescent="0.35">
      <c r="A712" s="23">
        <v>1.386719E-2</v>
      </c>
      <c r="B712" s="23">
        <f t="shared" si="22"/>
        <v>0.2183042</v>
      </c>
      <c r="C712" s="24"/>
      <c r="D712" s="24">
        <f t="shared" si="23"/>
        <v>82.285566037735862</v>
      </c>
      <c r="E712" s="21"/>
      <c r="G712" s="23">
        <v>-0.26166810000000001</v>
      </c>
      <c r="H712" s="23">
        <v>0.2183042</v>
      </c>
    </row>
    <row r="713" spans="1:8" x14ac:dyDescent="0.35">
      <c r="A713" s="23">
        <v>1.388672E-2</v>
      </c>
      <c r="B713" s="23">
        <f t="shared" si="22"/>
        <v>0.21100240000000001</v>
      </c>
      <c r="C713" s="24"/>
      <c r="D713" s="24">
        <f t="shared" si="23"/>
        <v>78.656320754716972</v>
      </c>
      <c r="E713" s="21"/>
      <c r="G713" s="23">
        <v>-0.25012709999999999</v>
      </c>
      <c r="H713" s="23">
        <v>0.21100240000000001</v>
      </c>
    </row>
    <row r="714" spans="1:8" x14ac:dyDescent="0.35">
      <c r="A714" s="23">
        <v>1.390625E-2</v>
      </c>
      <c r="B714" s="23">
        <f t="shared" si="22"/>
        <v>0.20284579999999999</v>
      </c>
      <c r="C714" s="24"/>
      <c r="D714" s="24">
        <f t="shared" si="23"/>
        <v>74.490943396226399</v>
      </c>
      <c r="E714" s="21"/>
      <c r="G714" s="23">
        <v>-0.23688119999999999</v>
      </c>
      <c r="H714" s="23">
        <v>0.20284579999999999</v>
      </c>
    </row>
    <row r="715" spans="1:8" x14ac:dyDescent="0.35">
      <c r="A715" s="23">
        <v>1.392578E-2</v>
      </c>
      <c r="B715" s="23">
        <f t="shared" si="22"/>
        <v>0.1923839</v>
      </c>
      <c r="C715" s="24"/>
      <c r="D715" s="24">
        <f t="shared" si="23"/>
        <v>70.094999999999999</v>
      </c>
      <c r="E715" s="21"/>
      <c r="G715" s="23">
        <v>-0.22290209999999999</v>
      </c>
      <c r="H715" s="23">
        <v>0.1923839</v>
      </c>
    </row>
    <row r="716" spans="1:8" x14ac:dyDescent="0.35">
      <c r="A716" s="23">
        <v>1.3945310000000001E-2</v>
      </c>
      <c r="B716" s="23">
        <f t="shared" si="22"/>
        <v>0.1812742</v>
      </c>
      <c r="C716" s="24"/>
      <c r="D716" s="24">
        <f t="shared" si="23"/>
        <v>65.271540880503139</v>
      </c>
      <c r="E716" s="21"/>
      <c r="G716" s="23">
        <v>-0.20756350000000001</v>
      </c>
      <c r="H716" s="23">
        <v>0.1812742</v>
      </c>
    </row>
    <row r="717" spans="1:8" x14ac:dyDescent="0.35">
      <c r="A717" s="23">
        <v>1.3964839999999999E-2</v>
      </c>
      <c r="B717" s="23">
        <f t="shared" si="22"/>
        <v>0.17131440000000001</v>
      </c>
      <c r="C717" s="24"/>
      <c r="D717" s="24">
        <f t="shared" si="23"/>
        <v>60.244654088050311</v>
      </c>
      <c r="E717" s="21"/>
      <c r="G717" s="23">
        <v>-0.191578</v>
      </c>
      <c r="H717" s="23">
        <v>0.17131440000000001</v>
      </c>
    </row>
    <row r="718" spans="1:8" x14ac:dyDescent="0.35">
      <c r="A718" s="23">
        <v>1.3984379999999999E-2</v>
      </c>
      <c r="B718" s="23">
        <f t="shared" si="22"/>
        <v>0.16129309999999999</v>
      </c>
      <c r="C718" s="24"/>
      <c r="D718" s="24">
        <f t="shared" si="23"/>
        <v>55.491257861635226</v>
      </c>
      <c r="E718" s="21"/>
      <c r="G718" s="23">
        <v>-0.17646220000000001</v>
      </c>
      <c r="H718" s="23">
        <v>0.16129309999999999</v>
      </c>
    </row>
    <row r="719" spans="1:8" x14ac:dyDescent="0.35">
      <c r="A719" s="23">
        <v>1.400391E-2</v>
      </c>
      <c r="B719" s="23">
        <f t="shared" si="22"/>
        <v>0.15036630000000001</v>
      </c>
      <c r="C719" s="24"/>
      <c r="D719" s="24">
        <f t="shared" si="23"/>
        <v>50.4275786163522</v>
      </c>
      <c r="E719" s="21"/>
      <c r="G719" s="23">
        <v>-0.16035969999999999</v>
      </c>
      <c r="H719" s="23">
        <v>0.15036630000000001</v>
      </c>
    </row>
    <row r="720" spans="1:8" x14ac:dyDescent="0.35">
      <c r="A720" s="23">
        <v>1.402344E-2</v>
      </c>
      <c r="B720" s="23">
        <f t="shared" si="22"/>
        <v>0.13786619999999999</v>
      </c>
      <c r="C720" s="24"/>
      <c r="D720" s="24">
        <f t="shared" si="23"/>
        <v>44.949905660377354</v>
      </c>
      <c r="E720" s="21"/>
      <c r="G720" s="23">
        <v>-0.1429407</v>
      </c>
      <c r="H720" s="23">
        <v>0.13786619999999999</v>
      </c>
    </row>
    <row r="721" spans="1:8" x14ac:dyDescent="0.35">
      <c r="A721" s="23">
        <v>1.404297E-2</v>
      </c>
      <c r="B721" s="23">
        <f t="shared" si="22"/>
        <v>0.1252809</v>
      </c>
      <c r="C721" s="24"/>
      <c r="D721" s="24">
        <f t="shared" si="23"/>
        <v>39.212295597484271</v>
      </c>
      <c r="E721" s="21"/>
      <c r="G721" s="23">
        <v>-0.1246951</v>
      </c>
      <c r="H721" s="23">
        <v>0.1252809</v>
      </c>
    </row>
    <row r="722" spans="1:8" x14ac:dyDescent="0.35">
      <c r="A722" s="23">
        <v>1.40625E-2</v>
      </c>
      <c r="B722" s="23">
        <f t="shared" si="22"/>
        <v>0.1119047</v>
      </c>
      <c r="C722" s="24"/>
      <c r="D722" s="24">
        <f t="shared" si="23"/>
        <v>32.942138364779872</v>
      </c>
      <c r="E722" s="21"/>
      <c r="G722" s="23">
        <v>-0.104756</v>
      </c>
      <c r="H722" s="23">
        <v>0.1119047</v>
      </c>
    </row>
    <row r="723" spans="1:8" x14ac:dyDescent="0.35">
      <c r="A723" s="23">
        <v>1.4082030000000001E-2</v>
      </c>
      <c r="B723" s="23">
        <f t="shared" si="22"/>
        <v>9.8782229999999999E-2</v>
      </c>
      <c r="C723" s="24"/>
      <c r="D723" s="24">
        <f t="shared" si="23"/>
        <v>26.911955974842769</v>
      </c>
      <c r="E723" s="21"/>
      <c r="G723" s="23">
        <v>-8.5580020000000007E-2</v>
      </c>
      <c r="H723" s="23">
        <v>9.8782229999999999E-2</v>
      </c>
    </row>
    <row r="724" spans="1:8" x14ac:dyDescent="0.35">
      <c r="A724" s="23">
        <v>1.4101560000000001E-2</v>
      </c>
      <c r="B724" s="23">
        <f t="shared" si="22"/>
        <v>8.8079050000000006E-2</v>
      </c>
      <c r="C724" s="24"/>
      <c r="D724" s="24">
        <f t="shared" si="23"/>
        <v>21.469106918238992</v>
      </c>
      <c r="E724" s="21"/>
      <c r="G724" s="23">
        <v>-6.8271760000000001E-2</v>
      </c>
      <c r="H724" s="23">
        <v>8.8079050000000006E-2</v>
      </c>
    </row>
    <row r="725" spans="1:8" x14ac:dyDescent="0.35">
      <c r="A725" s="23">
        <v>1.4121089999999999E-2</v>
      </c>
      <c r="B725" s="23">
        <f t="shared" si="22"/>
        <v>7.5523220000000002E-2</v>
      </c>
      <c r="C725" s="24"/>
      <c r="D725" s="24">
        <f t="shared" si="23"/>
        <v>15.54858176100629</v>
      </c>
      <c r="E725" s="21"/>
      <c r="G725" s="23">
        <v>-4.9444490000000001E-2</v>
      </c>
      <c r="H725" s="23">
        <v>7.5523220000000002E-2</v>
      </c>
    </row>
    <row r="726" spans="1:8" x14ac:dyDescent="0.35">
      <c r="A726" s="23">
        <v>1.414063E-2</v>
      </c>
      <c r="B726" s="23">
        <f t="shared" si="22"/>
        <v>6.0737399999999997E-2</v>
      </c>
      <c r="C726" s="24"/>
      <c r="D726" s="24">
        <f t="shared" si="23"/>
        <v>9.2472578616352195</v>
      </c>
      <c r="E726" s="21"/>
      <c r="G726" s="23">
        <v>-2.940628E-2</v>
      </c>
      <c r="H726" s="23">
        <v>6.0737399999999997E-2</v>
      </c>
    </row>
    <row r="727" spans="1:8" x14ac:dyDescent="0.35">
      <c r="A727" s="23">
        <v>1.416016E-2</v>
      </c>
      <c r="B727" s="23">
        <f t="shared" si="22"/>
        <v>4.5886969999999999E-2</v>
      </c>
      <c r="C727" s="24"/>
      <c r="D727" s="24">
        <f t="shared" si="23"/>
        <v>3.0135311320754714</v>
      </c>
      <c r="E727" s="21"/>
      <c r="G727" s="23">
        <v>-9.5830289999999999E-3</v>
      </c>
      <c r="H727" s="23">
        <v>4.5886969999999999E-2</v>
      </c>
    </row>
    <row r="728" spans="1:8" x14ac:dyDescent="0.35">
      <c r="A728" s="23">
        <v>1.417969E-2</v>
      </c>
      <c r="B728" s="23">
        <f t="shared" si="22"/>
        <v>3.103028E-2</v>
      </c>
      <c r="C728" s="24"/>
      <c r="D728" s="24">
        <f t="shared" si="23"/>
        <v>-3.4346257861635219</v>
      </c>
      <c r="E728" s="21"/>
      <c r="G728" s="23">
        <v>1.092211E-2</v>
      </c>
      <c r="H728" s="23">
        <v>3.103028E-2</v>
      </c>
    </row>
    <row r="729" spans="1:8" x14ac:dyDescent="0.35">
      <c r="A729" s="23">
        <v>1.419922E-2</v>
      </c>
      <c r="B729" s="23">
        <f t="shared" si="22"/>
        <v>1.54649E-2</v>
      </c>
      <c r="C729" s="24"/>
      <c r="D729" s="24">
        <f t="shared" si="23"/>
        <v>-9.8003679245283006</v>
      </c>
      <c r="E729" s="21"/>
      <c r="G729" s="23">
        <v>3.1165169999999999E-2</v>
      </c>
      <c r="H729" s="23">
        <v>1.54649E-2</v>
      </c>
    </row>
    <row r="730" spans="1:8" x14ac:dyDescent="0.35">
      <c r="A730" s="23">
        <v>1.421875E-2</v>
      </c>
      <c r="B730" s="23">
        <f t="shared" si="22"/>
        <v>-2.4991520000000001E-3</v>
      </c>
      <c r="C730" s="24"/>
      <c r="D730" s="24">
        <f t="shared" si="23"/>
        <v>-16.096487421383646</v>
      </c>
      <c r="E730" s="21"/>
      <c r="G730" s="23">
        <v>5.1186830000000003E-2</v>
      </c>
      <c r="H730" s="23">
        <v>-2.4991520000000001E-3</v>
      </c>
    </row>
    <row r="731" spans="1:8" x14ac:dyDescent="0.35">
      <c r="A731" s="23">
        <v>1.4238280000000001E-2</v>
      </c>
      <c r="B731" s="23">
        <f t="shared" si="22"/>
        <v>-1.9014710000000001E-2</v>
      </c>
      <c r="C731" s="24"/>
      <c r="D731" s="24">
        <f t="shared" si="23"/>
        <v>-22.251433962264148</v>
      </c>
      <c r="E731" s="21"/>
      <c r="G731" s="23">
        <v>7.0759559999999999E-2</v>
      </c>
      <c r="H731" s="23">
        <v>-1.9014710000000001E-2</v>
      </c>
    </row>
    <row r="732" spans="1:8" x14ac:dyDescent="0.35">
      <c r="A732" s="23">
        <v>1.4257809999999999E-2</v>
      </c>
      <c r="B732" s="23">
        <f t="shared" si="22"/>
        <v>-3.3525899999999997E-2</v>
      </c>
      <c r="C732" s="24"/>
      <c r="D732" s="24">
        <f t="shared" si="23"/>
        <v>-27.857399371069178</v>
      </c>
      <c r="E732" s="21"/>
      <c r="G732" s="23">
        <v>8.8586529999999997E-2</v>
      </c>
      <c r="H732" s="23">
        <v>-3.3525899999999997E-2</v>
      </c>
    </row>
    <row r="733" spans="1:8" x14ac:dyDescent="0.35">
      <c r="A733" s="23">
        <v>1.4277339999999999E-2</v>
      </c>
      <c r="B733" s="23">
        <f t="shared" si="22"/>
        <v>-5.2098489999999997E-2</v>
      </c>
      <c r="C733" s="24"/>
      <c r="D733" s="24">
        <f t="shared" si="23"/>
        <v>-33.519811320754712</v>
      </c>
      <c r="E733" s="21"/>
      <c r="G733" s="23">
        <v>0.10659299999999999</v>
      </c>
      <c r="H733" s="23">
        <v>-5.2098489999999997E-2</v>
      </c>
    </row>
    <row r="734" spans="1:8" x14ac:dyDescent="0.35">
      <c r="A734" s="23">
        <v>1.429688E-2</v>
      </c>
      <c r="B734" s="23">
        <f t="shared" si="22"/>
        <v>-7.1609909999999999E-2</v>
      </c>
      <c r="C734" s="24"/>
      <c r="D734" s="24">
        <f t="shared" si="23"/>
        <v>-39.421509433962264</v>
      </c>
      <c r="E734" s="21"/>
      <c r="G734" s="23">
        <v>0.12536040000000001</v>
      </c>
      <c r="H734" s="23">
        <v>-7.1609909999999999E-2</v>
      </c>
    </row>
    <row r="735" spans="1:8" x14ac:dyDescent="0.35">
      <c r="A735" s="23">
        <v>1.431641E-2</v>
      </c>
      <c r="B735" s="23">
        <f t="shared" si="22"/>
        <v>-9.0974120000000006E-2</v>
      </c>
      <c r="C735" s="24"/>
      <c r="D735" s="24">
        <f t="shared" si="23"/>
        <v>-45.189308176100624</v>
      </c>
      <c r="E735" s="21"/>
      <c r="G735" s="23">
        <v>0.143702</v>
      </c>
      <c r="H735" s="23">
        <v>-9.0974120000000006E-2</v>
      </c>
    </row>
    <row r="736" spans="1:8" x14ac:dyDescent="0.35">
      <c r="A736" s="23">
        <v>1.433594E-2</v>
      </c>
      <c r="B736" s="23">
        <f t="shared" si="22"/>
        <v>-0.1119372</v>
      </c>
      <c r="C736" s="24"/>
      <c r="D736" s="24">
        <f t="shared" si="23"/>
        <v>-50.94867924528301</v>
      </c>
      <c r="E736" s="21"/>
      <c r="G736" s="23">
        <v>0.16201679999999999</v>
      </c>
      <c r="H736" s="23">
        <v>-0.1119372</v>
      </c>
    </row>
    <row r="737" spans="1:8" x14ac:dyDescent="0.35">
      <c r="A737" s="23">
        <v>1.435547E-2</v>
      </c>
      <c r="B737" s="23">
        <f t="shared" si="22"/>
        <v>-0.1301939</v>
      </c>
      <c r="C737" s="24"/>
      <c r="D737" s="24">
        <f t="shared" si="23"/>
        <v>-56.354402515723265</v>
      </c>
      <c r="E737" s="21"/>
      <c r="G737" s="23">
        <v>0.17920700000000001</v>
      </c>
      <c r="H737" s="23">
        <v>-0.1301939</v>
      </c>
    </row>
    <row r="738" spans="1:8" x14ac:dyDescent="0.35">
      <c r="A738" s="23">
        <v>1.4375000000000001E-2</v>
      </c>
      <c r="B738" s="23">
        <f t="shared" si="22"/>
        <v>-0.14719209999999999</v>
      </c>
      <c r="C738" s="24"/>
      <c r="D738" s="24">
        <f t="shared" si="23"/>
        <v>-61.222735849056598</v>
      </c>
      <c r="E738" s="21"/>
      <c r="G738" s="23">
        <v>0.19468830000000001</v>
      </c>
      <c r="H738" s="23">
        <v>-0.14719209999999999</v>
      </c>
    </row>
    <row r="739" spans="1:8" x14ac:dyDescent="0.35">
      <c r="A739" s="23">
        <v>1.4394530000000001E-2</v>
      </c>
      <c r="B739" s="23">
        <f t="shared" si="22"/>
        <v>-0.16359380000000001</v>
      </c>
      <c r="C739" s="24"/>
      <c r="D739" s="24">
        <f t="shared" si="23"/>
        <v>-65.972138364779866</v>
      </c>
      <c r="E739" s="21"/>
      <c r="G739" s="23">
        <v>0.20979139999999999</v>
      </c>
      <c r="H739" s="23">
        <v>-0.16359380000000001</v>
      </c>
    </row>
    <row r="740" spans="1:8" x14ac:dyDescent="0.35">
      <c r="A740" s="23">
        <v>1.4414059999999999E-2</v>
      </c>
      <c r="B740" s="23">
        <f t="shared" si="22"/>
        <v>-0.17861579999999999</v>
      </c>
      <c r="C740" s="24"/>
      <c r="D740" s="24">
        <f t="shared" si="23"/>
        <v>-70.724811320754711</v>
      </c>
      <c r="E740" s="21"/>
      <c r="G740" s="23">
        <v>0.22490489999999999</v>
      </c>
      <c r="H740" s="23">
        <v>-0.17861579999999999</v>
      </c>
    </row>
    <row r="741" spans="1:8" x14ac:dyDescent="0.35">
      <c r="A741" s="23">
        <v>1.443359E-2</v>
      </c>
      <c r="B741" s="23">
        <f t="shared" si="22"/>
        <v>-0.19312660000000001</v>
      </c>
      <c r="C741" s="24"/>
      <c r="D741" s="24">
        <f t="shared" si="23"/>
        <v>-75.36666666666666</v>
      </c>
      <c r="E741" s="21"/>
      <c r="G741" s="23">
        <v>0.23966599999999999</v>
      </c>
      <c r="H741" s="23">
        <v>-0.19312660000000001</v>
      </c>
    </row>
    <row r="742" spans="1:8" x14ac:dyDescent="0.35">
      <c r="A742" s="23">
        <v>1.445313E-2</v>
      </c>
      <c r="B742" s="23">
        <f t="shared" si="22"/>
        <v>-0.20467179999999999</v>
      </c>
      <c r="C742" s="24"/>
      <c r="D742" s="24">
        <f t="shared" si="23"/>
        <v>-79.452201257861631</v>
      </c>
      <c r="E742" s="21"/>
      <c r="G742" s="23">
        <v>0.25265799999999999</v>
      </c>
      <c r="H742" s="23">
        <v>-0.20467179999999999</v>
      </c>
    </row>
    <row r="743" spans="1:8" x14ac:dyDescent="0.35">
      <c r="A743" s="23">
        <v>1.447266E-2</v>
      </c>
      <c r="B743" s="23">
        <f t="shared" si="22"/>
        <v>-0.21502199999999999</v>
      </c>
      <c r="C743" s="24"/>
      <c r="D743" s="24">
        <f t="shared" si="23"/>
        <v>-83.039056603773588</v>
      </c>
      <c r="E743" s="21"/>
      <c r="G743" s="23">
        <v>0.26406420000000003</v>
      </c>
      <c r="H743" s="23">
        <v>-0.21502199999999999</v>
      </c>
    </row>
    <row r="744" spans="1:8" x14ac:dyDescent="0.35">
      <c r="A744" s="23">
        <v>1.449219E-2</v>
      </c>
      <c r="B744" s="23">
        <f t="shared" si="22"/>
        <v>-0.22557140000000001</v>
      </c>
      <c r="C744" s="24"/>
      <c r="D744" s="24">
        <f t="shared" si="23"/>
        <v>-86.773616352201259</v>
      </c>
      <c r="E744" s="21"/>
      <c r="G744" s="23">
        <v>0.27594010000000002</v>
      </c>
      <c r="H744" s="23">
        <v>-0.22557140000000001</v>
      </c>
    </row>
    <row r="745" spans="1:8" x14ac:dyDescent="0.35">
      <c r="A745" s="23">
        <v>1.4511720000000001E-2</v>
      </c>
      <c r="B745" s="23">
        <f t="shared" si="22"/>
        <v>-0.233989</v>
      </c>
      <c r="C745" s="24"/>
      <c r="D745" s="24">
        <f t="shared" si="23"/>
        <v>-90.008081761006295</v>
      </c>
      <c r="E745" s="21"/>
      <c r="G745" s="23">
        <v>0.28622570000000003</v>
      </c>
      <c r="H745" s="23">
        <v>-0.233989</v>
      </c>
    </row>
    <row r="746" spans="1:8" x14ac:dyDescent="0.35">
      <c r="A746" s="23">
        <v>1.4531250000000001E-2</v>
      </c>
      <c r="B746" s="23">
        <f t="shared" si="22"/>
        <v>-0.24144019999999999</v>
      </c>
      <c r="C746" s="24"/>
      <c r="D746" s="24">
        <f t="shared" si="23"/>
        <v>-92.559025157232696</v>
      </c>
      <c r="E746" s="21"/>
      <c r="G746" s="23">
        <v>0.29433769999999998</v>
      </c>
      <c r="H746" s="23">
        <v>-0.24144019999999999</v>
      </c>
    </row>
    <row r="747" spans="1:8" x14ac:dyDescent="0.35">
      <c r="A747" s="23">
        <v>1.4550779999999999E-2</v>
      </c>
      <c r="B747" s="23">
        <f t="shared" si="22"/>
        <v>-0.2491102</v>
      </c>
      <c r="C747" s="24"/>
      <c r="D747" s="24">
        <f t="shared" si="23"/>
        <v>-95.352987421383645</v>
      </c>
      <c r="E747" s="21"/>
      <c r="G747" s="23">
        <v>0.30322250000000001</v>
      </c>
      <c r="H747" s="23">
        <v>-0.2491102</v>
      </c>
    </row>
    <row r="748" spans="1:8" x14ac:dyDescent="0.35">
      <c r="A748" s="23">
        <v>1.457031E-2</v>
      </c>
      <c r="B748" s="23">
        <f t="shared" si="22"/>
        <v>-0.25597409999999998</v>
      </c>
      <c r="C748" s="24"/>
      <c r="D748" s="24">
        <f t="shared" si="23"/>
        <v>-97.769716981132078</v>
      </c>
      <c r="E748" s="21"/>
      <c r="G748" s="23">
        <v>0.31090770000000001</v>
      </c>
      <c r="H748" s="23">
        <v>-0.25597409999999998</v>
      </c>
    </row>
    <row r="749" spans="1:8" x14ac:dyDescent="0.35">
      <c r="A749" s="23">
        <v>1.458984E-2</v>
      </c>
      <c r="B749" s="23">
        <f t="shared" si="22"/>
        <v>-0.26144200000000001</v>
      </c>
      <c r="C749" s="24"/>
      <c r="D749" s="24">
        <f t="shared" si="23"/>
        <v>-99.57597484276728</v>
      </c>
      <c r="E749" s="21"/>
      <c r="G749" s="23">
        <v>0.31665159999999998</v>
      </c>
      <c r="H749" s="23">
        <v>-0.26144200000000001</v>
      </c>
    </row>
    <row r="750" spans="1:8" x14ac:dyDescent="0.35">
      <c r="A750" s="23">
        <v>1.460938E-2</v>
      </c>
      <c r="B750" s="23">
        <f t="shared" si="22"/>
        <v>-0.26588279999999997</v>
      </c>
      <c r="C750" s="24"/>
      <c r="D750" s="24">
        <f t="shared" si="23"/>
        <v>-101.28028301886792</v>
      </c>
      <c r="E750" s="21"/>
      <c r="G750" s="23">
        <v>0.3220713</v>
      </c>
      <c r="H750" s="23">
        <v>-0.26588279999999997</v>
      </c>
    </row>
    <row r="751" spans="1:8" x14ac:dyDescent="0.35">
      <c r="A751" s="23">
        <v>1.462891E-2</v>
      </c>
      <c r="B751" s="23">
        <f t="shared" si="22"/>
        <v>-0.2687331</v>
      </c>
      <c r="C751" s="24"/>
      <c r="D751" s="24">
        <f t="shared" si="23"/>
        <v>-102.13603773584904</v>
      </c>
      <c r="E751" s="21"/>
      <c r="G751" s="23">
        <v>0.32479259999999999</v>
      </c>
      <c r="H751" s="23">
        <v>-0.2687331</v>
      </c>
    </row>
    <row r="752" spans="1:8" x14ac:dyDescent="0.35">
      <c r="A752" s="23">
        <v>1.464844E-2</v>
      </c>
      <c r="B752" s="23">
        <f t="shared" si="22"/>
        <v>-0.2700285</v>
      </c>
      <c r="C752" s="24"/>
      <c r="D752" s="24">
        <f t="shared" si="23"/>
        <v>-102.45669811320754</v>
      </c>
      <c r="E752" s="21"/>
      <c r="G752" s="23">
        <v>0.3258123</v>
      </c>
      <c r="H752" s="23">
        <v>-0.2700285</v>
      </c>
    </row>
    <row r="753" spans="1:8" x14ac:dyDescent="0.35">
      <c r="A753" s="23">
        <v>1.4667970000000001E-2</v>
      </c>
      <c r="B753" s="23">
        <f t="shared" si="22"/>
        <v>-0.27118779999999998</v>
      </c>
      <c r="C753" s="24"/>
      <c r="D753" s="24">
        <f t="shared" si="23"/>
        <v>-102.8675471698113</v>
      </c>
      <c r="E753" s="21"/>
      <c r="G753" s="23">
        <v>0.32711879999999999</v>
      </c>
      <c r="H753" s="23">
        <v>-0.27118779999999998</v>
      </c>
    </row>
    <row r="754" spans="1:8" x14ac:dyDescent="0.35">
      <c r="A754" s="23">
        <v>1.4687499999999999E-2</v>
      </c>
      <c r="B754" s="23">
        <f t="shared" si="22"/>
        <v>-0.27209990000000001</v>
      </c>
      <c r="C754" s="24"/>
      <c r="D754" s="24">
        <f t="shared" si="23"/>
        <v>-102.91279874213836</v>
      </c>
      <c r="E754" s="21"/>
      <c r="G754" s="23">
        <v>0.32726270000000002</v>
      </c>
      <c r="H754" s="23">
        <v>-0.27209990000000001</v>
      </c>
    </row>
    <row r="755" spans="1:8" x14ac:dyDescent="0.35">
      <c r="A755" s="23">
        <v>1.4707029999999999E-2</v>
      </c>
      <c r="B755" s="23">
        <f t="shared" si="22"/>
        <v>-0.27223039999999998</v>
      </c>
      <c r="C755" s="24"/>
      <c r="D755" s="24">
        <f t="shared" si="23"/>
        <v>-102.75830188679244</v>
      </c>
      <c r="E755" s="21"/>
      <c r="G755" s="23">
        <v>0.32677139999999999</v>
      </c>
      <c r="H755" s="23">
        <v>-0.27223039999999998</v>
      </c>
    </row>
    <row r="756" spans="1:8" x14ac:dyDescent="0.35">
      <c r="A756" s="23">
        <v>1.472656E-2</v>
      </c>
      <c r="B756" s="23">
        <f t="shared" si="22"/>
        <v>-0.27060489999999998</v>
      </c>
      <c r="C756" s="24"/>
      <c r="D756" s="24">
        <f t="shared" si="23"/>
        <v>-102.02301886792452</v>
      </c>
      <c r="E756" s="21"/>
      <c r="G756" s="23">
        <v>0.32443319999999998</v>
      </c>
      <c r="H756" s="23">
        <v>-0.27060489999999998</v>
      </c>
    </row>
    <row r="757" spans="1:8" x14ac:dyDescent="0.35">
      <c r="A757" s="23">
        <v>1.474609E-2</v>
      </c>
      <c r="B757" s="23">
        <f t="shared" si="22"/>
        <v>-0.26695750000000001</v>
      </c>
      <c r="C757" s="24"/>
      <c r="D757" s="24">
        <f t="shared" si="23"/>
        <v>-100.4114150943396</v>
      </c>
      <c r="E757" s="21"/>
      <c r="G757" s="23">
        <v>0.31930829999999999</v>
      </c>
      <c r="H757" s="23">
        <v>-0.26695750000000001</v>
      </c>
    </row>
    <row r="758" spans="1:8" x14ac:dyDescent="0.35">
      <c r="A758" s="23">
        <v>1.476563E-2</v>
      </c>
      <c r="B758" s="23">
        <f t="shared" si="22"/>
        <v>-0.26281389999999999</v>
      </c>
      <c r="C758" s="24"/>
      <c r="D758" s="24">
        <f t="shared" si="23"/>
        <v>-98.652106918238971</v>
      </c>
      <c r="E758" s="21"/>
      <c r="G758" s="23">
        <v>0.31371369999999998</v>
      </c>
      <c r="H758" s="23">
        <v>-0.26281389999999999</v>
      </c>
    </row>
    <row r="759" spans="1:8" x14ac:dyDescent="0.35">
      <c r="A759" s="23">
        <v>1.478516E-2</v>
      </c>
      <c r="B759" s="23">
        <f t="shared" si="22"/>
        <v>-0.25787900000000002</v>
      </c>
      <c r="C759" s="24"/>
      <c r="D759" s="24">
        <f t="shared" si="23"/>
        <v>-96.503899371069181</v>
      </c>
      <c r="E759" s="21"/>
      <c r="G759" s="23">
        <v>0.3068824</v>
      </c>
      <c r="H759" s="23">
        <v>-0.25787900000000002</v>
      </c>
    </row>
    <row r="760" spans="1:8" x14ac:dyDescent="0.35">
      <c r="A760" s="23">
        <v>1.4804690000000001E-2</v>
      </c>
      <c r="B760" s="23">
        <f t="shared" si="22"/>
        <v>-0.25233179999999999</v>
      </c>
      <c r="C760" s="24"/>
      <c r="D760" s="24">
        <f t="shared" si="23"/>
        <v>-94.098364779874203</v>
      </c>
      <c r="E760" s="21"/>
      <c r="G760" s="23">
        <v>0.29923280000000002</v>
      </c>
      <c r="H760" s="23">
        <v>-0.25233179999999999</v>
      </c>
    </row>
    <row r="761" spans="1:8" x14ac:dyDescent="0.35">
      <c r="A761" s="23">
        <v>1.4824220000000001E-2</v>
      </c>
      <c r="B761" s="23">
        <f t="shared" si="22"/>
        <v>-0.24687609999999999</v>
      </c>
      <c r="C761" s="24"/>
      <c r="D761" s="24">
        <f t="shared" si="23"/>
        <v>-91.747484276729551</v>
      </c>
      <c r="E761" s="21"/>
      <c r="G761" s="23">
        <v>0.29175699999999999</v>
      </c>
      <c r="H761" s="23">
        <v>-0.24687609999999999</v>
      </c>
    </row>
    <row r="762" spans="1:8" x14ac:dyDescent="0.35">
      <c r="A762" s="23">
        <v>1.4843749999999999E-2</v>
      </c>
      <c r="B762" s="23">
        <f t="shared" si="22"/>
        <v>-0.2400718</v>
      </c>
      <c r="C762" s="24"/>
      <c r="D762" s="24">
        <f t="shared" si="23"/>
        <v>-88.646320754716982</v>
      </c>
      <c r="E762" s="21"/>
      <c r="G762" s="23">
        <v>0.28189530000000002</v>
      </c>
      <c r="H762" s="23">
        <v>-0.2400718</v>
      </c>
    </row>
    <row r="763" spans="1:8" x14ac:dyDescent="0.35">
      <c r="A763" s="23">
        <v>1.486328E-2</v>
      </c>
      <c r="B763" s="23">
        <f t="shared" si="22"/>
        <v>-0.2317244</v>
      </c>
      <c r="C763" s="24"/>
      <c r="D763" s="24">
        <f t="shared" si="23"/>
        <v>-85.039999999999992</v>
      </c>
      <c r="E763" s="21"/>
      <c r="G763" s="23">
        <v>0.27042719999999998</v>
      </c>
      <c r="H763" s="23">
        <v>-0.2317244</v>
      </c>
    </row>
    <row r="764" spans="1:8" x14ac:dyDescent="0.35">
      <c r="A764" s="23">
        <v>1.488281E-2</v>
      </c>
      <c r="B764" s="23">
        <f t="shared" si="22"/>
        <v>-0.22201969999999999</v>
      </c>
      <c r="C764" s="24"/>
      <c r="D764" s="24">
        <f t="shared" si="23"/>
        <v>-81.113805031446532</v>
      </c>
      <c r="E764" s="21"/>
      <c r="G764" s="23">
        <v>0.2579419</v>
      </c>
      <c r="H764" s="23">
        <v>-0.22201969999999999</v>
      </c>
    </row>
    <row r="765" spans="1:8" x14ac:dyDescent="0.35">
      <c r="A765" s="23">
        <v>1.490234E-2</v>
      </c>
      <c r="B765" s="23">
        <f t="shared" si="22"/>
        <v>-0.21148800000000001</v>
      </c>
      <c r="C765" s="24"/>
      <c r="D765" s="24">
        <f t="shared" si="23"/>
        <v>-76.639528301886799</v>
      </c>
      <c r="E765" s="21"/>
      <c r="G765" s="23">
        <v>0.24371370000000001</v>
      </c>
      <c r="H765" s="23">
        <v>-0.21148800000000001</v>
      </c>
    </row>
    <row r="766" spans="1:8" x14ac:dyDescent="0.35">
      <c r="A766" s="23">
        <v>1.492188E-2</v>
      </c>
      <c r="B766" s="23">
        <f t="shared" si="22"/>
        <v>-0.20107439999999999</v>
      </c>
      <c r="C766" s="24"/>
      <c r="D766" s="24">
        <f t="shared" si="23"/>
        <v>-72.315062893081759</v>
      </c>
      <c r="E766" s="21"/>
      <c r="G766" s="23">
        <v>0.2299619</v>
      </c>
      <c r="H766" s="23">
        <v>-0.20107439999999999</v>
      </c>
    </row>
    <row r="767" spans="1:8" x14ac:dyDescent="0.35">
      <c r="A767" s="23">
        <v>1.494141E-2</v>
      </c>
      <c r="B767" s="23">
        <f t="shared" si="22"/>
        <v>-0.1897944</v>
      </c>
      <c r="C767" s="24"/>
      <c r="D767" s="24">
        <f t="shared" si="23"/>
        <v>-67.811477987421384</v>
      </c>
      <c r="E767" s="21"/>
      <c r="G767" s="23">
        <v>0.21564050000000001</v>
      </c>
      <c r="H767" s="23">
        <v>-0.1897944</v>
      </c>
    </row>
    <row r="768" spans="1:8" x14ac:dyDescent="0.35">
      <c r="A768" s="23">
        <v>1.4960940000000001E-2</v>
      </c>
      <c r="B768" s="23">
        <f t="shared" si="22"/>
        <v>-0.1777445</v>
      </c>
      <c r="C768" s="24"/>
      <c r="D768" s="24">
        <f t="shared" si="23"/>
        <v>-62.774371069182386</v>
      </c>
      <c r="E768" s="21"/>
      <c r="G768" s="23">
        <v>0.19962250000000001</v>
      </c>
      <c r="H768" s="23">
        <v>-0.1777445</v>
      </c>
    </row>
    <row r="769" spans="1:8" x14ac:dyDescent="0.35">
      <c r="A769" s="23">
        <v>1.4980469999999999E-2</v>
      </c>
      <c r="B769" s="23">
        <f t="shared" si="22"/>
        <v>-0.16459860000000001</v>
      </c>
      <c r="C769" s="24"/>
      <c r="D769" s="24">
        <f t="shared" si="23"/>
        <v>-57.447641509433964</v>
      </c>
      <c r="E769" s="21"/>
      <c r="G769" s="23">
        <v>0.1826835</v>
      </c>
      <c r="H769" s="23">
        <v>-0.16459860000000001</v>
      </c>
    </row>
    <row r="770" spans="1:8" x14ac:dyDescent="0.35">
      <c r="A770" s="23">
        <v>1.4999999999999999E-2</v>
      </c>
      <c r="B770" s="23">
        <f t="shared" ref="B770:B833" si="24">H770</f>
        <v>-0.1499046</v>
      </c>
      <c r="C770" s="24"/>
      <c r="D770" s="24">
        <f t="shared" ref="D770:D833" si="25">G770*-1000/3.18</f>
        <v>-51.508522012578617</v>
      </c>
      <c r="E770" s="21"/>
      <c r="G770" s="23">
        <v>0.1637971</v>
      </c>
      <c r="H770" s="23">
        <v>-0.1499046</v>
      </c>
    </row>
    <row r="771" spans="1:8" x14ac:dyDescent="0.35">
      <c r="A771" s="23">
        <v>1.501953E-2</v>
      </c>
      <c r="B771" s="23">
        <f t="shared" si="24"/>
        <v>-0.1349282</v>
      </c>
      <c r="C771" s="24"/>
      <c r="D771" s="24">
        <f t="shared" si="25"/>
        <v>-45.432327044025151</v>
      </c>
      <c r="E771" s="21"/>
      <c r="G771" s="23">
        <v>0.14447479999999999</v>
      </c>
      <c r="H771" s="23">
        <v>-0.1349282</v>
      </c>
    </row>
    <row r="772" spans="1:8" x14ac:dyDescent="0.35">
      <c r="A772" s="23">
        <v>1.503906E-2</v>
      </c>
      <c r="B772" s="23">
        <f t="shared" si="24"/>
        <v>-0.1198897</v>
      </c>
      <c r="C772" s="24"/>
      <c r="D772" s="24">
        <f t="shared" si="25"/>
        <v>-39.584842767295591</v>
      </c>
      <c r="E772" s="21"/>
      <c r="G772" s="23">
        <v>0.12587979999999999</v>
      </c>
      <c r="H772" s="23">
        <v>-0.1198897</v>
      </c>
    </row>
    <row r="773" spans="1:8" x14ac:dyDescent="0.35">
      <c r="A773" s="23">
        <v>1.505859E-2</v>
      </c>
      <c r="B773" s="23">
        <f t="shared" si="24"/>
        <v>-0.1053113</v>
      </c>
      <c r="C773" s="24"/>
      <c r="D773" s="24">
        <f t="shared" si="25"/>
        <v>-33.558176100628927</v>
      </c>
      <c r="E773" s="21"/>
      <c r="G773" s="23">
        <v>0.106715</v>
      </c>
      <c r="H773" s="23">
        <v>-0.1053113</v>
      </c>
    </row>
    <row r="774" spans="1:8" x14ac:dyDescent="0.35">
      <c r="A774" s="23">
        <v>1.507812E-2</v>
      </c>
      <c r="B774" s="23">
        <f t="shared" si="24"/>
        <v>-9.0546130000000002E-2</v>
      </c>
      <c r="C774" s="24"/>
      <c r="D774" s="24">
        <f t="shared" si="25"/>
        <v>-27.466213836477987</v>
      </c>
      <c r="E774" s="21"/>
      <c r="G774" s="23">
        <v>8.734256E-2</v>
      </c>
      <c r="H774" s="23">
        <v>-9.0546130000000002E-2</v>
      </c>
    </row>
    <row r="775" spans="1:8" x14ac:dyDescent="0.35">
      <c r="A775" s="23">
        <v>1.5097660000000001E-2</v>
      </c>
      <c r="B775" s="23">
        <f t="shared" si="24"/>
        <v>-7.4370420000000007E-2</v>
      </c>
      <c r="C775" s="24"/>
      <c r="D775" s="24">
        <f t="shared" si="25"/>
        <v>-21.152864779874211</v>
      </c>
      <c r="E775" s="21"/>
      <c r="G775" s="23">
        <v>6.7266110000000004E-2</v>
      </c>
      <c r="H775" s="23">
        <v>-7.4370420000000007E-2</v>
      </c>
    </row>
    <row r="776" spans="1:8" x14ac:dyDescent="0.35">
      <c r="A776" s="23">
        <v>1.5117190000000001E-2</v>
      </c>
      <c r="B776" s="23">
        <f t="shared" si="24"/>
        <v>-5.7483670000000001E-2</v>
      </c>
      <c r="C776" s="24"/>
      <c r="D776" s="24">
        <f t="shared" si="25"/>
        <v>-14.397455974842766</v>
      </c>
      <c r="E776" s="21"/>
      <c r="G776" s="23">
        <v>4.5783909999999997E-2</v>
      </c>
      <c r="H776" s="23">
        <v>-5.7483670000000001E-2</v>
      </c>
    </row>
    <row r="777" spans="1:8" x14ac:dyDescent="0.35">
      <c r="A777" s="23">
        <v>1.5136719999999999E-2</v>
      </c>
      <c r="B777" s="23">
        <f t="shared" si="24"/>
        <v>-4.0331789999999999E-2</v>
      </c>
      <c r="C777" s="24"/>
      <c r="D777" s="24">
        <f t="shared" si="25"/>
        <v>-7.7119716981132065</v>
      </c>
      <c r="E777" s="21"/>
      <c r="G777" s="23">
        <v>2.4524069999999999E-2</v>
      </c>
      <c r="H777" s="23">
        <v>-4.0331789999999999E-2</v>
      </c>
    </row>
    <row r="778" spans="1:8" x14ac:dyDescent="0.35">
      <c r="A778" s="23">
        <v>1.515625E-2</v>
      </c>
      <c r="B778" s="23">
        <f t="shared" si="24"/>
        <v>-2.3731639999999998E-2</v>
      </c>
      <c r="C778" s="24"/>
      <c r="D778" s="24">
        <f t="shared" si="25"/>
        <v>-1.2074160377358492</v>
      </c>
      <c r="E778" s="21"/>
      <c r="G778" s="23">
        <v>3.8395830000000001E-3</v>
      </c>
      <c r="H778" s="23">
        <v>-2.3731639999999998E-2</v>
      </c>
    </row>
    <row r="779" spans="1:8" x14ac:dyDescent="0.35">
      <c r="A779" s="23">
        <v>1.517578E-2</v>
      </c>
      <c r="B779" s="23">
        <f t="shared" si="24"/>
        <v>-7.8775779999999997E-3</v>
      </c>
      <c r="C779" s="24"/>
      <c r="D779" s="24">
        <f t="shared" si="25"/>
        <v>5.0933616352201252</v>
      </c>
      <c r="E779" s="21"/>
      <c r="G779" s="23">
        <v>-1.6196889999999999E-2</v>
      </c>
      <c r="H779" s="23">
        <v>-7.8775779999999997E-3</v>
      </c>
    </row>
    <row r="780" spans="1:8" x14ac:dyDescent="0.35">
      <c r="A780" s="23">
        <v>1.519531E-2</v>
      </c>
      <c r="B780" s="23">
        <f t="shared" si="24"/>
        <v>8.2098929999999994E-3</v>
      </c>
      <c r="C780" s="24"/>
      <c r="D780" s="24">
        <f t="shared" si="25"/>
        <v>11.273257861635219</v>
      </c>
      <c r="E780" s="21"/>
      <c r="G780" s="23">
        <v>-3.5848959999999999E-2</v>
      </c>
      <c r="H780" s="23">
        <v>8.2098929999999994E-3</v>
      </c>
    </row>
    <row r="781" spans="1:8" x14ac:dyDescent="0.35">
      <c r="A781" s="23">
        <v>1.521484E-2</v>
      </c>
      <c r="B781" s="23">
        <f t="shared" si="24"/>
        <v>2.457577E-2</v>
      </c>
      <c r="C781" s="24"/>
      <c r="D781" s="24">
        <f t="shared" si="25"/>
        <v>17.725676100628927</v>
      </c>
      <c r="E781" s="21"/>
      <c r="G781" s="23">
        <v>-5.6367649999999998E-2</v>
      </c>
      <c r="H781" s="23">
        <v>2.457577E-2</v>
      </c>
    </row>
    <row r="782" spans="1:8" x14ac:dyDescent="0.35">
      <c r="A782" s="23">
        <v>1.5234370000000001E-2</v>
      </c>
      <c r="B782" s="23">
        <f t="shared" si="24"/>
        <v>4.1176690000000002E-2</v>
      </c>
      <c r="C782" s="24"/>
      <c r="D782" s="24">
        <f t="shared" si="25"/>
        <v>24.146364779874212</v>
      </c>
      <c r="E782" s="21"/>
      <c r="G782" s="23">
        <v>-7.6785439999999996E-2</v>
      </c>
      <c r="H782" s="23">
        <v>4.1176690000000002E-2</v>
      </c>
    </row>
    <row r="783" spans="1:8" x14ac:dyDescent="0.35">
      <c r="A783" s="23">
        <v>1.5253910000000001E-2</v>
      </c>
      <c r="B783" s="23">
        <f t="shared" si="24"/>
        <v>5.8071619999999997E-2</v>
      </c>
      <c r="C783" s="24"/>
      <c r="D783" s="24">
        <f t="shared" si="25"/>
        <v>30.642374213836472</v>
      </c>
      <c r="E783" s="21"/>
      <c r="G783" s="23">
        <v>-9.7442749999999995E-2</v>
      </c>
      <c r="H783" s="23">
        <v>5.8071619999999997E-2</v>
      </c>
    </row>
    <row r="784" spans="1:8" x14ac:dyDescent="0.35">
      <c r="A784" s="23">
        <v>1.5273439999999999E-2</v>
      </c>
      <c r="B784" s="23">
        <f t="shared" si="24"/>
        <v>7.4350289999999999E-2</v>
      </c>
      <c r="C784" s="24"/>
      <c r="D784" s="24">
        <f t="shared" si="25"/>
        <v>36.912641509433961</v>
      </c>
      <c r="E784" s="21"/>
      <c r="G784" s="23">
        <v>-0.11738220000000001</v>
      </c>
      <c r="H784" s="23">
        <v>7.4350289999999999E-2</v>
      </c>
    </row>
    <row r="785" spans="1:8" x14ac:dyDescent="0.35">
      <c r="A785" s="23">
        <v>1.5292969999999999E-2</v>
      </c>
      <c r="B785" s="23">
        <f t="shared" si="24"/>
        <v>8.9277579999999995E-2</v>
      </c>
      <c r="C785" s="24"/>
      <c r="D785" s="24">
        <f t="shared" si="25"/>
        <v>42.398364779874207</v>
      </c>
      <c r="E785" s="21"/>
      <c r="G785" s="23">
        <v>-0.1348268</v>
      </c>
      <c r="H785" s="23">
        <v>8.9277579999999995E-2</v>
      </c>
    </row>
    <row r="786" spans="1:8" x14ac:dyDescent="0.35">
      <c r="A786" s="23">
        <v>1.53125E-2</v>
      </c>
      <c r="B786" s="23">
        <f t="shared" si="24"/>
        <v>0.1040823</v>
      </c>
      <c r="C786" s="24"/>
      <c r="D786" s="24">
        <f t="shared" si="25"/>
        <v>48.111949685534583</v>
      </c>
      <c r="E786" s="21"/>
      <c r="G786" s="23">
        <v>-0.15299599999999999</v>
      </c>
      <c r="H786" s="23">
        <v>0.1040823</v>
      </c>
    </row>
    <row r="787" spans="1:8" x14ac:dyDescent="0.35">
      <c r="A787" s="23">
        <v>1.533203E-2</v>
      </c>
      <c r="B787" s="23">
        <f t="shared" si="24"/>
        <v>0.1188396</v>
      </c>
      <c r="C787" s="24"/>
      <c r="D787" s="24">
        <f t="shared" si="25"/>
        <v>53.723616352201248</v>
      </c>
      <c r="E787" s="21"/>
      <c r="G787" s="23">
        <v>-0.1708411</v>
      </c>
      <c r="H787" s="23">
        <v>0.1188396</v>
      </c>
    </row>
    <row r="788" spans="1:8" x14ac:dyDescent="0.35">
      <c r="A788" s="23">
        <v>1.535156E-2</v>
      </c>
      <c r="B788" s="23">
        <f t="shared" si="24"/>
        <v>0.1324601</v>
      </c>
      <c r="C788" s="24"/>
      <c r="D788" s="24">
        <f t="shared" si="25"/>
        <v>58.751257861635217</v>
      </c>
      <c r="E788" s="21"/>
      <c r="G788" s="23">
        <v>-0.186829</v>
      </c>
      <c r="H788" s="23">
        <v>0.1324601</v>
      </c>
    </row>
    <row r="789" spans="1:8" x14ac:dyDescent="0.35">
      <c r="A789" s="23">
        <v>1.537109E-2</v>
      </c>
      <c r="B789" s="23">
        <f t="shared" si="24"/>
        <v>0.14624309999999999</v>
      </c>
      <c r="C789" s="24"/>
      <c r="D789" s="24">
        <f t="shared" si="25"/>
        <v>64.191069182389938</v>
      </c>
      <c r="E789" s="21"/>
      <c r="G789" s="23">
        <v>-0.20412759999999999</v>
      </c>
      <c r="H789" s="23">
        <v>0.14624309999999999</v>
      </c>
    </row>
    <row r="790" spans="1:8" x14ac:dyDescent="0.35">
      <c r="A790" s="23">
        <v>1.5390620000000001E-2</v>
      </c>
      <c r="B790" s="23">
        <f t="shared" si="24"/>
        <v>0.1597509</v>
      </c>
      <c r="C790" s="24"/>
      <c r="D790" s="24">
        <f t="shared" si="25"/>
        <v>69.290094339622641</v>
      </c>
      <c r="E790" s="21"/>
      <c r="G790" s="23">
        <v>-0.2203425</v>
      </c>
      <c r="H790" s="23">
        <v>0.1597509</v>
      </c>
    </row>
    <row r="791" spans="1:8" x14ac:dyDescent="0.35">
      <c r="A791" s="23">
        <v>1.5410159999999999E-2</v>
      </c>
      <c r="B791" s="23">
        <f t="shared" si="24"/>
        <v>0.17117070000000001</v>
      </c>
      <c r="C791" s="24"/>
      <c r="D791" s="24">
        <f t="shared" si="25"/>
        <v>73.540786163522014</v>
      </c>
      <c r="E791" s="21"/>
      <c r="G791" s="23">
        <v>-0.2338597</v>
      </c>
      <c r="H791" s="23">
        <v>0.17117070000000001</v>
      </c>
    </row>
    <row r="792" spans="1:8" x14ac:dyDescent="0.35">
      <c r="A792" s="23">
        <v>1.5429689999999999E-2</v>
      </c>
      <c r="B792" s="23">
        <f t="shared" si="24"/>
        <v>0.1815929</v>
      </c>
      <c r="C792" s="24"/>
      <c r="D792" s="24">
        <f t="shared" si="25"/>
        <v>77.651792452830193</v>
      </c>
      <c r="E792" s="21"/>
      <c r="G792" s="23">
        <v>-0.2469327</v>
      </c>
      <c r="H792" s="23">
        <v>0.1815929</v>
      </c>
    </row>
    <row r="793" spans="1:8" x14ac:dyDescent="0.35">
      <c r="A793" s="23">
        <v>1.544922E-2</v>
      </c>
      <c r="B793" s="23">
        <f t="shared" si="24"/>
        <v>0.19152939999999999</v>
      </c>
      <c r="C793" s="24"/>
      <c r="D793" s="24">
        <f t="shared" si="25"/>
        <v>81.33097484276729</v>
      </c>
      <c r="E793" s="21"/>
      <c r="G793" s="23">
        <v>-0.25863249999999999</v>
      </c>
      <c r="H793" s="23">
        <v>0.19152939999999999</v>
      </c>
    </row>
    <row r="794" spans="1:8" x14ac:dyDescent="0.35">
      <c r="A794" s="23">
        <v>1.546875E-2</v>
      </c>
      <c r="B794" s="23">
        <f t="shared" si="24"/>
        <v>0.20126369999999999</v>
      </c>
      <c r="C794" s="24"/>
      <c r="D794" s="24">
        <f t="shared" si="25"/>
        <v>84.947232704402509</v>
      </c>
      <c r="E794" s="21"/>
      <c r="G794" s="23">
        <v>-0.27013219999999999</v>
      </c>
      <c r="H794" s="23">
        <v>0.20126369999999999</v>
      </c>
    </row>
    <row r="795" spans="1:8" x14ac:dyDescent="0.35">
      <c r="A795" s="23">
        <v>1.548828E-2</v>
      </c>
      <c r="B795" s="23">
        <f t="shared" si="24"/>
        <v>0.21092640000000001</v>
      </c>
      <c r="C795" s="24"/>
      <c r="D795" s="24">
        <f t="shared" si="25"/>
        <v>88.6483647798742</v>
      </c>
      <c r="E795" s="21"/>
      <c r="G795" s="23">
        <v>-0.28190179999999998</v>
      </c>
      <c r="H795" s="23">
        <v>0.21092640000000001</v>
      </c>
    </row>
    <row r="796" spans="1:8" x14ac:dyDescent="0.35">
      <c r="A796" s="23">
        <v>1.550781E-2</v>
      </c>
      <c r="B796" s="23">
        <f t="shared" si="24"/>
        <v>0.21896740000000001</v>
      </c>
      <c r="C796" s="24"/>
      <c r="D796" s="24">
        <f t="shared" si="25"/>
        <v>91.550408805031452</v>
      </c>
      <c r="E796" s="21"/>
      <c r="G796" s="23">
        <v>-0.29113030000000001</v>
      </c>
      <c r="H796" s="23">
        <v>0.21896740000000001</v>
      </c>
    </row>
    <row r="797" spans="1:8" x14ac:dyDescent="0.35">
      <c r="A797" s="23">
        <v>1.5527340000000001E-2</v>
      </c>
      <c r="B797" s="23">
        <f t="shared" si="24"/>
        <v>0.22578380000000001</v>
      </c>
      <c r="C797" s="24"/>
      <c r="D797" s="24">
        <f t="shared" si="25"/>
        <v>94.030220125786158</v>
      </c>
      <c r="E797" s="21"/>
      <c r="G797" s="23">
        <v>-0.29901610000000001</v>
      </c>
      <c r="H797" s="23">
        <v>0.22578380000000001</v>
      </c>
    </row>
    <row r="798" spans="1:8" x14ac:dyDescent="0.35">
      <c r="A798" s="23">
        <v>1.5546870000000001E-2</v>
      </c>
      <c r="B798" s="23">
        <f t="shared" si="24"/>
        <v>0.23146169999999999</v>
      </c>
      <c r="C798" s="24"/>
      <c r="D798" s="24">
        <f t="shared" si="25"/>
        <v>96.130943396226399</v>
      </c>
      <c r="E798" s="21"/>
      <c r="G798" s="23">
        <v>-0.30569639999999998</v>
      </c>
      <c r="H798" s="23">
        <v>0.23146169999999999</v>
      </c>
    </row>
    <row r="799" spans="1:8" x14ac:dyDescent="0.35">
      <c r="A799" s="23">
        <v>1.5566409999999999E-2</v>
      </c>
      <c r="B799" s="23">
        <f t="shared" si="24"/>
        <v>0.23578640000000001</v>
      </c>
      <c r="C799" s="24"/>
      <c r="D799" s="24">
        <f t="shared" si="25"/>
        <v>97.613710691823897</v>
      </c>
      <c r="E799" s="21"/>
      <c r="G799" s="23">
        <v>-0.31041160000000001</v>
      </c>
      <c r="H799" s="23">
        <v>0.23578640000000001</v>
      </c>
    </row>
    <row r="800" spans="1:8" x14ac:dyDescent="0.35">
      <c r="A800" s="23">
        <v>1.558594E-2</v>
      </c>
      <c r="B800" s="23">
        <f t="shared" si="24"/>
        <v>0.24060139999999999</v>
      </c>
      <c r="C800" s="24"/>
      <c r="D800" s="24">
        <f t="shared" si="25"/>
        <v>99.34698113207547</v>
      </c>
      <c r="E800" s="21"/>
      <c r="G800" s="23">
        <v>-0.31592340000000002</v>
      </c>
      <c r="H800" s="23">
        <v>0.24060139999999999</v>
      </c>
    </row>
    <row r="801" spans="1:8" x14ac:dyDescent="0.35">
      <c r="A801" s="23">
        <v>1.560547E-2</v>
      </c>
      <c r="B801" s="23">
        <f t="shared" si="24"/>
        <v>0.24537059999999999</v>
      </c>
      <c r="C801" s="24"/>
      <c r="D801" s="24">
        <f t="shared" si="25"/>
        <v>100.99522012578615</v>
      </c>
      <c r="E801" s="21"/>
      <c r="G801" s="23">
        <v>-0.32116479999999997</v>
      </c>
      <c r="H801" s="23">
        <v>0.24537059999999999</v>
      </c>
    </row>
    <row r="802" spans="1:8" x14ac:dyDescent="0.35">
      <c r="A802" s="23">
        <v>1.5625E-2</v>
      </c>
      <c r="B802" s="23">
        <f t="shared" si="24"/>
        <v>0.248478</v>
      </c>
      <c r="C802" s="24"/>
      <c r="D802" s="24">
        <f t="shared" si="25"/>
        <v>101.80827044025156</v>
      </c>
      <c r="E802" s="21"/>
      <c r="G802" s="23">
        <v>-0.32375029999999999</v>
      </c>
      <c r="H802" s="23">
        <v>0.248478</v>
      </c>
    </row>
    <row r="803" spans="1:8" x14ac:dyDescent="0.35">
      <c r="A803" s="23">
        <v>1.564453E-2</v>
      </c>
      <c r="B803" s="23">
        <f t="shared" si="24"/>
        <v>0.250056</v>
      </c>
      <c r="C803" s="24"/>
      <c r="D803" s="24">
        <f t="shared" si="25"/>
        <v>102.1761006289308</v>
      </c>
      <c r="E803" s="21"/>
      <c r="G803" s="23">
        <v>-0.32491999999999999</v>
      </c>
      <c r="H803" s="23">
        <v>0.250056</v>
      </c>
    </row>
    <row r="804" spans="1:8" x14ac:dyDescent="0.35">
      <c r="A804" s="23">
        <v>1.566406E-2</v>
      </c>
      <c r="B804" s="23">
        <f t="shared" si="24"/>
        <v>0.2505966</v>
      </c>
      <c r="C804" s="24"/>
      <c r="D804" s="24">
        <f t="shared" si="25"/>
        <v>102.12572327044025</v>
      </c>
      <c r="E804" s="21"/>
      <c r="G804" s="23">
        <v>-0.32475979999999999</v>
      </c>
      <c r="H804" s="23">
        <v>0.2505966</v>
      </c>
    </row>
    <row r="805" spans="1:8" x14ac:dyDescent="0.35">
      <c r="A805" s="23">
        <v>1.5683590000000001E-2</v>
      </c>
      <c r="B805" s="23">
        <f t="shared" si="24"/>
        <v>0.25061410000000001</v>
      </c>
      <c r="C805" s="24"/>
      <c r="D805" s="24">
        <f t="shared" si="25"/>
        <v>101.63537735849056</v>
      </c>
      <c r="E805" s="21"/>
      <c r="G805" s="23">
        <v>-0.3232005</v>
      </c>
      <c r="H805" s="23">
        <v>0.25061410000000001</v>
      </c>
    </row>
    <row r="806" spans="1:8" x14ac:dyDescent="0.35">
      <c r="A806" s="23">
        <v>1.5703129999999999E-2</v>
      </c>
      <c r="B806" s="23">
        <f t="shared" si="24"/>
        <v>0.25037549999999997</v>
      </c>
      <c r="C806" s="24"/>
      <c r="D806" s="24">
        <f t="shared" si="25"/>
        <v>101.00503144654087</v>
      </c>
      <c r="E806" s="21"/>
      <c r="G806" s="23">
        <v>-0.32119599999999998</v>
      </c>
      <c r="H806" s="23">
        <v>0.25037549999999997</v>
      </c>
    </row>
    <row r="807" spans="1:8" x14ac:dyDescent="0.35">
      <c r="A807" s="23">
        <v>1.5722659999999999E-2</v>
      </c>
      <c r="B807" s="23">
        <f t="shared" si="24"/>
        <v>0.24981049999999999</v>
      </c>
      <c r="C807" s="24"/>
      <c r="D807" s="24">
        <f t="shared" si="25"/>
        <v>100.23245283018866</v>
      </c>
      <c r="E807" s="21"/>
      <c r="G807" s="23">
        <v>-0.3187392</v>
      </c>
      <c r="H807" s="23">
        <v>0.24981049999999999</v>
      </c>
    </row>
    <row r="808" spans="1:8" x14ac:dyDescent="0.35">
      <c r="A808" s="23">
        <v>1.574219E-2</v>
      </c>
      <c r="B808" s="23">
        <f t="shared" si="24"/>
        <v>0.2488397</v>
      </c>
      <c r="C808" s="24"/>
      <c r="D808" s="24">
        <f t="shared" si="25"/>
        <v>99.272610062893065</v>
      </c>
      <c r="E808" s="21"/>
      <c r="G808" s="23">
        <v>-0.31568689999999999</v>
      </c>
      <c r="H808" s="23">
        <v>0.2488397</v>
      </c>
    </row>
    <row r="809" spans="1:8" x14ac:dyDescent="0.35">
      <c r="A809" s="23">
        <v>1.576172E-2</v>
      </c>
      <c r="B809" s="23">
        <f t="shared" si="24"/>
        <v>0.2464643</v>
      </c>
      <c r="C809" s="24"/>
      <c r="D809" s="24">
        <f t="shared" si="25"/>
        <v>97.569968553459105</v>
      </c>
      <c r="E809" s="21"/>
      <c r="G809" s="23">
        <v>-0.31027250000000001</v>
      </c>
      <c r="H809" s="23">
        <v>0.2464643</v>
      </c>
    </row>
    <row r="810" spans="1:8" x14ac:dyDescent="0.35">
      <c r="A810" s="23">
        <v>1.578125E-2</v>
      </c>
      <c r="B810" s="23">
        <f t="shared" si="24"/>
        <v>0.24233370000000001</v>
      </c>
      <c r="C810" s="24"/>
      <c r="D810" s="24">
        <f t="shared" si="25"/>
        <v>95.199748427672944</v>
      </c>
      <c r="E810" s="21"/>
      <c r="G810" s="23">
        <v>-0.30273519999999998</v>
      </c>
      <c r="H810" s="23">
        <v>0.24233370000000001</v>
      </c>
    </row>
    <row r="811" spans="1:8" x14ac:dyDescent="0.35">
      <c r="A811" s="23">
        <v>1.580078E-2</v>
      </c>
      <c r="B811" s="23">
        <f t="shared" si="24"/>
        <v>0.23821310000000001</v>
      </c>
      <c r="C811" s="24"/>
      <c r="D811" s="24">
        <f t="shared" si="25"/>
        <v>92.973962264150941</v>
      </c>
      <c r="E811" s="21"/>
      <c r="G811" s="23">
        <v>-0.29565720000000001</v>
      </c>
      <c r="H811" s="23">
        <v>0.23821310000000001</v>
      </c>
    </row>
    <row r="812" spans="1:8" x14ac:dyDescent="0.35">
      <c r="A812" s="23">
        <v>1.5820310000000001E-2</v>
      </c>
      <c r="B812" s="23">
        <f t="shared" si="24"/>
        <v>0.2337941</v>
      </c>
      <c r="C812" s="24"/>
      <c r="D812" s="24">
        <f t="shared" si="25"/>
        <v>90.183333333333337</v>
      </c>
      <c r="E812" s="21"/>
      <c r="G812" s="23">
        <v>-0.28678300000000001</v>
      </c>
      <c r="H812" s="23">
        <v>0.2337941</v>
      </c>
    </row>
    <row r="813" spans="1:8" x14ac:dyDescent="0.35">
      <c r="A813" s="23">
        <v>1.5839840000000001E-2</v>
      </c>
      <c r="B813" s="23">
        <f t="shared" si="24"/>
        <v>0.2282728</v>
      </c>
      <c r="C813" s="24"/>
      <c r="D813" s="24">
        <f t="shared" si="25"/>
        <v>86.93213836477986</v>
      </c>
      <c r="E813" s="21"/>
      <c r="G813" s="23">
        <v>-0.27644419999999997</v>
      </c>
      <c r="H813" s="23">
        <v>0.2282728</v>
      </c>
    </row>
    <row r="814" spans="1:8" x14ac:dyDescent="0.35">
      <c r="A814" s="23">
        <v>1.5859379999999999E-2</v>
      </c>
      <c r="B814" s="23">
        <f t="shared" si="24"/>
        <v>0.22215409999999999</v>
      </c>
      <c r="C814" s="24"/>
      <c r="D814" s="24">
        <f t="shared" si="25"/>
        <v>84.040660377358492</v>
      </c>
      <c r="E814" s="21"/>
      <c r="G814" s="23">
        <v>-0.26724930000000002</v>
      </c>
      <c r="H814" s="23">
        <v>0.22215409999999999</v>
      </c>
    </row>
    <row r="815" spans="1:8" x14ac:dyDescent="0.35">
      <c r="A815" s="23">
        <v>1.587891E-2</v>
      </c>
      <c r="B815" s="23">
        <f t="shared" si="24"/>
        <v>0.2159819</v>
      </c>
      <c r="C815" s="24"/>
      <c r="D815" s="24">
        <f t="shared" si="25"/>
        <v>80.536886792452833</v>
      </c>
      <c r="E815" s="21"/>
      <c r="G815" s="23">
        <v>-0.25610729999999998</v>
      </c>
      <c r="H815" s="23">
        <v>0.2159819</v>
      </c>
    </row>
    <row r="816" spans="1:8" x14ac:dyDescent="0.35">
      <c r="A816" s="23">
        <v>1.589844E-2</v>
      </c>
      <c r="B816" s="23">
        <f t="shared" si="24"/>
        <v>0.2082078</v>
      </c>
      <c r="C816" s="24"/>
      <c r="D816" s="24">
        <f t="shared" si="25"/>
        <v>76.386163522012581</v>
      </c>
      <c r="E816" s="21"/>
      <c r="G816" s="23">
        <v>-0.24290800000000001</v>
      </c>
      <c r="H816" s="23">
        <v>0.2082078</v>
      </c>
    </row>
    <row r="817" spans="1:8" x14ac:dyDescent="0.35">
      <c r="A817" s="23">
        <v>1.591797E-2</v>
      </c>
      <c r="B817" s="23">
        <f t="shared" si="24"/>
        <v>0.19734499999999999</v>
      </c>
      <c r="C817" s="24"/>
      <c r="D817" s="24">
        <f t="shared" si="25"/>
        <v>72.030754716981136</v>
      </c>
      <c r="E817" s="21"/>
      <c r="G817" s="23">
        <v>-0.22905780000000001</v>
      </c>
      <c r="H817" s="23">
        <v>0.19734499999999999</v>
      </c>
    </row>
    <row r="818" spans="1:8" x14ac:dyDescent="0.35">
      <c r="A818" s="23">
        <v>1.59375E-2</v>
      </c>
      <c r="B818" s="23">
        <f t="shared" si="24"/>
        <v>0.18699109999999999</v>
      </c>
      <c r="C818" s="24"/>
      <c r="D818" s="24">
        <f t="shared" si="25"/>
        <v>67.312798742138355</v>
      </c>
      <c r="E818" s="21"/>
      <c r="G818" s="23">
        <v>-0.21405469999999999</v>
      </c>
      <c r="H818" s="23">
        <v>0.18699109999999999</v>
      </c>
    </row>
    <row r="819" spans="1:8" x14ac:dyDescent="0.35">
      <c r="A819" s="23">
        <v>1.5957030000000001E-2</v>
      </c>
      <c r="B819" s="23">
        <f t="shared" si="24"/>
        <v>0.17702390000000001</v>
      </c>
      <c r="C819" s="24"/>
      <c r="D819" s="24">
        <f t="shared" si="25"/>
        <v>62.577924528301885</v>
      </c>
      <c r="E819" s="21"/>
      <c r="G819" s="23">
        <v>-0.1989978</v>
      </c>
      <c r="H819" s="23">
        <v>0.17702390000000001</v>
      </c>
    </row>
    <row r="820" spans="1:8" x14ac:dyDescent="0.35">
      <c r="A820" s="23">
        <v>1.5976560000000001E-2</v>
      </c>
      <c r="B820" s="23">
        <f t="shared" si="24"/>
        <v>0.16533510000000001</v>
      </c>
      <c r="C820" s="24"/>
      <c r="D820" s="24">
        <f t="shared" si="25"/>
        <v>57.743836477987415</v>
      </c>
      <c r="E820" s="21"/>
      <c r="G820" s="23">
        <v>-0.18362539999999999</v>
      </c>
      <c r="H820" s="23">
        <v>0.16533510000000001</v>
      </c>
    </row>
    <row r="821" spans="1:8" x14ac:dyDescent="0.35">
      <c r="A821" s="23">
        <v>1.5996090000000001E-2</v>
      </c>
      <c r="B821" s="23">
        <f t="shared" si="24"/>
        <v>0.15482019999999999</v>
      </c>
      <c r="C821" s="24"/>
      <c r="D821" s="24">
        <f t="shared" si="25"/>
        <v>52.806761006289307</v>
      </c>
      <c r="E821" s="21"/>
      <c r="G821" s="23">
        <v>-0.16792550000000001</v>
      </c>
      <c r="H821" s="23">
        <v>0.15482019999999999</v>
      </c>
    </row>
    <row r="822" spans="1:8" x14ac:dyDescent="0.35">
      <c r="A822" s="23">
        <v>1.6015620000000001E-2</v>
      </c>
      <c r="B822" s="23">
        <f t="shared" si="24"/>
        <v>0.1444069</v>
      </c>
      <c r="C822" s="24"/>
      <c r="D822" s="24">
        <f t="shared" si="25"/>
        <v>47.565220125786155</v>
      </c>
      <c r="E822" s="21"/>
      <c r="G822" s="23">
        <v>-0.15125739999999999</v>
      </c>
      <c r="H822" s="23">
        <v>0.1444069</v>
      </c>
    </row>
    <row r="823" spans="1:8" x14ac:dyDescent="0.35">
      <c r="A823" s="23">
        <v>1.603516E-2</v>
      </c>
      <c r="B823" s="23">
        <f t="shared" si="24"/>
        <v>0.1314958</v>
      </c>
      <c r="C823" s="24"/>
      <c r="D823" s="24">
        <f t="shared" si="25"/>
        <v>41.658679245283018</v>
      </c>
      <c r="E823" s="21"/>
      <c r="G823" s="23">
        <v>-0.1324746</v>
      </c>
      <c r="H823" s="23">
        <v>0.1314958</v>
      </c>
    </row>
    <row r="824" spans="1:8" x14ac:dyDescent="0.35">
      <c r="A824" s="23">
        <v>1.605469E-2</v>
      </c>
      <c r="B824" s="23">
        <f t="shared" si="24"/>
        <v>0.1178773</v>
      </c>
      <c r="C824" s="24"/>
      <c r="D824" s="24">
        <f t="shared" si="25"/>
        <v>35.723081761006291</v>
      </c>
      <c r="E824" s="21"/>
      <c r="G824" s="23">
        <v>-0.1135994</v>
      </c>
      <c r="H824" s="23">
        <v>0.1178773</v>
      </c>
    </row>
    <row r="825" spans="1:8" x14ac:dyDescent="0.35">
      <c r="A825" s="23">
        <v>1.607422E-2</v>
      </c>
      <c r="B825" s="23">
        <f t="shared" si="24"/>
        <v>0.1056256</v>
      </c>
      <c r="C825" s="24"/>
      <c r="D825" s="24">
        <f t="shared" si="25"/>
        <v>29.969254716981133</v>
      </c>
      <c r="E825" s="21"/>
      <c r="G825" s="23">
        <v>-9.5302230000000002E-2</v>
      </c>
      <c r="H825" s="23">
        <v>0.1056256</v>
      </c>
    </row>
    <row r="826" spans="1:8" x14ac:dyDescent="0.35">
      <c r="A826" s="23">
        <v>1.609375E-2</v>
      </c>
      <c r="B826" s="23">
        <f t="shared" si="24"/>
        <v>9.3527559999999996E-2</v>
      </c>
      <c r="C826" s="24"/>
      <c r="D826" s="24">
        <f t="shared" si="25"/>
        <v>24.192987421383641</v>
      </c>
      <c r="E826" s="21"/>
      <c r="G826" s="23">
        <v>-7.6933699999999994E-2</v>
      </c>
      <c r="H826" s="23">
        <v>9.3527559999999996E-2</v>
      </c>
    </row>
    <row r="827" spans="1:8" x14ac:dyDescent="0.35">
      <c r="A827" s="23">
        <v>1.6113280000000001E-2</v>
      </c>
      <c r="B827" s="23">
        <f t="shared" si="24"/>
        <v>8.0328750000000004E-2</v>
      </c>
      <c r="C827" s="24"/>
      <c r="D827" s="24">
        <f t="shared" si="25"/>
        <v>18.33444968553459</v>
      </c>
      <c r="E827" s="21"/>
      <c r="G827" s="23">
        <v>-5.8303550000000003E-2</v>
      </c>
      <c r="H827" s="23">
        <v>8.0328750000000004E-2</v>
      </c>
    </row>
    <row r="828" spans="1:8" x14ac:dyDescent="0.35">
      <c r="A828" s="23">
        <v>1.6132810000000001E-2</v>
      </c>
      <c r="B828" s="23">
        <f t="shared" si="24"/>
        <v>6.7879480000000006E-2</v>
      </c>
      <c r="C828" s="24"/>
      <c r="D828" s="24">
        <f t="shared" si="25"/>
        <v>12.056132075471696</v>
      </c>
      <c r="E828" s="21"/>
      <c r="G828" s="23">
        <v>-3.8338499999999998E-2</v>
      </c>
      <c r="H828" s="23">
        <v>6.7879480000000006E-2</v>
      </c>
    </row>
    <row r="829" spans="1:8" x14ac:dyDescent="0.35">
      <c r="A829" s="23">
        <v>1.6152340000000001E-2</v>
      </c>
      <c r="B829" s="23">
        <f t="shared" si="24"/>
        <v>5.4465970000000002E-2</v>
      </c>
      <c r="C829" s="24"/>
      <c r="D829" s="24">
        <f t="shared" si="25"/>
        <v>5.647990566037735</v>
      </c>
      <c r="E829" s="21"/>
      <c r="G829" s="23">
        <v>-1.7960609999999998E-2</v>
      </c>
      <c r="H829" s="23">
        <v>5.4465970000000002E-2</v>
      </c>
    </row>
    <row r="830" spans="1:8" x14ac:dyDescent="0.35">
      <c r="A830" s="23">
        <v>1.6171870000000001E-2</v>
      </c>
      <c r="B830" s="23">
        <f t="shared" si="24"/>
        <v>4.001565E-2</v>
      </c>
      <c r="C830" s="24"/>
      <c r="D830" s="24">
        <f t="shared" si="25"/>
        <v>-0.49698176100628932</v>
      </c>
      <c r="E830" s="21"/>
      <c r="G830" s="23">
        <v>1.5804020000000001E-3</v>
      </c>
      <c r="H830" s="23">
        <v>4.001565E-2</v>
      </c>
    </row>
    <row r="831" spans="1:8" x14ac:dyDescent="0.35">
      <c r="A831" s="23">
        <v>1.619141E-2</v>
      </c>
      <c r="B831" s="23">
        <f t="shared" si="24"/>
        <v>2.579731E-2</v>
      </c>
      <c r="C831" s="24"/>
      <c r="D831" s="24">
        <f t="shared" si="25"/>
        <v>-6.8098333333333336</v>
      </c>
      <c r="E831" s="21"/>
      <c r="G831" s="23">
        <v>2.1655270000000001E-2</v>
      </c>
      <c r="H831" s="23">
        <v>2.579731E-2</v>
      </c>
    </row>
    <row r="832" spans="1:8" x14ac:dyDescent="0.35">
      <c r="A832" s="23">
        <v>1.621094E-2</v>
      </c>
      <c r="B832" s="23">
        <f t="shared" si="24"/>
        <v>9.0840769999999994E-3</v>
      </c>
      <c r="C832" s="24"/>
      <c r="D832" s="24">
        <f t="shared" si="25"/>
        <v>-13.30562893081761</v>
      </c>
      <c r="E832" s="21"/>
      <c r="G832" s="23">
        <v>4.23119E-2</v>
      </c>
      <c r="H832" s="23">
        <v>9.0840769999999994E-3</v>
      </c>
    </row>
    <row r="833" spans="1:8" x14ac:dyDescent="0.35">
      <c r="A833" s="23">
        <v>1.623047E-2</v>
      </c>
      <c r="B833" s="23">
        <f t="shared" si="24"/>
        <v>-8.1937690000000001E-3</v>
      </c>
      <c r="C833" s="24"/>
      <c r="D833" s="24">
        <f t="shared" si="25"/>
        <v>-19.443471698113207</v>
      </c>
      <c r="E833" s="21"/>
      <c r="G833" s="23">
        <v>6.1830240000000002E-2</v>
      </c>
      <c r="H833" s="23">
        <v>-8.1937690000000001E-3</v>
      </c>
    </row>
    <row r="834" spans="1:8" x14ac:dyDescent="0.35">
      <c r="A834" s="23">
        <v>1.6250000000000001E-2</v>
      </c>
      <c r="B834" s="23">
        <f t="shared" ref="B834:B897" si="26">H834</f>
        <v>-2.523007E-2</v>
      </c>
      <c r="C834" s="24"/>
      <c r="D834" s="24">
        <f t="shared" ref="D834:D897" si="27">G834*-1000/3.18</f>
        <v>-25.327169811320751</v>
      </c>
      <c r="E834" s="21"/>
      <c r="G834" s="23">
        <v>8.0540399999999998E-2</v>
      </c>
      <c r="H834" s="23">
        <v>-2.523007E-2</v>
      </c>
    </row>
    <row r="835" spans="1:8" x14ac:dyDescent="0.35">
      <c r="A835" s="23">
        <v>1.6269530000000001E-2</v>
      </c>
      <c r="B835" s="23">
        <f t="shared" si="26"/>
        <v>-4.3537050000000001E-2</v>
      </c>
      <c r="C835" s="24"/>
      <c r="D835" s="24">
        <f t="shared" si="27"/>
        <v>-31.105867924528301</v>
      </c>
      <c r="E835" s="21"/>
      <c r="G835" s="23">
        <v>9.8916660000000003E-2</v>
      </c>
      <c r="H835" s="23">
        <v>-4.3537050000000001E-2</v>
      </c>
    </row>
    <row r="836" spans="1:8" x14ac:dyDescent="0.35">
      <c r="A836" s="23">
        <v>1.6289060000000001E-2</v>
      </c>
      <c r="B836" s="23">
        <f t="shared" si="26"/>
        <v>-6.2423880000000001E-2</v>
      </c>
      <c r="C836" s="24"/>
      <c r="D836" s="24">
        <f t="shared" si="27"/>
        <v>-36.824905660377354</v>
      </c>
      <c r="E836" s="21"/>
      <c r="G836" s="23">
        <v>0.1171032</v>
      </c>
      <c r="H836" s="23">
        <v>-6.2423880000000001E-2</v>
      </c>
    </row>
    <row r="837" spans="1:8" x14ac:dyDescent="0.35">
      <c r="A837" s="23">
        <v>1.6308590000000001E-2</v>
      </c>
      <c r="B837" s="23">
        <f t="shared" si="26"/>
        <v>-8.2404099999999994E-2</v>
      </c>
      <c r="C837" s="24"/>
      <c r="D837" s="24">
        <f t="shared" si="27"/>
        <v>-42.712610062893077</v>
      </c>
      <c r="E837" s="21"/>
      <c r="G837" s="23">
        <v>0.13582610000000001</v>
      </c>
      <c r="H837" s="23">
        <v>-8.2404099999999994E-2</v>
      </c>
    </row>
    <row r="838" spans="1:8" x14ac:dyDescent="0.35">
      <c r="A838" s="23">
        <v>1.6328120000000002E-2</v>
      </c>
      <c r="B838" s="23">
        <f t="shared" si="26"/>
        <v>-0.1029226</v>
      </c>
      <c r="C838" s="24"/>
      <c r="D838" s="24">
        <f t="shared" si="27"/>
        <v>-48.436415094339615</v>
      </c>
      <c r="E838" s="21"/>
      <c r="G838" s="23">
        <v>0.15402779999999999</v>
      </c>
      <c r="H838" s="23">
        <v>-0.1029226</v>
      </c>
    </row>
    <row r="839" spans="1:8" x14ac:dyDescent="0.35">
      <c r="A839" s="23">
        <v>1.634766E-2</v>
      </c>
      <c r="B839" s="23">
        <f t="shared" si="26"/>
        <v>-0.1221511</v>
      </c>
      <c r="C839" s="24"/>
      <c r="D839" s="24">
        <f t="shared" si="27"/>
        <v>-53.937893081761004</v>
      </c>
      <c r="E839" s="21"/>
      <c r="G839" s="23">
        <v>0.17152249999999999</v>
      </c>
      <c r="H839" s="23">
        <v>-0.1221511</v>
      </c>
    </row>
    <row r="840" spans="1:8" x14ac:dyDescent="0.35">
      <c r="A840" s="23">
        <v>1.636719E-2</v>
      </c>
      <c r="B840" s="23">
        <f t="shared" si="26"/>
        <v>-0.14024780000000001</v>
      </c>
      <c r="C840" s="24"/>
      <c r="D840" s="24">
        <f t="shared" si="27"/>
        <v>-59.13754716981132</v>
      </c>
      <c r="E840" s="21"/>
      <c r="G840" s="23">
        <v>0.18805740000000001</v>
      </c>
      <c r="H840" s="23">
        <v>-0.14024780000000001</v>
      </c>
    </row>
    <row r="841" spans="1:8" x14ac:dyDescent="0.35">
      <c r="A841" s="23">
        <v>1.638672E-2</v>
      </c>
      <c r="B841" s="23">
        <f t="shared" si="26"/>
        <v>-0.15701090000000001</v>
      </c>
      <c r="C841" s="24"/>
      <c r="D841" s="24">
        <f t="shared" si="27"/>
        <v>-63.819088050314463</v>
      </c>
      <c r="E841" s="21"/>
      <c r="G841" s="23">
        <v>0.20294470000000001</v>
      </c>
      <c r="H841" s="23">
        <v>-0.15701090000000001</v>
      </c>
    </row>
    <row r="842" spans="1:8" x14ac:dyDescent="0.35">
      <c r="A842" s="23">
        <v>1.6406250000000001E-2</v>
      </c>
      <c r="B842" s="23">
        <f t="shared" si="26"/>
        <v>-0.172212</v>
      </c>
      <c r="C842" s="24"/>
      <c r="D842" s="24">
        <f t="shared" si="27"/>
        <v>-68.731446540880498</v>
      </c>
      <c r="E842" s="21"/>
      <c r="G842" s="23">
        <v>0.21856600000000001</v>
      </c>
      <c r="H842" s="23">
        <v>-0.172212</v>
      </c>
    </row>
    <row r="843" spans="1:8" x14ac:dyDescent="0.35">
      <c r="A843" s="23">
        <v>1.6425780000000001E-2</v>
      </c>
      <c r="B843" s="23">
        <f t="shared" si="26"/>
        <v>-0.18713070000000001</v>
      </c>
      <c r="C843" s="24"/>
      <c r="D843" s="24">
        <f t="shared" si="27"/>
        <v>-73.543836477987426</v>
      </c>
      <c r="E843" s="21"/>
      <c r="G843" s="23">
        <v>0.23386940000000001</v>
      </c>
      <c r="H843" s="23">
        <v>-0.18713070000000001</v>
      </c>
    </row>
    <row r="844" spans="1:8" x14ac:dyDescent="0.35">
      <c r="A844" s="23">
        <v>1.6445310000000001E-2</v>
      </c>
      <c r="B844" s="23">
        <f t="shared" si="26"/>
        <v>-0.19995689999999999</v>
      </c>
      <c r="C844" s="24"/>
      <c r="D844" s="24">
        <f t="shared" si="27"/>
        <v>-77.571949685534591</v>
      </c>
      <c r="E844" s="21"/>
      <c r="G844" s="23">
        <v>0.2466788</v>
      </c>
      <c r="H844" s="23">
        <v>-0.19995689999999999</v>
      </c>
    </row>
    <row r="845" spans="1:8" x14ac:dyDescent="0.35">
      <c r="A845" s="23">
        <v>1.6464840000000001E-2</v>
      </c>
      <c r="B845" s="23">
        <f t="shared" si="26"/>
        <v>-0.21066009999999999</v>
      </c>
      <c r="C845" s="24"/>
      <c r="D845" s="24">
        <f t="shared" si="27"/>
        <v>-81.512232704402521</v>
      </c>
      <c r="E845" s="21"/>
      <c r="G845" s="23">
        <v>0.25920890000000002</v>
      </c>
      <c r="H845" s="23">
        <v>-0.21066009999999999</v>
      </c>
    </row>
    <row r="846" spans="1:8" x14ac:dyDescent="0.35">
      <c r="A846" s="23">
        <v>1.6484370000000002E-2</v>
      </c>
      <c r="B846" s="23">
        <f t="shared" si="26"/>
        <v>-0.22127260000000001</v>
      </c>
      <c r="C846" s="24"/>
      <c r="D846" s="24">
        <f t="shared" si="27"/>
        <v>-85.23908805031445</v>
      </c>
      <c r="E846" s="21"/>
      <c r="G846" s="23">
        <v>0.27106029999999998</v>
      </c>
      <c r="H846" s="23">
        <v>-0.22127260000000001</v>
      </c>
    </row>
    <row r="847" spans="1:8" x14ac:dyDescent="0.35">
      <c r="A847" s="23">
        <v>1.650391E-2</v>
      </c>
      <c r="B847" s="23">
        <f t="shared" si="26"/>
        <v>-0.23033239999999999</v>
      </c>
      <c r="C847" s="24"/>
      <c r="D847" s="24">
        <f t="shared" si="27"/>
        <v>-88.508144654088042</v>
      </c>
      <c r="E847" s="21"/>
      <c r="G847" s="23">
        <v>0.28145589999999998</v>
      </c>
      <c r="H847" s="23">
        <v>-0.23033239999999999</v>
      </c>
    </row>
    <row r="848" spans="1:8" x14ac:dyDescent="0.35">
      <c r="A848" s="23">
        <v>1.652344E-2</v>
      </c>
      <c r="B848" s="23">
        <f t="shared" si="26"/>
        <v>-0.23847740000000001</v>
      </c>
      <c r="C848" s="24"/>
      <c r="D848" s="24">
        <f t="shared" si="27"/>
        <v>-91.636698113207544</v>
      </c>
      <c r="E848" s="21"/>
      <c r="G848" s="23">
        <v>0.29140470000000002</v>
      </c>
      <c r="H848" s="23">
        <v>-0.23847740000000001</v>
      </c>
    </row>
    <row r="849" spans="1:8" x14ac:dyDescent="0.35">
      <c r="A849" s="23">
        <v>1.6542970000000001E-2</v>
      </c>
      <c r="B849" s="23">
        <f t="shared" si="26"/>
        <v>-0.24622959999999999</v>
      </c>
      <c r="C849" s="24"/>
      <c r="D849" s="24">
        <f t="shared" si="27"/>
        <v>-94.328616352201252</v>
      </c>
      <c r="E849" s="21"/>
      <c r="G849" s="23">
        <v>0.29996499999999998</v>
      </c>
      <c r="H849" s="23">
        <v>-0.24622959999999999</v>
      </c>
    </row>
    <row r="850" spans="1:8" x14ac:dyDescent="0.35">
      <c r="A850" s="23">
        <v>1.6562500000000001E-2</v>
      </c>
      <c r="B850" s="23">
        <f t="shared" si="26"/>
        <v>-0.25273079999999998</v>
      </c>
      <c r="C850" s="24"/>
      <c r="D850" s="24">
        <f t="shared" si="27"/>
        <v>-96.660754716981145</v>
      </c>
      <c r="E850" s="21"/>
      <c r="G850" s="23">
        <v>0.30738120000000002</v>
      </c>
      <c r="H850" s="23">
        <v>-0.25273079999999998</v>
      </c>
    </row>
    <row r="851" spans="1:8" x14ac:dyDescent="0.35">
      <c r="A851" s="23">
        <v>1.6582030000000001E-2</v>
      </c>
      <c r="B851" s="23">
        <f t="shared" si="26"/>
        <v>-0.2590903</v>
      </c>
      <c r="C851" s="24"/>
      <c r="D851" s="24">
        <f t="shared" si="27"/>
        <v>-98.880314465408787</v>
      </c>
      <c r="E851" s="21"/>
      <c r="G851" s="23">
        <v>0.31443939999999998</v>
      </c>
      <c r="H851" s="23">
        <v>-0.2590903</v>
      </c>
    </row>
    <row r="852" spans="1:8" x14ac:dyDescent="0.35">
      <c r="A852" s="23">
        <v>1.6601560000000001E-2</v>
      </c>
      <c r="B852" s="23">
        <f t="shared" si="26"/>
        <v>-0.26421790000000001</v>
      </c>
      <c r="C852" s="24"/>
      <c r="D852" s="24">
        <f t="shared" si="27"/>
        <v>-100.53823899371068</v>
      </c>
      <c r="E852" s="21"/>
      <c r="G852" s="23">
        <v>0.31971159999999998</v>
      </c>
      <c r="H852" s="23">
        <v>-0.26421790000000001</v>
      </c>
    </row>
    <row r="853" spans="1:8" x14ac:dyDescent="0.35">
      <c r="A853" s="23">
        <v>1.6621090000000002E-2</v>
      </c>
      <c r="B853" s="23">
        <f t="shared" si="26"/>
        <v>-0.26774979999999998</v>
      </c>
      <c r="C853" s="24"/>
      <c r="D853" s="24">
        <f t="shared" si="27"/>
        <v>-101.62679245283019</v>
      </c>
      <c r="E853" s="21"/>
      <c r="G853" s="23">
        <v>0.32317319999999999</v>
      </c>
      <c r="H853" s="23">
        <v>-0.26774979999999998</v>
      </c>
    </row>
    <row r="854" spans="1:8" x14ac:dyDescent="0.35">
      <c r="A854" s="23">
        <v>1.6640619999999998E-2</v>
      </c>
      <c r="B854" s="23">
        <f t="shared" si="26"/>
        <v>-0.27034229999999998</v>
      </c>
      <c r="C854" s="24"/>
      <c r="D854" s="24">
        <f t="shared" si="27"/>
        <v>-102.4498113207547</v>
      </c>
      <c r="E854" s="21"/>
      <c r="G854" s="23">
        <v>0.32579039999999998</v>
      </c>
      <c r="H854" s="23">
        <v>-0.27034229999999998</v>
      </c>
    </row>
    <row r="855" spans="1:8" x14ac:dyDescent="0.35">
      <c r="A855" s="23">
        <v>1.666016E-2</v>
      </c>
      <c r="B855" s="23">
        <f t="shared" si="26"/>
        <v>-0.27148290000000003</v>
      </c>
      <c r="C855" s="24"/>
      <c r="D855" s="24">
        <f t="shared" si="27"/>
        <v>-102.75635220125785</v>
      </c>
      <c r="E855" s="21"/>
      <c r="G855" s="23">
        <v>0.32676519999999998</v>
      </c>
      <c r="H855" s="23">
        <v>-0.27148290000000003</v>
      </c>
    </row>
    <row r="856" spans="1:8" x14ac:dyDescent="0.35">
      <c r="A856" s="23">
        <v>1.667969E-2</v>
      </c>
      <c r="B856" s="23">
        <f t="shared" si="26"/>
        <v>-0.27259070000000002</v>
      </c>
      <c r="C856" s="24"/>
      <c r="D856" s="24">
        <f t="shared" si="27"/>
        <v>-102.97276729559748</v>
      </c>
      <c r="E856" s="21"/>
      <c r="G856" s="23">
        <v>0.32745340000000001</v>
      </c>
      <c r="H856" s="23">
        <v>-0.27259070000000002</v>
      </c>
    </row>
    <row r="857" spans="1:8" x14ac:dyDescent="0.35">
      <c r="A857" s="23">
        <v>1.6699220000000001E-2</v>
      </c>
      <c r="B857" s="23">
        <f t="shared" si="26"/>
        <v>-0.27299770000000001</v>
      </c>
      <c r="C857" s="24"/>
      <c r="D857" s="24">
        <f t="shared" si="27"/>
        <v>-103.10276729559749</v>
      </c>
      <c r="E857" s="21"/>
      <c r="G857" s="23">
        <v>0.32786680000000001</v>
      </c>
      <c r="H857" s="23">
        <v>-0.27299770000000001</v>
      </c>
    </row>
    <row r="858" spans="1:8" x14ac:dyDescent="0.35">
      <c r="A858" s="23">
        <v>1.6718750000000001E-2</v>
      </c>
      <c r="B858" s="23">
        <f t="shared" si="26"/>
        <v>-0.27108949999999998</v>
      </c>
      <c r="C858" s="24"/>
      <c r="D858" s="24">
        <f t="shared" si="27"/>
        <v>-102.23459119496854</v>
      </c>
      <c r="E858" s="21"/>
      <c r="G858" s="23">
        <v>0.32510600000000001</v>
      </c>
      <c r="H858" s="23">
        <v>-0.27108949999999998</v>
      </c>
    </row>
    <row r="859" spans="1:8" x14ac:dyDescent="0.35">
      <c r="A859" s="23">
        <v>1.6738280000000001E-2</v>
      </c>
      <c r="B859" s="23">
        <f t="shared" si="26"/>
        <v>-0.26840049999999999</v>
      </c>
      <c r="C859" s="24"/>
      <c r="D859" s="24">
        <f t="shared" si="27"/>
        <v>-100.96405660377357</v>
      </c>
      <c r="E859" s="21"/>
      <c r="G859" s="23">
        <v>0.32106570000000001</v>
      </c>
      <c r="H859" s="23">
        <v>-0.26840049999999999</v>
      </c>
    </row>
    <row r="860" spans="1:8" x14ac:dyDescent="0.35">
      <c r="A860" s="23">
        <v>1.6757810000000001E-2</v>
      </c>
      <c r="B860" s="23">
        <f t="shared" si="26"/>
        <v>-0.26529199999999997</v>
      </c>
      <c r="C860" s="24"/>
      <c r="D860" s="24">
        <f t="shared" si="27"/>
        <v>-99.537641509433968</v>
      </c>
      <c r="E860" s="21"/>
      <c r="G860" s="23">
        <v>0.31652970000000002</v>
      </c>
      <c r="H860" s="23">
        <v>-0.26529199999999997</v>
      </c>
    </row>
    <row r="861" spans="1:8" x14ac:dyDescent="0.35">
      <c r="A861" s="23">
        <v>1.6777340000000002E-2</v>
      </c>
      <c r="B861" s="23">
        <f t="shared" si="26"/>
        <v>-0.2608509</v>
      </c>
      <c r="C861" s="24"/>
      <c r="D861" s="24">
        <f t="shared" si="27"/>
        <v>-97.522704402515728</v>
      </c>
      <c r="E861" s="21"/>
      <c r="G861" s="23">
        <v>0.31012220000000001</v>
      </c>
      <c r="H861" s="23">
        <v>-0.2608509</v>
      </c>
    </row>
    <row r="862" spans="1:8" x14ac:dyDescent="0.35">
      <c r="A862" s="23">
        <v>1.6796869999999998E-2</v>
      </c>
      <c r="B862" s="23">
        <f t="shared" si="26"/>
        <v>-0.25542160000000003</v>
      </c>
      <c r="C862" s="24"/>
      <c r="D862" s="24">
        <f t="shared" si="27"/>
        <v>-95.343710691823887</v>
      </c>
      <c r="E862" s="21"/>
      <c r="G862" s="23">
        <v>0.30319299999999999</v>
      </c>
      <c r="H862" s="23">
        <v>-0.25542160000000003</v>
      </c>
    </row>
    <row r="863" spans="1:8" x14ac:dyDescent="0.35">
      <c r="A863" s="23">
        <v>1.681641E-2</v>
      </c>
      <c r="B863" s="23">
        <f t="shared" si="26"/>
        <v>-0.24943419999999999</v>
      </c>
      <c r="C863" s="24"/>
      <c r="D863" s="24">
        <f t="shared" si="27"/>
        <v>-92.820345911949687</v>
      </c>
      <c r="E863" s="21"/>
      <c r="G863" s="23">
        <v>0.29516870000000001</v>
      </c>
      <c r="H863" s="23">
        <v>-0.24943419999999999</v>
      </c>
    </row>
    <row r="864" spans="1:8" x14ac:dyDescent="0.35">
      <c r="A864" s="23">
        <v>1.6835940000000001E-2</v>
      </c>
      <c r="B864" s="23">
        <f t="shared" si="26"/>
        <v>-0.24288709999999999</v>
      </c>
      <c r="C864" s="24"/>
      <c r="D864" s="24">
        <f t="shared" si="27"/>
        <v>-89.92028301886792</v>
      </c>
      <c r="E864" s="21"/>
      <c r="G864" s="23">
        <v>0.28594649999999999</v>
      </c>
      <c r="H864" s="23">
        <v>-0.24288709999999999</v>
      </c>
    </row>
    <row r="865" spans="1:8" x14ac:dyDescent="0.35">
      <c r="A865" s="23">
        <v>1.6855470000000001E-2</v>
      </c>
      <c r="B865" s="23">
        <f t="shared" si="26"/>
        <v>-0.2349965</v>
      </c>
      <c r="C865" s="24"/>
      <c r="D865" s="24">
        <f t="shared" si="27"/>
        <v>-86.56805031446541</v>
      </c>
      <c r="E865" s="21"/>
      <c r="G865" s="23">
        <v>0.27528639999999999</v>
      </c>
      <c r="H865" s="23">
        <v>-0.2349965</v>
      </c>
    </row>
    <row r="866" spans="1:8" x14ac:dyDescent="0.35">
      <c r="A866" s="23">
        <v>1.6875000000000001E-2</v>
      </c>
      <c r="B866" s="23">
        <f t="shared" si="26"/>
        <v>-0.22552549999999999</v>
      </c>
      <c r="C866" s="24"/>
      <c r="D866" s="24">
        <f t="shared" si="27"/>
        <v>-82.576352201257862</v>
      </c>
      <c r="E866" s="21"/>
      <c r="G866" s="23">
        <v>0.26259280000000002</v>
      </c>
      <c r="H866" s="23">
        <v>-0.22552549999999999</v>
      </c>
    </row>
    <row r="867" spans="1:8" x14ac:dyDescent="0.35">
      <c r="A867" s="23">
        <v>1.6894530000000001E-2</v>
      </c>
      <c r="B867" s="23">
        <f t="shared" si="26"/>
        <v>-0.21583240000000001</v>
      </c>
      <c r="C867" s="24"/>
      <c r="D867" s="24">
        <f t="shared" si="27"/>
        <v>-78.546855345911951</v>
      </c>
      <c r="E867" s="21"/>
      <c r="G867" s="23">
        <v>0.249779</v>
      </c>
      <c r="H867" s="23">
        <v>-0.21583240000000001</v>
      </c>
    </row>
    <row r="868" spans="1:8" x14ac:dyDescent="0.35">
      <c r="A868" s="23">
        <v>1.6914060000000002E-2</v>
      </c>
      <c r="B868" s="23">
        <f t="shared" si="26"/>
        <v>-0.20569200000000001</v>
      </c>
      <c r="C868" s="24"/>
      <c r="D868" s="24">
        <f t="shared" si="27"/>
        <v>-74.178176100628932</v>
      </c>
      <c r="E868" s="21"/>
      <c r="G868" s="23">
        <v>0.2358866</v>
      </c>
      <c r="H868" s="23">
        <v>-0.20569200000000001</v>
      </c>
    </row>
    <row r="869" spans="1:8" x14ac:dyDescent="0.35">
      <c r="A869" s="23">
        <v>1.6933589999999998E-2</v>
      </c>
      <c r="B869" s="23">
        <f t="shared" si="26"/>
        <v>-0.19444690000000001</v>
      </c>
      <c r="C869" s="24"/>
      <c r="D869" s="24">
        <f t="shared" si="27"/>
        <v>-69.493113207547168</v>
      </c>
      <c r="E869" s="21"/>
      <c r="G869" s="23">
        <v>0.22098809999999999</v>
      </c>
      <c r="H869" s="23">
        <v>-0.19444690000000001</v>
      </c>
    </row>
    <row r="870" spans="1:8" x14ac:dyDescent="0.35">
      <c r="A870" s="23">
        <v>1.6953119999999999E-2</v>
      </c>
      <c r="B870" s="23">
        <f t="shared" si="26"/>
        <v>-0.18299209999999999</v>
      </c>
      <c r="C870" s="24"/>
      <c r="D870" s="24">
        <f t="shared" si="27"/>
        <v>-64.904465408805024</v>
      </c>
      <c r="E870" s="21"/>
      <c r="G870" s="23">
        <v>0.2063962</v>
      </c>
      <c r="H870" s="23">
        <v>-0.18299209999999999</v>
      </c>
    </row>
    <row r="871" spans="1:8" x14ac:dyDescent="0.35">
      <c r="A871" s="23">
        <v>1.6972660000000001E-2</v>
      </c>
      <c r="B871" s="23">
        <f t="shared" si="26"/>
        <v>-0.17001069999999999</v>
      </c>
      <c r="C871" s="24"/>
      <c r="D871" s="24">
        <f t="shared" si="27"/>
        <v>-59.585125786163523</v>
      </c>
      <c r="E871" s="21"/>
      <c r="G871" s="23">
        <v>0.1894807</v>
      </c>
      <c r="H871" s="23">
        <v>-0.17001069999999999</v>
      </c>
    </row>
    <row r="872" spans="1:8" x14ac:dyDescent="0.35">
      <c r="A872" s="23">
        <v>1.6992190000000001E-2</v>
      </c>
      <c r="B872" s="23">
        <f t="shared" si="26"/>
        <v>-0.1551592</v>
      </c>
      <c r="C872" s="24"/>
      <c r="D872" s="24">
        <f t="shared" si="27"/>
        <v>-53.711477987421382</v>
      </c>
      <c r="E872" s="21"/>
      <c r="G872" s="23">
        <v>0.1708025</v>
      </c>
      <c r="H872" s="23">
        <v>-0.1551592</v>
      </c>
    </row>
    <row r="873" spans="1:8" x14ac:dyDescent="0.35">
      <c r="A873" s="23">
        <v>1.7011720000000001E-2</v>
      </c>
      <c r="B873" s="23">
        <f t="shared" si="26"/>
        <v>-0.1409726</v>
      </c>
      <c r="C873" s="24"/>
      <c r="D873" s="24">
        <f t="shared" si="27"/>
        <v>-47.966698113207542</v>
      </c>
      <c r="E873" s="21"/>
      <c r="G873" s="23">
        <v>0.15253410000000001</v>
      </c>
      <c r="H873" s="23">
        <v>-0.1409726</v>
      </c>
    </row>
    <row r="874" spans="1:8" x14ac:dyDescent="0.35">
      <c r="A874" s="23">
        <v>1.7031250000000001E-2</v>
      </c>
      <c r="B874" s="23">
        <f t="shared" si="26"/>
        <v>-0.12661049999999999</v>
      </c>
      <c r="C874" s="24"/>
      <c r="D874" s="24">
        <f t="shared" si="27"/>
        <v>-41.996981132075476</v>
      </c>
      <c r="E874" s="21"/>
      <c r="G874" s="23">
        <v>0.13355040000000001</v>
      </c>
      <c r="H874" s="23">
        <v>-0.12661049999999999</v>
      </c>
    </row>
    <row r="875" spans="1:8" x14ac:dyDescent="0.35">
      <c r="A875" s="23">
        <v>1.7050780000000001E-2</v>
      </c>
      <c r="B875" s="23">
        <f t="shared" si="26"/>
        <v>-0.1115607</v>
      </c>
      <c r="C875" s="24"/>
      <c r="D875" s="24">
        <f t="shared" si="27"/>
        <v>-35.962641509433958</v>
      </c>
      <c r="E875" s="21"/>
      <c r="G875" s="23">
        <v>0.1143612</v>
      </c>
      <c r="H875" s="23">
        <v>-0.1115607</v>
      </c>
    </row>
    <row r="876" spans="1:8" x14ac:dyDescent="0.35">
      <c r="A876" s="23">
        <v>1.7070310000000002E-2</v>
      </c>
      <c r="B876" s="23">
        <f t="shared" si="26"/>
        <v>-9.6350599999999995E-2</v>
      </c>
      <c r="C876" s="24"/>
      <c r="D876" s="24">
        <f t="shared" si="27"/>
        <v>-29.903757861635217</v>
      </c>
      <c r="E876" s="21"/>
      <c r="G876" s="23">
        <v>9.5093949999999997E-2</v>
      </c>
      <c r="H876" s="23">
        <v>-9.6350599999999995E-2</v>
      </c>
    </row>
    <row r="877" spans="1:8" x14ac:dyDescent="0.35">
      <c r="A877" s="23">
        <v>1.7089839999999999E-2</v>
      </c>
      <c r="B877" s="23">
        <f t="shared" si="26"/>
        <v>-7.9804130000000001E-2</v>
      </c>
      <c r="C877" s="24"/>
      <c r="D877" s="24">
        <f t="shared" si="27"/>
        <v>-23.38475157232704</v>
      </c>
      <c r="E877" s="21"/>
      <c r="G877" s="23">
        <v>7.4363509999999994E-2</v>
      </c>
      <c r="H877" s="23">
        <v>-7.9804130000000001E-2</v>
      </c>
    </row>
    <row r="878" spans="1:8" x14ac:dyDescent="0.35">
      <c r="A878" s="23">
        <v>1.7109369999999999E-2</v>
      </c>
      <c r="B878" s="23">
        <f t="shared" si="26"/>
        <v>-6.3271720000000004E-2</v>
      </c>
      <c r="C878" s="24"/>
      <c r="D878" s="24">
        <f t="shared" si="27"/>
        <v>-16.856015723270438</v>
      </c>
      <c r="E878" s="21"/>
      <c r="G878" s="23">
        <v>5.3602129999999998E-2</v>
      </c>
      <c r="H878" s="23">
        <v>-6.3271720000000004E-2</v>
      </c>
    </row>
    <row r="879" spans="1:8" x14ac:dyDescent="0.35">
      <c r="A879" s="23">
        <v>1.7128910000000001E-2</v>
      </c>
      <c r="B879" s="23">
        <f t="shared" si="26"/>
        <v>-4.696533E-2</v>
      </c>
      <c r="C879" s="24"/>
      <c r="D879" s="24">
        <f t="shared" si="27"/>
        <v>-10.40253459119497</v>
      </c>
      <c r="E879" s="21"/>
      <c r="G879" s="23">
        <v>3.3080060000000001E-2</v>
      </c>
      <c r="H879" s="23">
        <v>-4.696533E-2</v>
      </c>
    </row>
    <row r="880" spans="1:8" x14ac:dyDescent="0.35">
      <c r="A880" s="23">
        <v>1.7148440000000001E-2</v>
      </c>
      <c r="B880" s="23">
        <f t="shared" si="26"/>
        <v>-3.0100910000000002E-2</v>
      </c>
      <c r="C880" s="24"/>
      <c r="D880" s="24">
        <f t="shared" si="27"/>
        <v>-3.7959213836477987</v>
      </c>
      <c r="E880" s="21"/>
      <c r="G880" s="23">
        <v>1.207103E-2</v>
      </c>
      <c r="H880" s="23">
        <v>-3.0100910000000002E-2</v>
      </c>
    </row>
    <row r="881" spans="1:8" x14ac:dyDescent="0.35">
      <c r="A881" s="23">
        <v>1.7167970000000001E-2</v>
      </c>
      <c r="B881" s="23">
        <f t="shared" si="26"/>
        <v>-1.3997030000000001E-2</v>
      </c>
      <c r="C881" s="24"/>
      <c r="D881" s="24">
        <f t="shared" si="27"/>
        <v>2.5422154088050317</v>
      </c>
      <c r="E881" s="21"/>
      <c r="G881" s="23">
        <v>-8.0842450000000003E-3</v>
      </c>
      <c r="H881" s="23">
        <v>-1.3997030000000001E-2</v>
      </c>
    </row>
    <row r="882" spans="1:8" x14ac:dyDescent="0.35">
      <c r="A882" s="23">
        <v>1.7187500000000001E-2</v>
      </c>
      <c r="B882" s="23">
        <f t="shared" si="26"/>
        <v>2.142035E-3</v>
      </c>
      <c r="C882" s="24"/>
      <c r="D882" s="24">
        <f t="shared" si="27"/>
        <v>8.9730628930817602</v>
      </c>
      <c r="E882" s="21"/>
      <c r="G882" s="23">
        <v>-2.8534339999999998E-2</v>
      </c>
      <c r="H882" s="23">
        <v>2.142035E-3</v>
      </c>
    </row>
    <row r="883" spans="1:8" x14ac:dyDescent="0.35">
      <c r="A883" s="23">
        <v>1.7207030000000002E-2</v>
      </c>
      <c r="B883" s="23">
        <f t="shared" si="26"/>
        <v>1.8886409999999999E-2</v>
      </c>
      <c r="C883" s="24"/>
      <c r="D883" s="24">
        <f t="shared" si="27"/>
        <v>15.532176100628933</v>
      </c>
      <c r="E883" s="21"/>
      <c r="G883" s="23">
        <v>-4.9392320000000003E-2</v>
      </c>
      <c r="H883" s="23">
        <v>1.8886409999999999E-2</v>
      </c>
    </row>
    <row r="884" spans="1:8" x14ac:dyDescent="0.35">
      <c r="A884" s="23">
        <v>1.7226559999999998E-2</v>
      </c>
      <c r="B884" s="23">
        <f t="shared" si="26"/>
        <v>3.5193349999999998E-2</v>
      </c>
      <c r="C884" s="24"/>
      <c r="D884" s="24">
        <f t="shared" si="27"/>
        <v>21.764880503144649</v>
      </c>
      <c r="E884" s="21"/>
      <c r="G884" s="23">
        <v>-6.9212319999999994E-2</v>
      </c>
      <c r="H884" s="23">
        <v>3.5193349999999998E-2</v>
      </c>
    </row>
    <row r="885" spans="1:8" x14ac:dyDescent="0.35">
      <c r="A885" s="23">
        <v>1.7246089999999999E-2</v>
      </c>
      <c r="B885" s="23">
        <f t="shared" si="26"/>
        <v>5.1633610000000003E-2</v>
      </c>
      <c r="C885" s="24"/>
      <c r="D885" s="24">
        <f t="shared" si="27"/>
        <v>28.115440251572327</v>
      </c>
      <c r="E885" s="21"/>
      <c r="G885" s="23">
        <v>-8.9407100000000003E-2</v>
      </c>
      <c r="H885" s="23">
        <v>5.1633610000000003E-2</v>
      </c>
    </row>
    <row r="886" spans="1:8" x14ac:dyDescent="0.35">
      <c r="A886" s="23">
        <v>1.7265619999999999E-2</v>
      </c>
      <c r="B886" s="23">
        <f t="shared" si="26"/>
        <v>6.7939459999999993E-2</v>
      </c>
      <c r="C886" s="24"/>
      <c r="D886" s="24">
        <f t="shared" si="27"/>
        <v>34.33877358490566</v>
      </c>
      <c r="E886" s="21"/>
      <c r="G886" s="23">
        <v>-0.1091973</v>
      </c>
      <c r="H886" s="23">
        <v>6.7939459999999993E-2</v>
      </c>
    </row>
    <row r="887" spans="1:8" x14ac:dyDescent="0.35">
      <c r="A887" s="23">
        <v>1.7285160000000001E-2</v>
      </c>
      <c r="B887" s="23">
        <f t="shared" si="26"/>
        <v>8.3526539999999996E-2</v>
      </c>
      <c r="C887" s="24"/>
      <c r="D887" s="24">
        <f t="shared" si="27"/>
        <v>40.246698113207543</v>
      </c>
      <c r="E887" s="21"/>
      <c r="G887" s="23">
        <v>-0.1279845</v>
      </c>
      <c r="H887" s="23">
        <v>8.3526539999999996E-2</v>
      </c>
    </row>
    <row r="888" spans="1:8" x14ac:dyDescent="0.35">
      <c r="A888" s="23">
        <v>1.7304690000000001E-2</v>
      </c>
      <c r="B888" s="23">
        <f t="shared" si="26"/>
        <v>9.9022449999999998E-2</v>
      </c>
      <c r="C888" s="24"/>
      <c r="D888" s="24">
        <f t="shared" si="27"/>
        <v>46.276352201257865</v>
      </c>
      <c r="E888" s="21"/>
      <c r="G888" s="23">
        <v>-0.14715880000000001</v>
      </c>
      <c r="H888" s="23">
        <v>9.9022449999999998E-2</v>
      </c>
    </row>
    <row r="889" spans="1:8" x14ac:dyDescent="0.35">
      <c r="A889" s="23">
        <v>1.7324220000000001E-2</v>
      </c>
      <c r="B889" s="23">
        <f t="shared" si="26"/>
        <v>0.113578</v>
      </c>
      <c r="C889" s="24"/>
      <c r="D889" s="24">
        <f t="shared" si="27"/>
        <v>51.80990566037736</v>
      </c>
      <c r="E889" s="21"/>
      <c r="G889" s="23">
        <v>-0.1647555</v>
      </c>
      <c r="H889" s="23">
        <v>0.113578</v>
      </c>
    </row>
    <row r="890" spans="1:8" x14ac:dyDescent="0.35">
      <c r="A890" s="23">
        <v>1.7343750000000002E-2</v>
      </c>
      <c r="B890" s="23">
        <f t="shared" si="26"/>
        <v>0.12715969999999999</v>
      </c>
      <c r="C890" s="24"/>
      <c r="D890" s="24">
        <f t="shared" si="27"/>
        <v>56.934056603773577</v>
      </c>
      <c r="E890" s="21"/>
      <c r="G890" s="23">
        <v>-0.1810503</v>
      </c>
      <c r="H890" s="23">
        <v>0.12715969999999999</v>
      </c>
    </row>
    <row r="891" spans="1:8" x14ac:dyDescent="0.35">
      <c r="A891" s="23">
        <v>1.7363279999999998E-2</v>
      </c>
      <c r="B891" s="23">
        <f t="shared" si="26"/>
        <v>0.14095679999999999</v>
      </c>
      <c r="C891" s="24"/>
      <c r="D891" s="24">
        <f t="shared" si="27"/>
        <v>62.177515723270439</v>
      </c>
      <c r="E891" s="21"/>
      <c r="G891" s="23">
        <v>-0.1977245</v>
      </c>
      <c r="H891" s="23">
        <v>0.14095679999999999</v>
      </c>
    </row>
    <row r="892" spans="1:8" x14ac:dyDescent="0.35">
      <c r="A892" s="23">
        <v>1.7382809999999999E-2</v>
      </c>
      <c r="B892" s="23">
        <f t="shared" si="26"/>
        <v>0.15409870000000001</v>
      </c>
      <c r="C892" s="24"/>
      <c r="D892" s="24">
        <f t="shared" si="27"/>
        <v>66.987295597484277</v>
      </c>
      <c r="E892" s="21"/>
      <c r="G892" s="23">
        <v>-0.2130196</v>
      </c>
      <c r="H892" s="23">
        <v>0.15409870000000001</v>
      </c>
    </row>
    <row r="893" spans="1:8" x14ac:dyDescent="0.35">
      <c r="A893" s="23">
        <v>1.7402339999999999E-2</v>
      </c>
      <c r="B893" s="23">
        <f t="shared" si="26"/>
        <v>0.1667362</v>
      </c>
      <c r="C893" s="24"/>
      <c r="D893" s="24">
        <f t="shared" si="27"/>
        <v>71.795062893081763</v>
      </c>
      <c r="E893" s="21"/>
      <c r="G893" s="23">
        <v>-0.22830829999999999</v>
      </c>
      <c r="H893" s="23">
        <v>0.1667362</v>
      </c>
    </row>
    <row r="894" spans="1:8" x14ac:dyDescent="0.35">
      <c r="A894" s="23">
        <v>1.7421869999999999E-2</v>
      </c>
      <c r="B894" s="23">
        <f t="shared" si="26"/>
        <v>0.179094</v>
      </c>
      <c r="C894" s="24"/>
      <c r="D894" s="24">
        <f t="shared" si="27"/>
        <v>76.549371069182385</v>
      </c>
      <c r="E894" s="21"/>
      <c r="G894" s="23">
        <v>-0.243427</v>
      </c>
      <c r="H894" s="23">
        <v>0.179094</v>
      </c>
    </row>
    <row r="895" spans="1:8" x14ac:dyDescent="0.35">
      <c r="A895" s="23">
        <v>1.7441410000000001E-2</v>
      </c>
      <c r="B895" s="23">
        <f t="shared" si="26"/>
        <v>0.18919159999999999</v>
      </c>
      <c r="C895" s="24"/>
      <c r="D895" s="24">
        <f t="shared" si="27"/>
        <v>80.243364779874213</v>
      </c>
      <c r="E895" s="21"/>
      <c r="G895" s="23">
        <v>-0.25517390000000001</v>
      </c>
      <c r="H895" s="23">
        <v>0.18919159999999999</v>
      </c>
    </row>
    <row r="896" spans="1:8" x14ac:dyDescent="0.35">
      <c r="A896" s="23">
        <v>1.7460940000000001E-2</v>
      </c>
      <c r="B896" s="23">
        <f t="shared" si="26"/>
        <v>0.1980731</v>
      </c>
      <c r="C896" s="24"/>
      <c r="D896" s="24">
        <f t="shared" si="27"/>
        <v>83.653679245283016</v>
      </c>
      <c r="E896" s="21"/>
      <c r="G896" s="23">
        <v>-0.2660187</v>
      </c>
      <c r="H896" s="23">
        <v>0.1980731</v>
      </c>
    </row>
    <row r="897" spans="1:8" x14ac:dyDescent="0.35">
      <c r="A897" s="23">
        <v>1.7480470000000001E-2</v>
      </c>
      <c r="B897" s="23">
        <f t="shared" si="26"/>
        <v>0.2073691</v>
      </c>
      <c r="C897" s="24"/>
      <c r="D897" s="24">
        <f t="shared" si="27"/>
        <v>87.183773584905651</v>
      </c>
      <c r="E897" s="21"/>
      <c r="G897" s="23">
        <v>-0.2772444</v>
      </c>
      <c r="H897" s="23">
        <v>0.2073691</v>
      </c>
    </row>
    <row r="898" spans="1:8" x14ac:dyDescent="0.35">
      <c r="A898" s="23">
        <v>1.7500000000000002E-2</v>
      </c>
      <c r="B898" s="23">
        <f t="shared" ref="B898:B961" si="28">H898</f>
        <v>0.21595059999999999</v>
      </c>
      <c r="C898" s="24"/>
      <c r="D898" s="24">
        <f t="shared" ref="D898:D961" si="29">G898*-1000/3.18</f>
        <v>90.262044025157223</v>
      </c>
      <c r="E898" s="21"/>
      <c r="G898" s="23">
        <v>-0.28703329999999999</v>
      </c>
      <c r="H898" s="23">
        <v>0.21595059999999999</v>
      </c>
    </row>
    <row r="899" spans="1:8" x14ac:dyDescent="0.35">
      <c r="A899" s="23">
        <v>1.7519529999999998E-2</v>
      </c>
      <c r="B899" s="23">
        <f t="shared" si="28"/>
        <v>0.223438</v>
      </c>
      <c r="C899" s="24"/>
      <c r="D899" s="24">
        <f t="shared" si="29"/>
        <v>93.024496855345916</v>
      </c>
      <c r="E899" s="21"/>
      <c r="G899" s="23">
        <v>-0.29581790000000002</v>
      </c>
      <c r="H899" s="23">
        <v>0.223438</v>
      </c>
    </row>
    <row r="900" spans="1:8" x14ac:dyDescent="0.35">
      <c r="A900" s="23">
        <v>1.7539059999999999E-2</v>
      </c>
      <c r="B900" s="23">
        <f t="shared" si="28"/>
        <v>0.2299814</v>
      </c>
      <c r="C900" s="24"/>
      <c r="D900" s="24">
        <f t="shared" si="29"/>
        <v>95.449937106918227</v>
      </c>
      <c r="E900" s="21"/>
      <c r="G900" s="23">
        <v>-0.30353079999999999</v>
      </c>
      <c r="H900" s="23">
        <v>0.2299814</v>
      </c>
    </row>
    <row r="901" spans="1:8" x14ac:dyDescent="0.35">
      <c r="A901" s="23">
        <v>1.7558589999999999E-2</v>
      </c>
      <c r="B901" s="23">
        <f t="shared" si="28"/>
        <v>0.235515</v>
      </c>
      <c r="C901" s="24"/>
      <c r="D901" s="24">
        <f t="shared" si="29"/>
        <v>97.427106918238991</v>
      </c>
      <c r="E901" s="21"/>
      <c r="G901" s="23">
        <v>-0.30981819999999999</v>
      </c>
      <c r="H901" s="23">
        <v>0.235515</v>
      </c>
    </row>
    <row r="902" spans="1:8" x14ac:dyDescent="0.35">
      <c r="A902" s="23">
        <v>1.7578119999999999E-2</v>
      </c>
      <c r="B902" s="23">
        <f t="shared" si="28"/>
        <v>0.2395312</v>
      </c>
      <c r="C902" s="24"/>
      <c r="D902" s="24">
        <f t="shared" si="29"/>
        <v>98.837421383647794</v>
      </c>
      <c r="E902" s="21"/>
      <c r="G902" s="23">
        <v>-0.314303</v>
      </c>
      <c r="H902" s="23">
        <v>0.2395312</v>
      </c>
    </row>
    <row r="903" spans="1:8" x14ac:dyDescent="0.35">
      <c r="A903" s="23">
        <v>1.7597660000000001E-2</v>
      </c>
      <c r="B903" s="23">
        <f t="shared" si="28"/>
        <v>0.2426751</v>
      </c>
      <c r="C903" s="24"/>
      <c r="D903" s="24">
        <f t="shared" si="29"/>
        <v>99.972044025157217</v>
      </c>
      <c r="E903" s="21"/>
      <c r="G903" s="23">
        <v>-0.3179111</v>
      </c>
      <c r="H903" s="23">
        <v>0.2426751</v>
      </c>
    </row>
    <row r="904" spans="1:8" x14ac:dyDescent="0.35">
      <c r="A904" s="23">
        <v>1.7617190000000001E-2</v>
      </c>
      <c r="B904" s="23">
        <f t="shared" si="28"/>
        <v>0.2469693</v>
      </c>
      <c r="C904" s="24"/>
      <c r="D904" s="24">
        <f t="shared" si="29"/>
        <v>101.36506289308174</v>
      </c>
      <c r="E904" s="21"/>
      <c r="G904" s="23">
        <v>-0.32234089999999999</v>
      </c>
      <c r="H904" s="23">
        <v>0.2469693</v>
      </c>
    </row>
    <row r="905" spans="1:8" x14ac:dyDescent="0.35">
      <c r="A905" s="23">
        <v>1.7636720000000002E-2</v>
      </c>
      <c r="B905" s="23">
        <f t="shared" si="28"/>
        <v>0.25046800000000002</v>
      </c>
      <c r="C905" s="24"/>
      <c r="D905" s="24">
        <f t="shared" si="29"/>
        <v>102.24374213836478</v>
      </c>
      <c r="E905" s="21"/>
      <c r="G905" s="23">
        <v>-0.32513510000000001</v>
      </c>
      <c r="H905" s="23">
        <v>0.25046800000000002</v>
      </c>
    </row>
    <row r="906" spans="1:8" x14ac:dyDescent="0.35">
      <c r="A906" s="23">
        <v>1.7656249999999998E-2</v>
      </c>
      <c r="B906" s="23">
        <f t="shared" si="28"/>
        <v>0.25117089999999997</v>
      </c>
      <c r="C906" s="24"/>
      <c r="D906" s="24">
        <f t="shared" si="29"/>
        <v>102.27389937106918</v>
      </c>
      <c r="E906" s="21"/>
      <c r="G906" s="23">
        <v>-0.32523099999999999</v>
      </c>
      <c r="H906" s="23">
        <v>0.25117089999999997</v>
      </c>
    </row>
    <row r="907" spans="1:8" x14ac:dyDescent="0.35">
      <c r="A907" s="23">
        <v>1.7675779999999999E-2</v>
      </c>
      <c r="B907" s="23">
        <f t="shared" si="28"/>
        <v>0.25153969999999998</v>
      </c>
      <c r="C907" s="24"/>
      <c r="D907" s="24">
        <f t="shared" si="29"/>
        <v>102.01540880503144</v>
      </c>
      <c r="E907" s="21"/>
      <c r="G907" s="23">
        <v>-0.324409</v>
      </c>
      <c r="H907" s="23">
        <v>0.25153969999999998</v>
      </c>
    </row>
    <row r="908" spans="1:8" x14ac:dyDescent="0.35">
      <c r="A908" s="23">
        <v>1.7695309999999999E-2</v>
      </c>
      <c r="B908" s="23">
        <f t="shared" si="28"/>
        <v>0.2513666</v>
      </c>
      <c r="C908" s="24"/>
      <c r="D908" s="24">
        <f t="shared" si="29"/>
        <v>101.27594339622641</v>
      </c>
      <c r="E908" s="21"/>
      <c r="G908" s="23">
        <v>-0.3220575</v>
      </c>
      <c r="H908" s="23">
        <v>0.2513666</v>
      </c>
    </row>
    <row r="909" spans="1:8" x14ac:dyDescent="0.35">
      <c r="A909" s="23">
        <v>1.7714839999999999E-2</v>
      </c>
      <c r="B909" s="23">
        <f t="shared" si="28"/>
        <v>0.24958130000000001</v>
      </c>
      <c r="C909" s="24"/>
      <c r="D909" s="24">
        <f t="shared" si="29"/>
        <v>100.2930503144654</v>
      </c>
      <c r="E909" s="21"/>
      <c r="G909" s="23">
        <v>-0.31893189999999999</v>
      </c>
      <c r="H909" s="23">
        <v>0.24958130000000001</v>
      </c>
    </row>
    <row r="910" spans="1:8" x14ac:dyDescent="0.35">
      <c r="A910" s="23">
        <v>1.7734380000000001E-2</v>
      </c>
      <c r="B910" s="23">
        <f t="shared" si="28"/>
        <v>0.24860350000000001</v>
      </c>
      <c r="C910" s="24"/>
      <c r="D910" s="24">
        <f t="shared" si="29"/>
        <v>99.379968553459122</v>
      </c>
      <c r="E910" s="21"/>
      <c r="G910" s="23">
        <v>-0.31602829999999998</v>
      </c>
      <c r="H910" s="23">
        <v>0.24860350000000001</v>
      </c>
    </row>
    <row r="911" spans="1:8" x14ac:dyDescent="0.35">
      <c r="A911" s="23">
        <v>1.7753910000000001E-2</v>
      </c>
      <c r="B911" s="23">
        <f t="shared" si="28"/>
        <v>0.2477531</v>
      </c>
      <c r="C911" s="24"/>
      <c r="D911" s="24">
        <f t="shared" si="29"/>
        <v>98.09279874213837</v>
      </c>
      <c r="E911" s="21"/>
      <c r="G911" s="23">
        <v>-0.31193510000000002</v>
      </c>
      <c r="H911" s="23">
        <v>0.2477531</v>
      </c>
    </row>
    <row r="912" spans="1:8" x14ac:dyDescent="0.35">
      <c r="A912" s="23">
        <v>1.7773440000000001E-2</v>
      </c>
      <c r="B912" s="23">
        <f t="shared" si="28"/>
        <v>0.2444963</v>
      </c>
      <c r="C912" s="24"/>
      <c r="D912" s="24">
        <f t="shared" si="29"/>
        <v>96.28628930817608</v>
      </c>
      <c r="E912" s="21"/>
      <c r="G912" s="23">
        <v>-0.30619039999999997</v>
      </c>
      <c r="H912" s="23">
        <v>0.2444963</v>
      </c>
    </row>
    <row r="913" spans="1:8" x14ac:dyDescent="0.35">
      <c r="A913" s="23">
        <v>1.7792970000000002E-2</v>
      </c>
      <c r="B913" s="23">
        <f t="shared" si="28"/>
        <v>0.23973349999999999</v>
      </c>
      <c r="C913" s="24"/>
      <c r="D913" s="24">
        <f t="shared" si="29"/>
        <v>93.847672955974843</v>
      </c>
      <c r="E913" s="21"/>
      <c r="G913" s="23">
        <v>-0.29843560000000002</v>
      </c>
      <c r="H913" s="23">
        <v>0.23973349999999999</v>
      </c>
    </row>
    <row r="914" spans="1:8" x14ac:dyDescent="0.35">
      <c r="A914" s="23">
        <v>1.7812499999999998E-2</v>
      </c>
      <c r="B914" s="23">
        <f t="shared" si="28"/>
        <v>0.2351249</v>
      </c>
      <c r="C914" s="24"/>
      <c r="D914" s="24">
        <f t="shared" si="29"/>
        <v>90.921069182389942</v>
      </c>
      <c r="E914" s="21"/>
      <c r="G914" s="23">
        <v>-0.28912900000000002</v>
      </c>
      <c r="H914" s="23">
        <v>0.2351249</v>
      </c>
    </row>
    <row r="915" spans="1:8" x14ac:dyDescent="0.35">
      <c r="A915" s="23">
        <v>1.7832029999999999E-2</v>
      </c>
      <c r="B915" s="23">
        <f t="shared" si="28"/>
        <v>0.23039750000000001</v>
      </c>
      <c r="C915" s="24"/>
      <c r="D915" s="24">
        <f t="shared" si="29"/>
        <v>87.97147798742138</v>
      </c>
      <c r="E915" s="21"/>
      <c r="G915" s="23">
        <v>-0.27974929999999998</v>
      </c>
      <c r="H915" s="23">
        <v>0.23039750000000001</v>
      </c>
    </row>
    <row r="916" spans="1:8" x14ac:dyDescent="0.35">
      <c r="A916" s="23">
        <v>1.7851559999999999E-2</v>
      </c>
      <c r="B916" s="23">
        <f t="shared" si="28"/>
        <v>0.223942</v>
      </c>
      <c r="C916" s="24"/>
      <c r="D916" s="24">
        <f t="shared" si="29"/>
        <v>84.823050314465405</v>
      </c>
      <c r="E916" s="21"/>
      <c r="G916" s="23">
        <v>-0.26973730000000001</v>
      </c>
      <c r="H916" s="23">
        <v>0.223942</v>
      </c>
    </row>
    <row r="917" spans="1:8" x14ac:dyDescent="0.35">
      <c r="A917" s="23">
        <v>1.7871089999999999E-2</v>
      </c>
      <c r="B917" s="23">
        <f t="shared" si="28"/>
        <v>0.21681039999999999</v>
      </c>
      <c r="C917" s="24"/>
      <c r="D917" s="24">
        <f t="shared" si="29"/>
        <v>81.467861635220132</v>
      </c>
      <c r="E917" s="21"/>
      <c r="G917" s="23">
        <v>-0.25906780000000001</v>
      </c>
      <c r="H917" s="23">
        <v>0.21681039999999999</v>
      </c>
    </row>
    <row r="918" spans="1:8" x14ac:dyDescent="0.35">
      <c r="A918" s="23">
        <v>1.7890630000000001E-2</v>
      </c>
      <c r="B918" s="23">
        <f t="shared" si="28"/>
        <v>0.2109219</v>
      </c>
      <c r="C918" s="24"/>
      <c r="D918" s="24">
        <f t="shared" si="29"/>
        <v>77.943238993710693</v>
      </c>
      <c r="E918" s="21"/>
      <c r="G918" s="23">
        <v>-0.24785950000000001</v>
      </c>
      <c r="H918" s="23">
        <v>0.2109219</v>
      </c>
    </row>
    <row r="919" spans="1:8" x14ac:dyDescent="0.35">
      <c r="A919" s="23">
        <v>1.7910160000000001E-2</v>
      </c>
      <c r="B919" s="23">
        <f t="shared" si="28"/>
        <v>0.20199259999999999</v>
      </c>
      <c r="C919" s="24"/>
      <c r="D919" s="24">
        <f t="shared" si="29"/>
        <v>73.744150943396221</v>
      </c>
      <c r="E919" s="21"/>
      <c r="G919" s="23">
        <v>-0.2345064</v>
      </c>
      <c r="H919" s="23">
        <v>0.20199259999999999</v>
      </c>
    </row>
    <row r="920" spans="1:8" x14ac:dyDescent="0.35">
      <c r="A920" s="23">
        <v>1.7929690000000002E-2</v>
      </c>
      <c r="B920" s="23">
        <f t="shared" si="28"/>
        <v>0.19026950000000001</v>
      </c>
      <c r="C920" s="24"/>
      <c r="D920" s="24">
        <f t="shared" si="29"/>
        <v>68.963238993710689</v>
      </c>
      <c r="E920" s="21"/>
      <c r="G920" s="23">
        <v>-0.2193031</v>
      </c>
      <c r="H920" s="23">
        <v>0.19026950000000001</v>
      </c>
    </row>
    <row r="921" spans="1:8" x14ac:dyDescent="0.35">
      <c r="A921" s="23">
        <v>1.7949219999999998E-2</v>
      </c>
      <c r="B921" s="23">
        <f t="shared" si="28"/>
        <v>0.1804289</v>
      </c>
      <c r="C921" s="24"/>
      <c r="D921" s="24">
        <f t="shared" si="29"/>
        <v>64.073773584905666</v>
      </c>
      <c r="E921" s="21"/>
      <c r="G921" s="23">
        <v>-0.20375460000000001</v>
      </c>
      <c r="H921" s="23">
        <v>0.1804289</v>
      </c>
    </row>
    <row r="922" spans="1:8" x14ac:dyDescent="0.35">
      <c r="A922" s="23">
        <v>1.7968749999999999E-2</v>
      </c>
      <c r="B922" s="23">
        <f t="shared" si="28"/>
        <v>0.1696232</v>
      </c>
      <c r="C922" s="24"/>
      <c r="D922" s="24">
        <f t="shared" si="29"/>
        <v>59.184748427672957</v>
      </c>
      <c r="E922" s="21"/>
      <c r="G922" s="23">
        <v>-0.1882075</v>
      </c>
      <c r="H922" s="23">
        <v>0.1696232</v>
      </c>
    </row>
    <row r="923" spans="1:8" x14ac:dyDescent="0.35">
      <c r="A923" s="23">
        <v>1.7988279999999999E-2</v>
      </c>
      <c r="B923" s="23">
        <f t="shared" si="28"/>
        <v>0.15814600000000001</v>
      </c>
      <c r="C923" s="24"/>
      <c r="D923" s="24">
        <f t="shared" si="29"/>
        <v>54.391037735849046</v>
      </c>
      <c r="E923" s="21"/>
      <c r="G923" s="23">
        <v>-0.17296349999999999</v>
      </c>
      <c r="H923" s="23">
        <v>0.15814600000000001</v>
      </c>
    </row>
    <row r="924" spans="1:8" x14ac:dyDescent="0.35">
      <c r="A924" s="23">
        <v>1.8007809999999999E-2</v>
      </c>
      <c r="B924" s="23">
        <f t="shared" si="28"/>
        <v>0.1481017</v>
      </c>
      <c r="C924" s="24"/>
      <c r="D924" s="24">
        <f t="shared" si="29"/>
        <v>49.407515723270443</v>
      </c>
      <c r="E924" s="21"/>
      <c r="G924" s="23">
        <v>-0.1571159</v>
      </c>
      <c r="H924" s="23">
        <v>0.1481017</v>
      </c>
    </row>
    <row r="925" spans="1:8" x14ac:dyDescent="0.35">
      <c r="A925" s="23">
        <v>1.8027339999999999E-2</v>
      </c>
      <c r="B925" s="23">
        <f t="shared" si="28"/>
        <v>0.137513</v>
      </c>
      <c r="C925" s="24"/>
      <c r="D925" s="24">
        <f t="shared" si="29"/>
        <v>43.796540880503144</v>
      </c>
      <c r="E925" s="21"/>
      <c r="G925" s="23">
        <v>-0.13927300000000001</v>
      </c>
      <c r="H925" s="23">
        <v>0.137513</v>
      </c>
    </row>
    <row r="926" spans="1:8" x14ac:dyDescent="0.35">
      <c r="A926" s="23">
        <v>1.8046880000000001E-2</v>
      </c>
      <c r="B926" s="23">
        <f t="shared" si="28"/>
        <v>0.12338979999999999</v>
      </c>
      <c r="C926" s="24"/>
      <c r="D926" s="24">
        <f t="shared" si="29"/>
        <v>37.802610062893081</v>
      </c>
      <c r="E926" s="21"/>
      <c r="G926" s="23">
        <v>-0.12021229999999999</v>
      </c>
      <c r="H926" s="23">
        <v>0.12338979999999999</v>
      </c>
    </row>
    <row r="927" spans="1:8" x14ac:dyDescent="0.35">
      <c r="A927" s="23">
        <v>1.8066410000000001E-2</v>
      </c>
      <c r="B927" s="23">
        <f t="shared" si="28"/>
        <v>0.1083605</v>
      </c>
      <c r="C927" s="24"/>
      <c r="D927" s="24">
        <f t="shared" si="29"/>
        <v>31.668616352201255</v>
      </c>
      <c r="E927" s="21"/>
      <c r="G927" s="23">
        <v>-0.1007062</v>
      </c>
      <c r="H927" s="23">
        <v>0.1083605</v>
      </c>
    </row>
    <row r="928" spans="1:8" x14ac:dyDescent="0.35">
      <c r="A928" s="23">
        <v>1.8085939999999998E-2</v>
      </c>
      <c r="B928" s="23">
        <f t="shared" si="28"/>
        <v>9.8169179999999995E-2</v>
      </c>
      <c r="C928" s="24"/>
      <c r="D928" s="24">
        <f t="shared" si="29"/>
        <v>25.869047169811317</v>
      </c>
      <c r="E928" s="21"/>
      <c r="G928" s="23">
        <v>-8.2263569999999994E-2</v>
      </c>
      <c r="H928" s="23">
        <v>9.8169179999999995E-2</v>
      </c>
    </row>
    <row r="929" spans="1:8" x14ac:dyDescent="0.35">
      <c r="A929" s="23">
        <v>1.8105469999999999E-2</v>
      </c>
      <c r="B929" s="23">
        <f t="shared" si="28"/>
        <v>8.7066420000000005E-2</v>
      </c>
      <c r="C929" s="24"/>
      <c r="D929" s="24">
        <f t="shared" si="29"/>
        <v>20.377952830188679</v>
      </c>
      <c r="E929" s="21"/>
      <c r="G929" s="23">
        <v>-6.4801890000000001E-2</v>
      </c>
      <c r="H929" s="23">
        <v>8.7066420000000005E-2</v>
      </c>
    </row>
    <row r="930" spans="1:8" x14ac:dyDescent="0.35">
      <c r="A930" s="23">
        <v>1.8124999999999999E-2</v>
      </c>
      <c r="B930" s="23">
        <f t="shared" si="28"/>
        <v>7.2489189999999995E-2</v>
      </c>
      <c r="C930" s="24"/>
      <c r="D930" s="24">
        <f t="shared" si="29"/>
        <v>14.223424528301885</v>
      </c>
      <c r="E930" s="21"/>
      <c r="G930" s="23">
        <v>-4.5230489999999998E-2</v>
      </c>
      <c r="H930" s="23">
        <v>7.2489189999999995E-2</v>
      </c>
    </row>
    <row r="931" spans="1:8" x14ac:dyDescent="0.35">
      <c r="A931" s="23">
        <v>1.8144529999999999E-2</v>
      </c>
      <c r="B931" s="23">
        <f t="shared" si="28"/>
        <v>5.8445190000000001E-2</v>
      </c>
      <c r="C931" s="24"/>
      <c r="D931" s="24">
        <f t="shared" si="29"/>
        <v>7.9344150943396219</v>
      </c>
      <c r="E931" s="21"/>
      <c r="G931" s="23">
        <v>-2.5231440000000001E-2</v>
      </c>
      <c r="H931" s="23">
        <v>5.8445190000000001E-2</v>
      </c>
    </row>
    <row r="932" spans="1:8" x14ac:dyDescent="0.35">
      <c r="A932" s="23">
        <v>1.8164059999999999E-2</v>
      </c>
      <c r="B932" s="23">
        <f t="shared" si="28"/>
        <v>4.4234280000000001E-2</v>
      </c>
      <c r="C932" s="24"/>
      <c r="D932" s="24">
        <f t="shared" si="29"/>
        <v>1.7876106918238996</v>
      </c>
      <c r="E932" s="21"/>
      <c r="G932" s="23">
        <v>-5.6846020000000004E-3</v>
      </c>
      <c r="H932" s="23">
        <v>4.4234280000000001E-2</v>
      </c>
    </row>
    <row r="933" spans="1:8" x14ac:dyDescent="0.35">
      <c r="A933" s="23">
        <v>1.8183589999999999E-2</v>
      </c>
      <c r="B933" s="23">
        <f t="shared" si="28"/>
        <v>2.9468020000000001E-2</v>
      </c>
      <c r="C933" s="24"/>
      <c r="D933" s="24">
        <f t="shared" si="29"/>
        <v>-4.8021006289308179</v>
      </c>
      <c r="E933" s="21"/>
      <c r="G933" s="23">
        <v>1.527068E-2</v>
      </c>
      <c r="H933" s="23">
        <v>2.9468020000000001E-2</v>
      </c>
    </row>
    <row r="934" spans="1:8" x14ac:dyDescent="0.35">
      <c r="A934" s="23">
        <v>1.8203130000000001E-2</v>
      </c>
      <c r="B934" s="23">
        <f t="shared" si="28"/>
        <v>1.302709E-2</v>
      </c>
      <c r="C934" s="24"/>
      <c r="D934" s="24">
        <f t="shared" si="29"/>
        <v>-11.198201257861635</v>
      </c>
      <c r="E934" s="21"/>
      <c r="G934" s="23">
        <v>3.5610280000000001E-2</v>
      </c>
      <c r="H934" s="23">
        <v>1.302709E-2</v>
      </c>
    </row>
    <row r="935" spans="1:8" x14ac:dyDescent="0.35">
      <c r="A935" s="23">
        <v>1.8222660000000002E-2</v>
      </c>
      <c r="B935" s="23">
        <f t="shared" si="28"/>
        <v>-3.4533260000000001E-3</v>
      </c>
      <c r="C935" s="24"/>
      <c r="D935" s="24">
        <f t="shared" si="29"/>
        <v>-17.308342767295596</v>
      </c>
      <c r="E935" s="21"/>
      <c r="G935" s="23">
        <v>5.5040529999999997E-2</v>
      </c>
      <c r="H935" s="23">
        <v>-3.4533260000000001E-3</v>
      </c>
    </row>
    <row r="936" spans="1:8" x14ac:dyDescent="0.35">
      <c r="A936" s="23">
        <v>1.8242189999999998E-2</v>
      </c>
      <c r="B936" s="23">
        <f t="shared" si="28"/>
        <v>-2.0539959999999999E-2</v>
      </c>
      <c r="C936" s="24"/>
      <c r="D936" s="24">
        <f t="shared" si="29"/>
        <v>-23.274550314465408</v>
      </c>
      <c r="E936" s="21"/>
      <c r="G936" s="23">
        <v>7.401307E-2</v>
      </c>
      <c r="H936" s="23">
        <v>-2.0539959999999999E-2</v>
      </c>
    </row>
    <row r="937" spans="1:8" x14ac:dyDescent="0.35">
      <c r="A937" s="23">
        <v>1.8261719999999999E-2</v>
      </c>
      <c r="B937" s="23">
        <f t="shared" si="28"/>
        <v>-3.8377599999999998E-2</v>
      </c>
      <c r="C937" s="24"/>
      <c r="D937" s="24">
        <f t="shared" si="29"/>
        <v>-28.971006289308171</v>
      </c>
      <c r="E937" s="21"/>
      <c r="G937" s="23">
        <v>9.2127799999999996E-2</v>
      </c>
      <c r="H937" s="23">
        <v>-3.8377599999999998E-2</v>
      </c>
    </row>
    <row r="938" spans="1:8" x14ac:dyDescent="0.35">
      <c r="A938" s="23">
        <v>1.8281249999999999E-2</v>
      </c>
      <c r="B938" s="23">
        <f t="shared" si="28"/>
        <v>-5.5977190000000003E-2</v>
      </c>
      <c r="C938" s="24"/>
      <c r="D938" s="24">
        <f t="shared" si="29"/>
        <v>-34.776729559748425</v>
      </c>
      <c r="E938" s="21"/>
      <c r="G938" s="23">
        <v>0.11058999999999999</v>
      </c>
      <c r="H938" s="23">
        <v>-5.5977190000000003E-2</v>
      </c>
    </row>
    <row r="939" spans="1:8" x14ac:dyDescent="0.35">
      <c r="A939" s="23">
        <v>1.8300779999999999E-2</v>
      </c>
      <c r="B939" s="23">
        <f t="shared" si="28"/>
        <v>-7.6456109999999994E-2</v>
      </c>
      <c r="C939" s="24"/>
      <c r="D939" s="24">
        <f t="shared" si="29"/>
        <v>-40.644433962264152</v>
      </c>
      <c r="E939" s="21"/>
      <c r="G939" s="23">
        <v>0.12924930000000001</v>
      </c>
      <c r="H939" s="23">
        <v>-7.6456109999999994E-2</v>
      </c>
    </row>
    <row r="940" spans="1:8" x14ac:dyDescent="0.35">
      <c r="A940" s="23">
        <v>1.8320309999999999E-2</v>
      </c>
      <c r="B940" s="23">
        <f t="shared" si="28"/>
        <v>-9.6628350000000002E-2</v>
      </c>
      <c r="C940" s="24"/>
      <c r="D940" s="24">
        <f t="shared" si="29"/>
        <v>-46.380157232704398</v>
      </c>
      <c r="E940" s="21"/>
      <c r="G940" s="23">
        <v>0.14748890000000001</v>
      </c>
      <c r="H940" s="23">
        <v>-9.6628350000000002E-2</v>
      </c>
    </row>
    <row r="941" spans="1:8" x14ac:dyDescent="0.35">
      <c r="A941" s="23">
        <v>1.833984E-2</v>
      </c>
      <c r="B941" s="23">
        <f t="shared" si="28"/>
        <v>-0.1161841</v>
      </c>
      <c r="C941" s="24"/>
      <c r="D941" s="24">
        <f t="shared" si="29"/>
        <v>-52.147389937106915</v>
      </c>
      <c r="E941" s="21"/>
      <c r="G941" s="23">
        <v>0.1658287</v>
      </c>
      <c r="H941" s="23">
        <v>-0.1161841</v>
      </c>
    </row>
    <row r="942" spans="1:8" x14ac:dyDescent="0.35">
      <c r="A942" s="23">
        <v>1.8359380000000002E-2</v>
      </c>
      <c r="B942" s="23">
        <f t="shared" si="28"/>
        <v>-0.1349303</v>
      </c>
      <c r="C942" s="24"/>
      <c r="D942" s="24">
        <f t="shared" si="29"/>
        <v>-57.382295597484273</v>
      </c>
      <c r="E942" s="21"/>
      <c r="G942" s="23">
        <v>0.18247569999999999</v>
      </c>
      <c r="H942" s="23">
        <v>-0.1349303</v>
      </c>
    </row>
    <row r="943" spans="1:8" x14ac:dyDescent="0.35">
      <c r="A943" s="23">
        <v>1.8378909999999998E-2</v>
      </c>
      <c r="B943" s="23">
        <f t="shared" si="28"/>
        <v>-0.150729</v>
      </c>
      <c r="C943" s="24"/>
      <c r="D943" s="24">
        <f t="shared" si="29"/>
        <v>-61.942421383647797</v>
      </c>
      <c r="E943" s="21"/>
      <c r="G943" s="23">
        <v>0.19697690000000001</v>
      </c>
      <c r="H943" s="23">
        <v>-0.150729</v>
      </c>
    </row>
    <row r="944" spans="1:8" x14ac:dyDescent="0.35">
      <c r="A944" s="23">
        <v>1.8398439999999999E-2</v>
      </c>
      <c r="B944" s="23">
        <f t="shared" si="28"/>
        <v>-0.16747419999999999</v>
      </c>
      <c r="C944" s="24"/>
      <c r="D944" s="24">
        <f t="shared" si="29"/>
        <v>-66.958144654088045</v>
      </c>
      <c r="E944" s="21"/>
      <c r="G944" s="23">
        <v>0.2129269</v>
      </c>
      <c r="H944" s="23">
        <v>-0.16747419999999999</v>
      </c>
    </row>
    <row r="945" spans="1:8" x14ac:dyDescent="0.35">
      <c r="A945" s="23">
        <v>1.8417969999999999E-2</v>
      </c>
      <c r="B945" s="23">
        <f t="shared" si="28"/>
        <v>-0.18295520000000001</v>
      </c>
      <c r="C945" s="24"/>
      <c r="D945" s="24">
        <f t="shared" si="29"/>
        <v>-71.891572327044017</v>
      </c>
      <c r="E945" s="21"/>
      <c r="G945" s="23">
        <v>0.22861519999999999</v>
      </c>
      <c r="H945" s="23">
        <v>-0.18295520000000001</v>
      </c>
    </row>
    <row r="946" spans="1:8" x14ac:dyDescent="0.35">
      <c r="A946" s="23">
        <v>1.8437499999999999E-2</v>
      </c>
      <c r="B946" s="23">
        <f t="shared" si="28"/>
        <v>-0.19596649999999999</v>
      </c>
      <c r="C946" s="24"/>
      <c r="D946" s="24">
        <f t="shared" si="29"/>
        <v>-76.157264150943391</v>
      </c>
      <c r="E946" s="21"/>
      <c r="G946" s="23">
        <v>0.24218010000000001</v>
      </c>
      <c r="H946" s="23">
        <v>-0.19596649999999999</v>
      </c>
    </row>
    <row r="947" spans="1:8" x14ac:dyDescent="0.35">
      <c r="A947" s="23">
        <v>1.8457029999999999E-2</v>
      </c>
      <c r="B947" s="23">
        <f t="shared" si="28"/>
        <v>-0.20785210000000001</v>
      </c>
      <c r="C947" s="24"/>
      <c r="D947" s="24">
        <f t="shared" si="29"/>
        <v>-80.282893081761017</v>
      </c>
      <c r="E947" s="21"/>
      <c r="G947" s="23">
        <v>0.25529960000000002</v>
      </c>
      <c r="H947" s="23">
        <v>-0.20785210000000001</v>
      </c>
    </row>
    <row r="948" spans="1:8" x14ac:dyDescent="0.35">
      <c r="A948" s="23">
        <v>1.847656E-2</v>
      </c>
      <c r="B948" s="23">
        <f t="shared" si="28"/>
        <v>-0.21727109999999999</v>
      </c>
      <c r="C948" s="24"/>
      <c r="D948" s="24">
        <f t="shared" si="29"/>
        <v>-83.820345911949701</v>
      </c>
      <c r="E948" s="21"/>
      <c r="G948" s="23">
        <v>0.26654870000000003</v>
      </c>
      <c r="H948" s="23">
        <v>-0.21727109999999999</v>
      </c>
    </row>
    <row r="949" spans="1:8" x14ac:dyDescent="0.35">
      <c r="A949" s="23">
        <v>1.849609E-2</v>
      </c>
      <c r="B949" s="23">
        <f t="shared" si="28"/>
        <v>-0.2269196</v>
      </c>
      <c r="C949" s="24"/>
      <c r="D949" s="24">
        <f t="shared" si="29"/>
        <v>-87.249088050314455</v>
      </c>
      <c r="E949" s="21"/>
      <c r="G949" s="23">
        <v>0.27745209999999998</v>
      </c>
      <c r="H949" s="23">
        <v>-0.2269196</v>
      </c>
    </row>
    <row r="950" spans="1:8" x14ac:dyDescent="0.35">
      <c r="A950" s="23">
        <v>1.8515630000000002E-2</v>
      </c>
      <c r="B950" s="23">
        <f t="shared" si="28"/>
        <v>-0.23625460000000001</v>
      </c>
      <c r="C950" s="24"/>
      <c r="D950" s="24">
        <f t="shared" si="29"/>
        <v>-90.66805031446539</v>
      </c>
      <c r="E950" s="21"/>
      <c r="G950" s="23">
        <v>0.28832439999999998</v>
      </c>
      <c r="H950" s="23">
        <v>-0.23625460000000001</v>
      </c>
    </row>
    <row r="951" spans="1:8" x14ac:dyDescent="0.35">
      <c r="A951" s="23">
        <v>1.8535159999999998E-2</v>
      </c>
      <c r="B951" s="23">
        <f t="shared" si="28"/>
        <v>-0.2435861</v>
      </c>
      <c r="C951" s="24"/>
      <c r="D951" s="24">
        <f t="shared" si="29"/>
        <v>-93.356635220125781</v>
      </c>
      <c r="E951" s="21"/>
      <c r="G951" s="23">
        <v>0.29687409999999997</v>
      </c>
      <c r="H951" s="23">
        <v>-0.2435861</v>
      </c>
    </row>
    <row r="952" spans="1:8" x14ac:dyDescent="0.35">
      <c r="A952" s="23">
        <v>1.8554689999999999E-2</v>
      </c>
      <c r="B952" s="23">
        <f t="shared" si="28"/>
        <v>-0.25047219999999998</v>
      </c>
      <c r="C952" s="24"/>
      <c r="D952" s="24">
        <f t="shared" si="29"/>
        <v>-95.806069182389948</v>
      </c>
      <c r="E952" s="21"/>
      <c r="G952" s="23">
        <v>0.30466330000000003</v>
      </c>
      <c r="H952" s="23">
        <v>-0.25047219999999998</v>
      </c>
    </row>
    <row r="953" spans="1:8" x14ac:dyDescent="0.35">
      <c r="A953" s="23">
        <v>1.8574219999999999E-2</v>
      </c>
      <c r="B953" s="23">
        <f t="shared" si="28"/>
        <v>-0.25706210000000002</v>
      </c>
      <c r="C953" s="24"/>
      <c r="D953" s="24">
        <f t="shared" si="29"/>
        <v>-98.126540880503129</v>
      </c>
      <c r="E953" s="21"/>
      <c r="G953" s="23">
        <v>0.3120424</v>
      </c>
      <c r="H953" s="23">
        <v>-0.25706210000000002</v>
      </c>
    </row>
    <row r="954" spans="1:8" x14ac:dyDescent="0.35">
      <c r="A954" s="23">
        <v>1.8593749999999999E-2</v>
      </c>
      <c r="B954" s="23">
        <f t="shared" si="28"/>
        <v>-0.26273200000000002</v>
      </c>
      <c r="C954" s="24"/>
      <c r="D954" s="24">
        <f t="shared" si="29"/>
        <v>-100.02276729559746</v>
      </c>
      <c r="E954" s="21"/>
      <c r="G954" s="23">
        <v>0.31807239999999998</v>
      </c>
      <c r="H954" s="23">
        <v>-0.26273200000000002</v>
      </c>
    </row>
    <row r="955" spans="1:8" x14ac:dyDescent="0.35">
      <c r="A955" s="23">
        <v>1.8613279999999999E-2</v>
      </c>
      <c r="B955" s="23">
        <f t="shared" si="28"/>
        <v>-0.2667293</v>
      </c>
      <c r="C955" s="24"/>
      <c r="D955" s="24">
        <f t="shared" si="29"/>
        <v>-101.38949685534591</v>
      </c>
      <c r="E955" s="21"/>
      <c r="G955" s="23">
        <v>0.3224186</v>
      </c>
      <c r="H955" s="23">
        <v>-0.2667293</v>
      </c>
    </row>
    <row r="956" spans="1:8" x14ac:dyDescent="0.35">
      <c r="A956" s="23">
        <v>1.863281E-2</v>
      </c>
      <c r="B956" s="23">
        <f t="shared" si="28"/>
        <v>-0.26928540000000001</v>
      </c>
      <c r="C956" s="24"/>
      <c r="D956" s="24">
        <f t="shared" si="29"/>
        <v>-102.15905660377358</v>
      </c>
      <c r="E956" s="21"/>
      <c r="G956" s="23">
        <v>0.32486579999999998</v>
      </c>
      <c r="H956" s="23">
        <v>-0.26928540000000001</v>
      </c>
    </row>
    <row r="957" spans="1:8" x14ac:dyDescent="0.35">
      <c r="A957" s="23">
        <v>1.865234E-2</v>
      </c>
      <c r="B957" s="23">
        <f t="shared" si="28"/>
        <v>-0.2709048</v>
      </c>
      <c r="C957" s="24"/>
      <c r="D957" s="24">
        <f t="shared" si="29"/>
        <v>-102.55459119496855</v>
      </c>
      <c r="E957" s="21"/>
      <c r="G957" s="23">
        <v>0.32612360000000001</v>
      </c>
      <c r="H957" s="23">
        <v>-0.2709048</v>
      </c>
    </row>
    <row r="958" spans="1:8" x14ac:dyDescent="0.35">
      <c r="A958" s="23">
        <v>1.8671879999999998E-2</v>
      </c>
      <c r="B958" s="23">
        <f t="shared" si="28"/>
        <v>-0.27205760000000001</v>
      </c>
      <c r="C958" s="24"/>
      <c r="D958" s="24">
        <f t="shared" si="29"/>
        <v>-102.88657232704402</v>
      </c>
      <c r="E958" s="21"/>
      <c r="G958" s="23">
        <v>0.32717930000000001</v>
      </c>
      <c r="H958" s="23">
        <v>-0.27205760000000001</v>
      </c>
    </row>
    <row r="959" spans="1:8" x14ac:dyDescent="0.35">
      <c r="A959" s="23">
        <v>1.8691409999999999E-2</v>
      </c>
      <c r="B959" s="23">
        <f t="shared" si="28"/>
        <v>-0.27279019999999998</v>
      </c>
      <c r="C959" s="24"/>
      <c r="D959" s="24">
        <f t="shared" si="29"/>
        <v>-103.01679245283017</v>
      </c>
      <c r="E959" s="21"/>
      <c r="G959" s="23">
        <v>0.32759339999999998</v>
      </c>
      <c r="H959" s="23">
        <v>-0.27279019999999998</v>
      </c>
    </row>
    <row r="960" spans="1:8" x14ac:dyDescent="0.35">
      <c r="A960" s="23">
        <v>1.8710939999999999E-2</v>
      </c>
      <c r="B960" s="23">
        <f t="shared" si="28"/>
        <v>-0.27216319999999999</v>
      </c>
      <c r="C960" s="24"/>
      <c r="D960" s="24">
        <f t="shared" si="29"/>
        <v>-102.65355345911949</v>
      </c>
      <c r="E960" s="21"/>
      <c r="G960" s="23">
        <v>0.32643830000000001</v>
      </c>
      <c r="H960" s="23">
        <v>-0.27216319999999999</v>
      </c>
    </row>
    <row r="961" spans="1:8" x14ac:dyDescent="0.35">
      <c r="A961" s="23">
        <v>1.8730469999999999E-2</v>
      </c>
      <c r="B961" s="23">
        <f t="shared" si="28"/>
        <v>-0.26995989999999997</v>
      </c>
      <c r="C961" s="24"/>
      <c r="D961" s="24">
        <f t="shared" si="29"/>
        <v>-101.66603773584905</v>
      </c>
      <c r="E961" s="21"/>
      <c r="G961" s="23">
        <v>0.32329799999999997</v>
      </c>
      <c r="H961" s="23">
        <v>-0.26995989999999997</v>
      </c>
    </row>
    <row r="962" spans="1:8" x14ac:dyDescent="0.35">
      <c r="A962" s="23">
        <v>1.8749999999999999E-2</v>
      </c>
      <c r="B962" s="23">
        <f t="shared" ref="B962:B1025" si="30">H962</f>
        <v>-0.26618910000000001</v>
      </c>
      <c r="C962" s="24"/>
      <c r="D962" s="24">
        <f t="shared" ref="D962:D1025" si="31">G962*-1000/3.18</f>
        <v>-99.965943396226422</v>
      </c>
      <c r="E962" s="21"/>
      <c r="G962" s="23">
        <v>0.3178917</v>
      </c>
      <c r="H962" s="23">
        <v>-0.26618910000000001</v>
      </c>
    </row>
    <row r="963" spans="1:8" x14ac:dyDescent="0.35">
      <c r="A963" s="23">
        <v>1.876953E-2</v>
      </c>
      <c r="B963" s="23">
        <f t="shared" si="30"/>
        <v>-0.26184200000000002</v>
      </c>
      <c r="C963" s="24"/>
      <c r="D963" s="24">
        <f t="shared" si="31"/>
        <v>-98.148867924528304</v>
      </c>
      <c r="E963" s="21"/>
      <c r="G963" s="23">
        <v>0.31211339999999999</v>
      </c>
      <c r="H963" s="23">
        <v>-0.26184200000000002</v>
      </c>
    </row>
    <row r="964" spans="1:8" x14ac:dyDescent="0.35">
      <c r="A964" s="23">
        <v>1.878906E-2</v>
      </c>
      <c r="B964" s="23">
        <f t="shared" si="30"/>
        <v>-0.25734439999999997</v>
      </c>
      <c r="C964" s="24"/>
      <c r="D964" s="24">
        <f t="shared" si="31"/>
        <v>-96.16836477987421</v>
      </c>
      <c r="E964" s="21"/>
      <c r="G964" s="23">
        <v>0.30581540000000002</v>
      </c>
      <c r="H964" s="23">
        <v>-0.25734439999999997</v>
      </c>
    </row>
    <row r="965" spans="1:8" x14ac:dyDescent="0.35">
      <c r="A965" s="23">
        <v>1.880859E-2</v>
      </c>
      <c r="B965" s="23">
        <f t="shared" si="30"/>
        <v>-0.25206309999999998</v>
      </c>
      <c r="C965" s="24"/>
      <c r="D965" s="24">
        <f t="shared" si="31"/>
        <v>-93.79336477987421</v>
      </c>
      <c r="E965" s="21"/>
      <c r="G965" s="23">
        <v>0.2982629</v>
      </c>
      <c r="H965" s="23">
        <v>-0.25206309999999998</v>
      </c>
    </row>
    <row r="966" spans="1:8" x14ac:dyDescent="0.35">
      <c r="A966" s="23">
        <v>1.8828129999999998E-2</v>
      </c>
      <c r="B966" s="23">
        <f t="shared" si="30"/>
        <v>-0.24599499999999999</v>
      </c>
      <c r="C966" s="24"/>
      <c r="D966" s="24">
        <f t="shared" si="31"/>
        <v>-91.258364779874199</v>
      </c>
      <c r="E966" s="21"/>
      <c r="G966" s="23">
        <v>0.2902016</v>
      </c>
      <c r="H966" s="23">
        <v>-0.24599499999999999</v>
      </c>
    </row>
    <row r="967" spans="1:8" x14ac:dyDescent="0.35">
      <c r="A967" s="23">
        <v>1.8847659999999999E-2</v>
      </c>
      <c r="B967" s="23">
        <f t="shared" si="30"/>
        <v>-0.23819580000000001</v>
      </c>
      <c r="C967" s="24"/>
      <c r="D967" s="24">
        <f t="shared" si="31"/>
        <v>-87.850471698113211</v>
      </c>
      <c r="E967" s="21"/>
      <c r="G967" s="23">
        <v>0.27936450000000002</v>
      </c>
      <c r="H967" s="23">
        <v>-0.23819580000000001</v>
      </c>
    </row>
    <row r="968" spans="1:8" x14ac:dyDescent="0.35">
      <c r="A968" s="23">
        <v>1.8867189999999999E-2</v>
      </c>
      <c r="B968" s="23">
        <f t="shared" si="30"/>
        <v>-0.22902649999999999</v>
      </c>
      <c r="C968" s="24"/>
      <c r="D968" s="24">
        <f t="shared" si="31"/>
        <v>-83.904685534591195</v>
      </c>
      <c r="E968" s="21"/>
      <c r="G968" s="23">
        <v>0.26681690000000002</v>
      </c>
      <c r="H968" s="23">
        <v>-0.22902649999999999</v>
      </c>
    </row>
    <row r="969" spans="1:8" x14ac:dyDescent="0.35">
      <c r="A969" s="23">
        <v>1.8886719999999999E-2</v>
      </c>
      <c r="B969" s="23">
        <f t="shared" si="30"/>
        <v>-0.21956439999999999</v>
      </c>
      <c r="C969" s="24"/>
      <c r="D969" s="24">
        <f t="shared" si="31"/>
        <v>-80.023899371069163</v>
      </c>
      <c r="E969" s="21"/>
      <c r="G969" s="23">
        <v>0.25447599999999998</v>
      </c>
      <c r="H969" s="23">
        <v>-0.21956439999999999</v>
      </c>
    </row>
    <row r="970" spans="1:8" x14ac:dyDescent="0.35">
      <c r="A970" s="23">
        <v>1.8906249999999999E-2</v>
      </c>
      <c r="B970" s="23">
        <f t="shared" si="30"/>
        <v>-0.20928959999999999</v>
      </c>
      <c r="C970" s="24"/>
      <c r="D970" s="24">
        <f t="shared" si="31"/>
        <v>-75.80396226415094</v>
      </c>
      <c r="E970" s="21"/>
      <c r="G970" s="23">
        <v>0.24105660000000001</v>
      </c>
      <c r="H970" s="23">
        <v>-0.20928959999999999</v>
      </c>
    </row>
    <row r="971" spans="1:8" x14ac:dyDescent="0.35">
      <c r="A971" s="23">
        <v>1.892578E-2</v>
      </c>
      <c r="B971" s="23">
        <f t="shared" si="30"/>
        <v>-0.1990133</v>
      </c>
      <c r="C971" s="24"/>
      <c r="D971" s="24">
        <f t="shared" si="31"/>
        <v>-71.521572327044012</v>
      </c>
      <c r="E971" s="21"/>
      <c r="G971" s="23">
        <v>0.22743859999999999</v>
      </c>
      <c r="H971" s="23">
        <v>-0.1990133</v>
      </c>
    </row>
    <row r="972" spans="1:8" x14ac:dyDescent="0.35">
      <c r="A972" s="23">
        <v>1.894531E-2</v>
      </c>
      <c r="B972" s="23">
        <f t="shared" si="30"/>
        <v>-0.1881206</v>
      </c>
      <c r="C972" s="24"/>
      <c r="D972" s="24">
        <f t="shared" si="31"/>
        <v>-66.894371069182384</v>
      </c>
      <c r="E972" s="21"/>
      <c r="G972" s="23">
        <v>0.2127241</v>
      </c>
      <c r="H972" s="23">
        <v>-0.1881206</v>
      </c>
    </row>
    <row r="973" spans="1:8" x14ac:dyDescent="0.35">
      <c r="A973" s="23">
        <v>1.896484E-2</v>
      </c>
      <c r="B973" s="23">
        <f t="shared" si="30"/>
        <v>-0.1747869</v>
      </c>
      <c r="C973" s="24"/>
      <c r="D973" s="24">
        <f t="shared" si="31"/>
        <v>-61.474308176100628</v>
      </c>
      <c r="E973" s="21"/>
      <c r="G973" s="23">
        <v>0.1954883</v>
      </c>
      <c r="H973" s="23">
        <v>-0.1747869</v>
      </c>
    </row>
    <row r="974" spans="1:8" x14ac:dyDescent="0.35">
      <c r="A974" s="23">
        <v>1.8984379999999999E-2</v>
      </c>
      <c r="B974" s="23">
        <f t="shared" si="30"/>
        <v>-0.1609083</v>
      </c>
      <c r="C974" s="24"/>
      <c r="D974" s="24">
        <f t="shared" si="31"/>
        <v>-55.955943396226417</v>
      </c>
      <c r="E974" s="21"/>
      <c r="G974" s="23">
        <v>0.17793990000000001</v>
      </c>
      <c r="H974" s="23">
        <v>-0.1609083</v>
      </c>
    </row>
    <row r="975" spans="1:8" x14ac:dyDescent="0.35">
      <c r="A975" s="23">
        <v>1.9003909999999999E-2</v>
      </c>
      <c r="B975" s="23">
        <f t="shared" si="30"/>
        <v>-0.1467794</v>
      </c>
      <c r="C975" s="24"/>
      <c r="D975" s="24">
        <f t="shared" si="31"/>
        <v>-50.262295597484275</v>
      </c>
      <c r="E975" s="21"/>
      <c r="G975" s="23">
        <v>0.15983410000000001</v>
      </c>
      <c r="H975" s="23">
        <v>-0.1467794</v>
      </c>
    </row>
    <row r="976" spans="1:8" x14ac:dyDescent="0.35">
      <c r="A976" s="23">
        <v>1.9023439999999999E-2</v>
      </c>
      <c r="B976" s="23">
        <f t="shared" si="30"/>
        <v>-0.1315963</v>
      </c>
      <c r="C976" s="24"/>
      <c r="D976" s="24">
        <f t="shared" si="31"/>
        <v>-44.177421383647804</v>
      </c>
      <c r="E976" s="21"/>
      <c r="G976" s="23">
        <v>0.1404842</v>
      </c>
      <c r="H976" s="23">
        <v>-0.1315963</v>
      </c>
    </row>
    <row r="977" spans="1:8" x14ac:dyDescent="0.35">
      <c r="A977" s="23">
        <v>1.9042969999999999E-2</v>
      </c>
      <c r="B977" s="23">
        <f t="shared" si="30"/>
        <v>-0.1171927</v>
      </c>
      <c r="C977" s="24"/>
      <c r="D977" s="24">
        <f t="shared" si="31"/>
        <v>-38.388867924528299</v>
      </c>
      <c r="E977" s="21"/>
      <c r="G977" s="23">
        <v>0.12207659999999999</v>
      </c>
      <c r="H977" s="23">
        <v>-0.1171927</v>
      </c>
    </row>
    <row r="978" spans="1:8" x14ac:dyDescent="0.35">
      <c r="A978" s="23">
        <v>1.90625E-2</v>
      </c>
      <c r="B978" s="23">
        <f t="shared" si="30"/>
        <v>-0.1022322</v>
      </c>
      <c r="C978" s="24"/>
      <c r="D978" s="24">
        <f t="shared" si="31"/>
        <v>-32.425408805031445</v>
      </c>
      <c r="E978" s="21"/>
      <c r="G978" s="23">
        <v>0.1031128</v>
      </c>
      <c r="H978" s="23">
        <v>-0.1022322</v>
      </c>
    </row>
    <row r="979" spans="1:8" x14ac:dyDescent="0.35">
      <c r="A979" s="23">
        <v>1.908203E-2</v>
      </c>
      <c r="B979" s="23">
        <f t="shared" si="30"/>
        <v>-8.5993749999999994E-2</v>
      </c>
      <c r="C979" s="24"/>
      <c r="D979" s="24">
        <f t="shared" si="31"/>
        <v>-25.966732704402514</v>
      </c>
      <c r="E979" s="21"/>
      <c r="G979" s="23">
        <v>8.2574209999999995E-2</v>
      </c>
      <c r="H979" s="23">
        <v>-8.5993749999999994E-2</v>
      </c>
    </row>
    <row r="980" spans="1:8" x14ac:dyDescent="0.35">
      <c r="A980" s="23">
        <v>1.910156E-2</v>
      </c>
      <c r="B980" s="23">
        <f t="shared" si="30"/>
        <v>-6.966116E-2</v>
      </c>
      <c r="C980" s="24"/>
      <c r="D980" s="24">
        <f t="shared" si="31"/>
        <v>-19.580600628930817</v>
      </c>
      <c r="E980" s="21"/>
      <c r="G980" s="23">
        <v>6.2266309999999998E-2</v>
      </c>
      <c r="H980" s="23">
        <v>-6.966116E-2</v>
      </c>
    </row>
    <row r="981" spans="1:8" x14ac:dyDescent="0.35">
      <c r="A981" s="23">
        <v>1.912109E-2</v>
      </c>
      <c r="B981" s="23">
        <f t="shared" si="30"/>
        <v>-5.2824419999999997E-2</v>
      </c>
      <c r="C981" s="24"/>
      <c r="D981" s="24">
        <f t="shared" si="31"/>
        <v>-12.961534591194969</v>
      </c>
      <c r="E981" s="21"/>
      <c r="G981" s="23">
        <v>4.121768E-2</v>
      </c>
      <c r="H981" s="23">
        <v>-5.2824419999999997E-2</v>
      </c>
    </row>
    <row r="982" spans="1:8" x14ac:dyDescent="0.35">
      <c r="A982" s="23">
        <v>1.9140629999999999E-2</v>
      </c>
      <c r="B982" s="23">
        <f t="shared" si="30"/>
        <v>-3.6438060000000001E-2</v>
      </c>
      <c r="C982" s="24"/>
      <c r="D982" s="24">
        <f t="shared" si="31"/>
        <v>-6.3030628930817603</v>
      </c>
      <c r="E982" s="21"/>
      <c r="G982" s="23">
        <v>2.0043740000000001E-2</v>
      </c>
      <c r="H982" s="23">
        <v>-3.6438060000000001E-2</v>
      </c>
    </row>
    <row r="983" spans="1:8" x14ac:dyDescent="0.35">
      <c r="A983" s="23">
        <v>1.9160159999999999E-2</v>
      </c>
      <c r="B983" s="23">
        <f t="shared" si="30"/>
        <v>-2.0276880000000001E-2</v>
      </c>
      <c r="C983" s="24"/>
      <c r="D983" s="24">
        <f t="shared" si="31"/>
        <v>6.2899308176100635E-2</v>
      </c>
      <c r="E983" s="21"/>
      <c r="G983" s="23">
        <v>-2.0001980000000001E-4</v>
      </c>
      <c r="H983" s="23">
        <v>-2.0276880000000001E-2</v>
      </c>
    </row>
    <row r="984" spans="1:8" x14ac:dyDescent="0.35">
      <c r="A984" s="23">
        <v>1.9179689999999999E-2</v>
      </c>
      <c r="B984" s="23">
        <f t="shared" si="30"/>
        <v>-4.2610590000000002E-3</v>
      </c>
      <c r="C984" s="24"/>
      <c r="D984" s="24">
        <f t="shared" si="31"/>
        <v>6.3961415094339618</v>
      </c>
      <c r="E984" s="21"/>
      <c r="G984" s="23">
        <v>-2.033973E-2</v>
      </c>
      <c r="H984" s="23">
        <v>-4.2610590000000002E-3</v>
      </c>
    </row>
    <row r="985" spans="1:8" x14ac:dyDescent="0.35">
      <c r="A985" s="23">
        <v>1.9199219999999999E-2</v>
      </c>
      <c r="B985" s="23">
        <f t="shared" si="30"/>
        <v>1.1540979999999999E-2</v>
      </c>
      <c r="C985" s="24"/>
      <c r="D985" s="24">
        <f t="shared" si="31"/>
        <v>12.716619496855344</v>
      </c>
      <c r="E985" s="21"/>
      <c r="G985" s="23">
        <v>-4.0438849999999998E-2</v>
      </c>
      <c r="H985" s="23">
        <v>1.1540979999999999E-2</v>
      </c>
    </row>
    <row r="986" spans="1:8" x14ac:dyDescent="0.35">
      <c r="A986" s="23">
        <v>1.921875E-2</v>
      </c>
      <c r="B986" s="23">
        <f t="shared" si="30"/>
        <v>2.8480330000000002E-2</v>
      </c>
      <c r="C986" s="24"/>
      <c r="D986" s="24">
        <f t="shared" si="31"/>
        <v>19.245625786163522</v>
      </c>
      <c r="E986" s="21"/>
      <c r="G986" s="23">
        <v>-6.120109E-2</v>
      </c>
      <c r="H986" s="23">
        <v>2.8480330000000002E-2</v>
      </c>
    </row>
    <row r="987" spans="1:8" x14ac:dyDescent="0.35">
      <c r="A987" s="23">
        <v>1.923828E-2</v>
      </c>
      <c r="B987" s="23">
        <f t="shared" si="30"/>
        <v>4.5211800000000003E-2</v>
      </c>
      <c r="C987" s="24"/>
      <c r="D987" s="24">
        <f t="shared" si="31"/>
        <v>25.746911949685533</v>
      </c>
      <c r="E987" s="21"/>
      <c r="G987" s="23">
        <v>-8.1875180000000006E-2</v>
      </c>
      <c r="H987" s="23">
        <v>4.5211800000000003E-2</v>
      </c>
    </row>
    <row r="988" spans="1:8" x14ac:dyDescent="0.35">
      <c r="A988" s="23">
        <v>1.925781E-2</v>
      </c>
      <c r="B988" s="23">
        <f t="shared" si="30"/>
        <v>6.0870649999999998E-2</v>
      </c>
      <c r="C988" s="24"/>
      <c r="D988" s="24">
        <f t="shared" si="31"/>
        <v>31.860062893081757</v>
      </c>
      <c r="E988" s="21"/>
      <c r="G988" s="23">
        <v>-0.101315</v>
      </c>
      <c r="H988" s="23">
        <v>6.0870649999999998E-2</v>
      </c>
    </row>
    <row r="989" spans="1:8" x14ac:dyDescent="0.35">
      <c r="A989" s="23">
        <v>1.927734E-2</v>
      </c>
      <c r="B989" s="23">
        <f t="shared" si="30"/>
        <v>7.6639070000000004E-2</v>
      </c>
      <c r="C989" s="24"/>
      <c r="D989" s="24">
        <f t="shared" si="31"/>
        <v>37.865880503144659</v>
      </c>
      <c r="E989" s="21"/>
      <c r="G989" s="23">
        <v>-0.12041350000000001</v>
      </c>
      <c r="H989" s="23">
        <v>7.6639070000000004E-2</v>
      </c>
    </row>
    <row r="990" spans="1:8" x14ac:dyDescent="0.35">
      <c r="A990" s="23">
        <v>1.9296879999999999E-2</v>
      </c>
      <c r="B990" s="23">
        <f t="shared" si="30"/>
        <v>9.2413629999999997E-2</v>
      </c>
      <c r="C990" s="24"/>
      <c r="D990" s="24">
        <f t="shared" si="31"/>
        <v>43.75855345911949</v>
      </c>
      <c r="E990" s="21"/>
      <c r="G990" s="23">
        <v>-0.1391522</v>
      </c>
      <c r="H990" s="23">
        <v>9.2413629999999997E-2</v>
      </c>
    </row>
    <row r="991" spans="1:8" x14ac:dyDescent="0.35">
      <c r="A991" s="23">
        <v>1.9316409999999999E-2</v>
      </c>
      <c r="B991" s="23">
        <f t="shared" si="30"/>
        <v>0.10724789999999999</v>
      </c>
      <c r="C991" s="24"/>
      <c r="D991" s="24">
        <f t="shared" si="31"/>
        <v>49.396069182389944</v>
      </c>
      <c r="E991" s="21"/>
      <c r="G991" s="23">
        <v>-0.15707950000000001</v>
      </c>
      <c r="H991" s="23">
        <v>0.10724789999999999</v>
      </c>
    </row>
    <row r="992" spans="1:8" x14ac:dyDescent="0.35">
      <c r="A992" s="23">
        <v>1.9335939999999999E-2</v>
      </c>
      <c r="B992" s="23">
        <f t="shared" si="30"/>
        <v>0.1216087</v>
      </c>
      <c r="C992" s="24"/>
      <c r="D992" s="24">
        <f t="shared" si="31"/>
        <v>54.964088050314459</v>
      </c>
      <c r="E992" s="21"/>
      <c r="G992" s="23">
        <v>-0.17478579999999999</v>
      </c>
      <c r="H992" s="23">
        <v>0.1216087</v>
      </c>
    </row>
    <row r="993" spans="1:8" x14ac:dyDescent="0.35">
      <c r="A993" s="23">
        <v>1.935547E-2</v>
      </c>
      <c r="B993" s="23">
        <f t="shared" si="30"/>
        <v>0.1357623</v>
      </c>
      <c r="C993" s="24"/>
      <c r="D993" s="24">
        <f t="shared" si="31"/>
        <v>60.197201257861629</v>
      </c>
      <c r="E993" s="21"/>
      <c r="G993" s="23">
        <v>-0.19142709999999999</v>
      </c>
      <c r="H993" s="23">
        <v>0.1357623</v>
      </c>
    </row>
    <row r="994" spans="1:8" x14ac:dyDescent="0.35">
      <c r="A994" s="23">
        <v>1.9375E-2</v>
      </c>
      <c r="B994" s="23">
        <f t="shared" si="30"/>
        <v>0.14876510000000001</v>
      </c>
      <c r="C994" s="24"/>
      <c r="D994" s="24">
        <f t="shared" si="31"/>
        <v>65.043396226415084</v>
      </c>
      <c r="E994" s="21"/>
      <c r="G994" s="23">
        <v>-0.20683799999999999</v>
      </c>
      <c r="H994" s="23">
        <v>0.14876510000000001</v>
      </c>
    </row>
    <row r="995" spans="1:8" x14ac:dyDescent="0.35">
      <c r="A995" s="23">
        <v>1.939453E-2</v>
      </c>
      <c r="B995" s="23">
        <f t="shared" si="30"/>
        <v>0.16149330000000001</v>
      </c>
      <c r="C995" s="24"/>
      <c r="D995" s="24">
        <f t="shared" si="31"/>
        <v>70.006855345911944</v>
      </c>
      <c r="E995" s="21"/>
      <c r="G995" s="23">
        <v>-0.22262180000000001</v>
      </c>
      <c r="H995" s="23">
        <v>0.16149330000000001</v>
      </c>
    </row>
    <row r="996" spans="1:8" x14ac:dyDescent="0.35">
      <c r="A996" s="23">
        <v>1.941406E-2</v>
      </c>
      <c r="B996" s="23">
        <f t="shared" si="30"/>
        <v>0.17336409999999999</v>
      </c>
      <c r="C996" s="24"/>
      <c r="D996" s="24">
        <f t="shared" si="31"/>
        <v>74.494308176100617</v>
      </c>
      <c r="E996" s="21"/>
      <c r="G996" s="23">
        <v>-0.23689189999999999</v>
      </c>
      <c r="H996" s="23">
        <v>0.17336409999999999</v>
      </c>
    </row>
    <row r="997" spans="1:8" x14ac:dyDescent="0.35">
      <c r="A997" s="23">
        <v>1.9433590000000001E-2</v>
      </c>
      <c r="B997" s="23">
        <f t="shared" si="30"/>
        <v>0.18390809999999999</v>
      </c>
      <c r="C997" s="24"/>
      <c r="D997" s="24">
        <f t="shared" si="31"/>
        <v>78.476446540880502</v>
      </c>
      <c r="E997" s="21"/>
      <c r="G997" s="23">
        <v>-0.2495551</v>
      </c>
      <c r="H997" s="23">
        <v>0.18390809999999999</v>
      </c>
    </row>
    <row r="998" spans="1:8" x14ac:dyDescent="0.35">
      <c r="A998" s="23">
        <v>1.9453129999999999E-2</v>
      </c>
      <c r="B998" s="23">
        <f t="shared" si="30"/>
        <v>0.19418389999999999</v>
      </c>
      <c r="C998" s="24"/>
      <c r="D998" s="24">
        <f t="shared" si="31"/>
        <v>82.388459119496844</v>
      </c>
      <c r="E998" s="21"/>
      <c r="G998" s="23">
        <v>-0.26199529999999999</v>
      </c>
      <c r="H998" s="23">
        <v>0.19418389999999999</v>
      </c>
    </row>
    <row r="999" spans="1:8" x14ac:dyDescent="0.35">
      <c r="A999" s="23">
        <v>1.9472659999999999E-2</v>
      </c>
      <c r="B999" s="23">
        <f t="shared" si="30"/>
        <v>0.2033605</v>
      </c>
      <c r="C999" s="24"/>
      <c r="D999" s="24">
        <f t="shared" si="31"/>
        <v>85.749276729559753</v>
      </c>
      <c r="E999" s="21"/>
      <c r="G999" s="23">
        <v>-0.2726827</v>
      </c>
      <c r="H999" s="23">
        <v>0.2033605</v>
      </c>
    </row>
    <row r="1000" spans="1:8" x14ac:dyDescent="0.35">
      <c r="A1000" s="23">
        <v>1.949219E-2</v>
      </c>
      <c r="B1000" s="23">
        <f t="shared" si="30"/>
        <v>0.2122156</v>
      </c>
      <c r="C1000" s="24"/>
      <c r="D1000" s="24">
        <f t="shared" si="31"/>
        <v>89.044088050314457</v>
      </c>
      <c r="E1000" s="21"/>
      <c r="G1000" s="23">
        <v>-0.28316019999999997</v>
      </c>
      <c r="H1000" s="23">
        <v>0.2122156</v>
      </c>
    </row>
    <row r="1001" spans="1:8" x14ac:dyDescent="0.35">
      <c r="A1001" s="23">
        <v>1.951172E-2</v>
      </c>
      <c r="B1001" s="23">
        <f t="shared" si="30"/>
        <v>0.22023770000000001</v>
      </c>
      <c r="C1001" s="24"/>
      <c r="D1001" s="24">
        <f t="shared" si="31"/>
        <v>92.076698113207541</v>
      </c>
      <c r="E1001" s="21"/>
      <c r="G1001" s="23">
        <v>-0.29280390000000001</v>
      </c>
      <c r="H1001" s="23">
        <v>0.22023770000000001</v>
      </c>
    </row>
    <row r="1002" spans="1:8" x14ac:dyDescent="0.35">
      <c r="A1002" s="23">
        <v>1.953125E-2</v>
      </c>
      <c r="B1002" s="23">
        <f t="shared" si="30"/>
        <v>0.2265335</v>
      </c>
      <c r="C1002" s="24"/>
      <c r="D1002" s="24">
        <f t="shared" si="31"/>
        <v>94.331855345911947</v>
      </c>
      <c r="E1002" s="21"/>
      <c r="G1002" s="23">
        <v>-0.2999753</v>
      </c>
      <c r="H1002" s="23">
        <v>0.2265335</v>
      </c>
    </row>
    <row r="1003" spans="1:8" x14ac:dyDescent="0.35">
      <c r="A1003" s="23">
        <v>1.955078E-2</v>
      </c>
      <c r="B1003" s="23">
        <f t="shared" si="30"/>
        <v>0.23253499999999999</v>
      </c>
      <c r="C1003" s="24"/>
      <c r="D1003" s="24">
        <f t="shared" si="31"/>
        <v>96.433742138364778</v>
      </c>
      <c r="E1003" s="21"/>
      <c r="G1003" s="23">
        <v>-0.30665930000000002</v>
      </c>
      <c r="H1003" s="23">
        <v>0.23253499999999999</v>
      </c>
    </row>
    <row r="1004" spans="1:8" x14ac:dyDescent="0.35">
      <c r="A1004" s="23">
        <v>1.957031E-2</v>
      </c>
      <c r="B1004" s="23">
        <f t="shared" si="30"/>
        <v>0.23722879999999999</v>
      </c>
      <c r="C1004" s="24"/>
      <c r="D1004" s="24">
        <f t="shared" si="31"/>
        <v>98.161603773584886</v>
      </c>
      <c r="E1004" s="21"/>
      <c r="G1004" s="23">
        <v>-0.31215389999999998</v>
      </c>
      <c r="H1004" s="23">
        <v>0.23722879999999999</v>
      </c>
    </row>
    <row r="1005" spans="1:8" x14ac:dyDescent="0.35">
      <c r="A1005" s="23">
        <v>1.9589840000000001E-2</v>
      </c>
      <c r="B1005" s="23">
        <f t="shared" si="30"/>
        <v>0.241116</v>
      </c>
      <c r="C1005" s="24"/>
      <c r="D1005" s="24">
        <f t="shared" si="31"/>
        <v>99.53345911949684</v>
      </c>
      <c r="E1005" s="21"/>
      <c r="G1005" s="23">
        <v>-0.31651639999999998</v>
      </c>
      <c r="H1005" s="23">
        <v>0.241116</v>
      </c>
    </row>
    <row r="1006" spans="1:8" x14ac:dyDescent="0.35">
      <c r="A1006" s="23">
        <v>1.9609379999999999E-2</v>
      </c>
      <c r="B1006" s="23">
        <f t="shared" si="30"/>
        <v>0.24543909999999999</v>
      </c>
      <c r="C1006" s="24"/>
      <c r="D1006" s="24">
        <f t="shared" si="31"/>
        <v>100.9539937106918</v>
      </c>
      <c r="E1006" s="21"/>
      <c r="G1006" s="23">
        <v>-0.32103369999999998</v>
      </c>
      <c r="H1006" s="23">
        <v>0.24543909999999999</v>
      </c>
    </row>
    <row r="1007" spans="1:8" x14ac:dyDescent="0.35">
      <c r="A1007" s="23">
        <v>1.9628909999999999E-2</v>
      </c>
      <c r="B1007" s="23">
        <f t="shared" si="30"/>
        <v>0.24821940000000001</v>
      </c>
      <c r="C1007" s="24"/>
      <c r="D1007" s="24">
        <f t="shared" si="31"/>
        <v>101.82562893081762</v>
      </c>
      <c r="E1007" s="21"/>
      <c r="G1007" s="23">
        <v>-0.32380550000000002</v>
      </c>
      <c r="H1007" s="23">
        <v>0.24821940000000001</v>
      </c>
    </row>
    <row r="1008" spans="1:8" x14ac:dyDescent="0.35">
      <c r="A1008" s="23">
        <v>1.964844E-2</v>
      </c>
      <c r="B1008" s="23">
        <f t="shared" si="30"/>
        <v>0.2495839</v>
      </c>
      <c r="C1008" s="24"/>
      <c r="D1008" s="24">
        <f t="shared" si="31"/>
        <v>102.06229559748428</v>
      </c>
      <c r="E1008" s="21"/>
      <c r="G1008" s="23">
        <v>-0.32455810000000002</v>
      </c>
      <c r="H1008" s="23">
        <v>0.2495839</v>
      </c>
    </row>
    <row r="1009" spans="1:8" x14ac:dyDescent="0.35">
      <c r="A1009" s="23">
        <v>1.966797E-2</v>
      </c>
      <c r="B1009" s="23">
        <f t="shared" si="30"/>
        <v>0.25075629999999999</v>
      </c>
      <c r="C1009" s="24"/>
      <c r="D1009" s="24">
        <f t="shared" si="31"/>
        <v>102.13503144654088</v>
      </c>
      <c r="E1009" s="21"/>
      <c r="G1009" s="23">
        <v>-0.32478940000000001</v>
      </c>
      <c r="H1009" s="23">
        <v>0.25075629999999999</v>
      </c>
    </row>
    <row r="1010" spans="1:8" x14ac:dyDescent="0.35">
      <c r="A1010" s="23">
        <v>1.96875E-2</v>
      </c>
      <c r="B1010" s="23">
        <f t="shared" si="30"/>
        <v>0.25059369999999997</v>
      </c>
      <c r="C1010" s="24"/>
      <c r="D1010" s="24">
        <f t="shared" si="31"/>
        <v>101.59440251572326</v>
      </c>
      <c r="E1010" s="21"/>
      <c r="G1010" s="23">
        <v>-0.32307019999999997</v>
      </c>
      <c r="H1010" s="23">
        <v>0.25059369999999997</v>
      </c>
    </row>
    <row r="1011" spans="1:8" x14ac:dyDescent="0.35">
      <c r="A1011" s="23">
        <v>1.970703E-2</v>
      </c>
      <c r="B1011" s="23">
        <f t="shared" si="30"/>
        <v>0.2498146</v>
      </c>
      <c r="C1011" s="24"/>
      <c r="D1011" s="24">
        <f t="shared" si="31"/>
        <v>100.67698113207547</v>
      </c>
      <c r="E1011" s="21"/>
      <c r="G1011" s="23">
        <v>-0.32015280000000002</v>
      </c>
      <c r="H1011" s="23">
        <v>0.2498146</v>
      </c>
    </row>
    <row r="1012" spans="1:8" x14ac:dyDescent="0.35">
      <c r="A1012" s="23">
        <v>1.9726560000000001E-2</v>
      </c>
      <c r="B1012" s="23">
        <f t="shared" si="30"/>
        <v>0.249358</v>
      </c>
      <c r="C1012" s="24"/>
      <c r="D1012" s="24">
        <f t="shared" si="31"/>
        <v>99.914591194968551</v>
      </c>
      <c r="E1012" s="21"/>
      <c r="G1012" s="23">
        <v>-0.31772840000000002</v>
      </c>
      <c r="H1012" s="23">
        <v>0.249358</v>
      </c>
    </row>
    <row r="1013" spans="1:8" x14ac:dyDescent="0.35">
      <c r="A1013" s="23">
        <v>1.9746090000000001E-2</v>
      </c>
      <c r="B1013" s="23">
        <f t="shared" si="30"/>
        <v>0.24771550000000001</v>
      </c>
      <c r="C1013" s="24"/>
      <c r="D1013" s="24">
        <f t="shared" si="31"/>
        <v>98.664496855345917</v>
      </c>
      <c r="E1013" s="21"/>
      <c r="G1013" s="23">
        <v>-0.31375310000000001</v>
      </c>
      <c r="H1013" s="23">
        <v>0.24771550000000001</v>
      </c>
    </row>
    <row r="1014" spans="1:8" x14ac:dyDescent="0.35">
      <c r="A1014" s="23">
        <v>1.9765629999999999E-2</v>
      </c>
      <c r="B1014" s="23">
        <f t="shared" si="30"/>
        <v>0.24504970000000001</v>
      </c>
      <c r="C1014" s="24"/>
      <c r="D1014" s="24">
        <f t="shared" si="31"/>
        <v>96.999937106918239</v>
      </c>
      <c r="E1014" s="21"/>
      <c r="G1014" s="23">
        <v>-0.30845980000000001</v>
      </c>
      <c r="H1014" s="23">
        <v>0.24504970000000001</v>
      </c>
    </row>
    <row r="1015" spans="1:8" x14ac:dyDescent="0.35">
      <c r="A1015" s="23">
        <v>1.978516E-2</v>
      </c>
      <c r="B1015" s="23">
        <f t="shared" si="30"/>
        <v>0.2415525</v>
      </c>
      <c r="C1015" s="24"/>
      <c r="D1015" s="24">
        <f t="shared" si="31"/>
        <v>94.885503144654095</v>
      </c>
      <c r="E1015" s="21"/>
      <c r="G1015" s="23">
        <v>-0.3017359</v>
      </c>
      <c r="H1015" s="23">
        <v>0.2415525</v>
      </c>
    </row>
    <row r="1016" spans="1:8" x14ac:dyDescent="0.35">
      <c r="A1016" s="23">
        <v>1.980469E-2</v>
      </c>
      <c r="B1016" s="23">
        <f t="shared" si="30"/>
        <v>0.2367766</v>
      </c>
      <c r="C1016" s="24"/>
      <c r="D1016" s="24">
        <f t="shared" si="31"/>
        <v>92.15059748427673</v>
      </c>
      <c r="E1016" s="21"/>
      <c r="G1016" s="23">
        <v>-0.29303889999999999</v>
      </c>
      <c r="H1016" s="23">
        <v>0.2367766</v>
      </c>
    </row>
    <row r="1017" spans="1:8" x14ac:dyDescent="0.35">
      <c r="A1017" s="23">
        <v>1.982422E-2</v>
      </c>
      <c r="B1017" s="23">
        <f t="shared" si="30"/>
        <v>0.2311155</v>
      </c>
      <c r="C1017" s="24"/>
      <c r="D1017" s="24">
        <f t="shared" si="31"/>
        <v>89.338176100628928</v>
      </c>
      <c r="E1017" s="21"/>
      <c r="G1017" s="23">
        <v>-0.2840954</v>
      </c>
      <c r="H1017" s="23">
        <v>0.2311155</v>
      </c>
    </row>
    <row r="1018" spans="1:8" x14ac:dyDescent="0.35">
      <c r="A1018" s="23">
        <v>1.984375E-2</v>
      </c>
      <c r="B1018" s="23">
        <f t="shared" si="30"/>
        <v>0.22487550000000001</v>
      </c>
      <c r="C1018" s="24"/>
      <c r="D1018" s="24">
        <f t="shared" si="31"/>
        <v>86.227955974842743</v>
      </c>
      <c r="E1018" s="21"/>
      <c r="G1018" s="23">
        <v>-0.27420489999999997</v>
      </c>
      <c r="H1018" s="23">
        <v>0.22487550000000001</v>
      </c>
    </row>
    <row r="1019" spans="1:8" x14ac:dyDescent="0.35">
      <c r="A1019" s="23">
        <v>1.9863280000000001E-2</v>
      </c>
      <c r="B1019" s="23">
        <f t="shared" si="30"/>
        <v>0.21907190000000001</v>
      </c>
      <c r="C1019" s="24"/>
      <c r="D1019" s="24">
        <f t="shared" si="31"/>
        <v>82.94506289308174</v>
      </c>
      <c r="E1019" s="21"/>
      <c r="G1019" s="23">
        <v>-0.26376529999999998</v>
      </c>
      <c r="H1019" s="23">
        <v>0.21907190000000001</v>
      </c>
    </row>
    <row r="1020" spans="1:8" x14ac:dyDescent="0.35">
      <c r="A1020" s="23">
        <v>1.9882810000000001E-2</v>
      </c>
      <c r="B1020" s="23">
        <f t="shared" si="30"/>
        <v>0.21291740000000001</v>
      </c>
      <c r="C1020" s="24"/>
      <c r="D1020" s="24">
        <f t="shared" si="31"/>
        <v>79.559654088050308</v>
      </c>
      <c r="E1020" s="21"/>
      <c r="G1020" s="23">
        <v>-0.25299969999999999</v>
      </c>
      <c r="H1020" s="23">
        <v>0.21291740000000001</v>
      </c>
    </row>
    <row r="1021" spans="1:8" x14ac:dyDescent="0.35">
      <c r="A1021" s="23">
        <v>1.9902340000000001E-2</v>
      </c>
      <c r="B1021" s="23">
        <f t="shared" si="30"/>
        <v>0.20445199999999999</v>
      </c>
      <c r="C1021" s="24"/>
      <c r="D1021" s="24">
        <f t="shared" si="31"/>
        <v>75.48066037735849</v>
      </c>
      <c r="E1021" s="21"/>
      <c r="G1021" s="23">
        <v>-0.24002850000000001</v>
      </c>
      <c r="H1021" s="23">
        <v>0.20445199999999999</v>
      </c>
    </row>
    <row r="1022" spans="1:8" x14ac:dyDescent="0.35">
      <c r="A1022" s="23">
        <v>1.9921879999999999E-2</v>
      </c>
      <c r="B1022" s="23">
        <f t="shared" si="30"/>
        <v>0.19369439999999999</v>
      </c>
      <c r="C1022" s="24"/>
      <c r="D1022" s="24">
        <f t="shared" si="31"/>
        <v>70.979119496855333</v>
      </c>
      <c r="E1022" s="21"/>
      <c r="G1022" s="23">
        <v>-0.22571359999999999</v>
      </c>
      <c r="H1022" s="23">
        <v>0.19369439999999999</v>
      </c>
    </row>
    <row r="1023" spans="1:8" x14ac:dyDescent="0.35">
      <c r="A1023" s="23">
        <v>1.994141E-2</v>
      </c>
      <c r="B1023" s="23">
        <f t="shared" si="30"/>
        <v>0.18295349999999999</v>
      </c>
      <c r="C1023" s="24"/>
      <c r="D1023" s="24">
        <f t="shared" si="31"/>
        <v>66.199025157232697</v>
      </c>
      <c r="E1023" s="21"/>
      <c r="G1023" s="23">
        <v>-0.2105129</v>
      </c>
      <c r="H1023" s="23">
        <v>0.18295349999999999</v>
      </c>
    </row>
    <row r="1024" spans="1:8" x14ac:dyDescent="0.35">
      <c r="A1024" s="23">
        <v>1.996094E-2</v>
      </c>
      <c r="B1024" s="23">
        <f t="shared" si="30"/>
        <v>0.1733391</v>
      </c>
      <c r="C1024" s="24"/>
      <c r="D1024" s="24">
        <f t="shared" si="31"/>
        <v>61.28710691823899</v>
      </c>
      <c r="E1024" s="21"/>
      <c r="G1024" s="23">
        <v>-0.19489300000000001</v>
      </c>
      <c r="H1024" s="23">
        <v>0.1733391</v>
      </c>
    </row>
    <row r="1025" spans="1:8" x14ac:dyDescent="0.35">
      <c r="A1025" s="23">
        <v>1.998047E-2</v>
      </c>
      <c r="B1025" s="23">
        <f t="shared" si="30"/>
        <v>0.1630606</v>
      </c>
      <c r="C1025" s="24"/>
      <c r="D1025" s="24">
        <f t="shared" si="31"/>
        <v>56.603301886792451</v>
      </c>
      <c r="E1025" s="21"/>
      <c r="G1025" s="23">
        <v>-0.17999850000000001</v>
      </c>
      <c r="H1025" s="23">
        <v>0.1630606</v>
      </c>
    </row>
    <row r="1026" spans="1:8" x14ac:dyDescent="0.35">
      <c r="A1026" s="23">
        <v>0.02</v>
      </c>
      <c r="B1026" s="23">
        <f t="shared" ref="B1026:B1089" si="32">H1026</f>
        <v>0.1523419</v>
      </c>
      <c r="C1026" s="24"/>
      <c r="D1026" s="24">
        <f t="shared" ref="D1026:D1089" si="33">G1026*-1000/3.18</f>
        <v>51.659213836477981</v>
      </c>
      <c r="E1026" s="21"/>
      <c r="G1026" s="23">
        <v>-0.16427629999999999</v>
      </c>
      <c r="H1026" s="23">
        <v>0.1523419</v>
      </c>
    </row>
    <row r="1027" spans="1:8" x14ac:dyDescent="0.35">
      <c r="A1027" s="23">
        <v>2.0019530000000001E-2</v>
      </c>
      <c r="B1027" s="23">
        <f t="shared" si="32"/>
        <v>0.1409716</v>
      </c>
      <c r="C1027" s="24"/>
      <c r="D1027" s="24">
        <f t="shared" si="33"/>
        <v>46.207893081761</v>
      </c>
      <c r="E1027" s="21"/>
      <c r="G1027" s="23">
        <v>-0.14694109999999999</v>
      </c>
      <c r="H1027" s="23">
        <v>0.1409716</v>
      </c>
    </row>
    <row r="1028" spans="1:8" x14ac:dyDescent="0.35">
      <c r="A1028" s="23">
        <v>2.0039060000000001E-2</v>
      </c>
      <c r="B1028" s="23">
        <f t="shared" si="32"/>
        <v>0.12750719999999999</v>
      </c>
      <c r="C1028" s="24"/>
      <c r="D1028" s="24">
        <f t="shared" si="33"/>
        <v>40.397327044025161</v>
      </c>
      <c r="E1028" s="21"/>
      <c r="G1028" s="23">
        <v>-0.12846350000000001</v>
      </c>
      <c r="H1028" s="23">
        <v>0.12750719999999999</v>
      </c>
    </row>
    <row r="1029" spans="1:8" x14ac:dyDescent="0.35">
      <c r="A1029" s="23">
        <v>2.0058590000000001E-2</v>
      </c>
      <c r="B1029" s="23">
        <f t="shared" si="32"/>
        <v>0.1137489</v>
      </c>
      <c r="C1029" s="24"/>
      <c r="D1029" s="24">
        <f t="shared" si="33"/>
        <v>34.234842767295596</v>
      </c>
      <c r="E1029" s="21"/>
      <c r="G1029" s="23">
        <v>-0.1088668</v>
      </c>
      <c r="H1029" s="23">
        <v>0.1137489</v>
      </c>
    </row>
    <row r="1030" spans="1:8" x14ac:dyDescent="0.35">
      <c r="A1030" s="23">
        <v>2.0078120000000001E-2</v>
      </c>
      <c r="B1030" s="23">
        <f t="shared" si="32"/>
        <v>0.1012132</v>
      </c>
      <c r="C1030" s="24"/>
      <c r="D1030" s="24">
        <f t="shared" si="33"/>
        <v>28.345977987421382</v>
      </c>
      <c r="E1030" s="21"/>
      <c r="G1030" s="23">
        <v>-9.0140209999999998E-2</v>
      </c>
      <c r="H1030" s="23">
        <v>0.1012132</v>
      </c>
    </row>
    <row r="1031" spans="1:8" x14ac:dyDescent="0.35">
      <c r="A1031" s="23">
        <v>2.009766E-2</v>
      </c>
      <c r="B1031" s="23">
        <f t="shared" si="32"/>
        <v>8.8338609999999998E-2</v>
      </c>
      <c r="C1031" s="24"/>
      <c r="D1031" s="24">
        <f t="shared" si="33"/>
        <v>22.793644654088052</v>
      </c>
      <c r="E1031" s="21"/>
      <c r="G1031" s="23">
        <v>-7.2483790000000006E-2</v>
      </c>
      <c r="H1031" s="23">
        <v>8.8338609999999998E-2</v>
      </c>
    </row>
    <row r="1032" spans="1:8" x14ac:dyDescent="0.35">
      <c r="A1032" s="23">
        <v>2.011719E-2</v>
      </c>
      <c r="B1032" s="23">
        <f t="shared" si="32"/>
        <v>7.5400040000000002E-2</v>
      </c>
      <c r="C1032" s="24"/>
      <c r="D1032" s="24">
        <f t="shared" si="33"/>
        <v>16.860380503144651</v>
      </c>
      <c r="E1032" s="21"/>
      <c r="G1032" s="23">
        <v>-5.3616009999999999E-2</v>
      </c>
      <c r="H1032" s="23">
        <v>7.5400040000000002E-2</v>
      </c>
    </row>
    <row r="1033" spans="1:8" x14ac:dyDescent="0.35">
      <c r="A1033" s="23">
        <v>2.013672E-2</v>
      </c>
      <c r="B1033" s="23">
        <f t="shared" si="32"/>
        <v>6.2174500000000001E-2</v>
      </c>
      <c r="C1033" s="24"/>
      <c r="D1033" s="24">
        <f t="shared" si="33"/>
        <v>10.763081761006291</v>
      </c>
      <c r="E1033" s="21"/>
      <c r="G1033" s="23">
        <v>-3.4226600000000003E-2</v>
      </c>
      <c r="H1033" s="23">
        <v>6.2174500000000001E-2</v>
      </c>
    </row>
    <row r="1034" spans="1:8" x14ac:dyDescent="0.35">
      <c r="A1034" s="23">
        <v>2.0156250000000001E-2</v>
      </c>
      <c r="B1034" s="23">
        <f t="shared" si="32"/>
        <v>4.7402769999999997E-2</v>
      </c>
      <c r="C1034" s="24"/>
      <c r="D1034" s="24">
        <f t="shared" si="33"/>
        <v>4.4420283018867925</v>
      </c>
      <c r="E1034" s="21"/>
      <c r="G1034" s="23">
        <v>-1.412565E-2</v>
      </c>
      <c r="H1034" s="23">
        <v>4.7402769999999997E-2</v>
      </c>
    </row>
    <row r="1035" spans="1:8" x14ac:dyDescent="0.35">
      <c r="A1035" s="23">
        <v>2.0175780000000001E-2</v>
      </c>
      <c r="B1035" s="23">
        <f t="shared" si="32"/>
        <v>3.3252980000000001E-2</v>
      </c>
      <c r="C1035" s="24"/>
      <c r="D1035" s="24">
        <f t="shared" si="33"/>
        <v>-2.109498427672956</v>
      </c>
      <c r="E1035" s="21"/>
      <c r="G1035" s="23">
        <v>6.7082050000000001E-3</v>
      </c>
      <c r="H1035" s="23">
        <v>3.3252980000000001E-2</v>
      </c>
    </row>
    <row r="1036" spans="1:8" x14ac:dyDescent="0.35">
      <c r="A1036" s="23">
        <v>2.0195310000000001E-2</v>
      </c>
      <c r="B1036" s="23">
        <f t="shared" si="32"/>
        <v>1.892599E-2</v>
      </c>
      <c r="C1036" s="24"/>
      <c r="D1036" s="24">
        <f t="shared" si="33"/>
        <v>-8.3344465408805011</v>
      </c>
      <c r="E1036" s="21"/>
      <c r="G1036" s="23">
        <v>2.6503539999999999E-2</v>
      </c>
      <c r="H1036" s="23">
        <v>1.892599E-2</v>
      </c>
    </row>
    <row r="1037" spans="1:8" x14ac:dyDescent="0.35">
      <c r="A1037" s="23">
        <v>2.0214840000000001E-2</v>
      </c>
      <c r="B1037" s="23">
        <f t="shared" si="32"/>
        <v>3.159837E-3</v>
      </c>
      <c r="C1037" s="24"/>
      <c r="D1037" s="24">
        <f t="shared" si="33"/>
        <v>-14.760358490566036</v>
      </c>
      <c r="E1037" s="21"/>
      <c r="G1037" s="23">
        <v>4.6937939999999997E-2</v>
      </c>
      <c r="H1037" s="23">
        <v>3.159837E-3</v>
      </c>
    </row>
    <row r="1038" spans="1:8" x14ac:dyDescent="0.35">
      <c r="A1038" s="23">
        <v>2.0234370000000002E-2</v>
      </c>
      <c r="B1038" s="23">
        <f t="shared" si="32"/>
        <v>-1.272641E-2</v>
      </c>
      <c r="C1038" s="24"/>
      <c r="D1038" s="24">
        <f t="shared" si="33"/>
        <v>-20.961638364779876</v>
      </c>
      <c r="E1038" s="21"/>
      <c r="G1038" s="23">
        <v>6.6658010000000004E-2</v>
      </c>
      <c r="H1038" s="23">
        <v>-1.272641E-2</v>
      </c>
    </row>
    <row r="1039" spans="1:8" x14ac:dyDescent="0.35">
      <c r="A1039" s="23">
        <v>2.025391E-2</v>
      </c>
      <c r="B1039" s="23">
        <f t="shared" si="32"/>
        <v>-2.8976999999999999E-2</v>
      </c>
      <c r="C1039" s="24"/>
      <c r="D1039" s="24">
        <f t="shared" si="33"/>
        <v>-26.373946540880503</v>
      </c>
      <c r="E1039" s="21"/>
      <c r="G1039" s="23">
        <v>8.3869150000000003E-2</v>
      </c>
      <c r="H1039" s="23">
        <v>-2.8976999999999999E-2</v>
      </c>
    </row>
    <row r="1040" spans="1:8" x14ac:dyDescent="0.35">
      <c r="A1040" s="23">
        <v>2.027344E-2</v>
      </c>
      <c r="B1040" s="23">
        <f t="shared" si="32"/>
        <v>-4.5281000000000002E-2</v>
      </c>
      <c r="C1040" s="24"/>
      <c r="D1040" s="24">
        <f t="shared" si="33"/>
        <v>-32.172861635220123</v>
      </c>
      <c r="E1040" s="21"/>
      <c r="G1040" s="23">
        <v>0.1023097</v>
      </c>
      <c r="H1040" s="23">
        <v>-4.5281000000000002E-2</v>
      </c>
    </row>
    <row r="1041" spans="1:8" x14ac:dyDescent="0.35">
      <c r="A1041" s="23">
        <v>2.029297E-2</v>
      </c>
      <c r="B1041" s="23">
        <f t="shared" si="32"/>
        <v>-6.4730120000000002E-2</v>
      </c>
      <c r="C1041" s="24"/>
      <c r="D1041" s="24">
        <f t="shared" si="33"/>
        <v>-38.184622641509428</v>
      </c>
      <c r="E1041" s="21"/>
      <c r="G1041" s="23">
        <v>0.1214271</v>
      </c>
      <c r="H1041" s="23">
        <v>-6.4730120000000002E-2</v>
      </c>
    </row>
    <row r="1042" spans="1:8" x14ac:dyDescent="0.35">
      <c r="A1042" s="23">
        <v>2.0312500000000001E-2</v>
      </c>
      <c r="B1042" s="23">
        <f t="shared" si="32"/>
        <v>-8.6259130000000003E-2</v>
      </c>
      <c r="C1042" s="24"/>
      <c r="D1042" s="24">
        <f t="shared" si="33"/>
        <v>-44.008930817610057</v>
      </c>
      <c r="E1042" s="21"/>
      <c r="G1042" s="23">
        <v>0.1399484</v>
      </c>
      <c r="H1042" s="23">
        <v>-8.6259130000000003E-2</v>
      </c>
    </row>
    <row r="1043" spans="1:8" x14ac:dyDescent="0.35">
      <c r="A1043" s="23">
        <v>2.0332030000000001E-2</v>
      </c>
      <c r="B1043" s="23">
        <f t="shared" si="32"/>
        <v>-0.10583090000000001</v>
      </c>
      <c r="C1043" s="24"/>
      <c r="D1043" s="24">
        <f t="shared" si="33"/>
        <v>-49.896352201257862</v>
      </c>
      <c r="E1043" s="21"/>
      <c r="G1043" s="23">
        <v>0.15867039999999999</v>
      </c>
      <c r="H1043" s="23">
        <v>-0.10583090000000001</v>
      </c>
    </row>
    <row r="1044" spans="1:8" x14ac:dyDescent="0.35">
      <c r="A1044" s="23">
        <v>2.0351560000000001E-2</v>
      </c>
      <c r="B1044" s="23">
        <f t="shared" si="32"/>
        <v>-0.12517120000000001</v>
      </c>
      <c r="C1044" s="24"/>
      <c r="D1044" s="24">
        <f t="shared" si="33"/>
        <v>-55.104182389937108</v>
      </c>
      <c r="E1044" s="21"/>
      <c r="G1044" s="23">
        <v>0.17523130000000001</v>
      </c>
      <c r="H1044" s="23">
        <v>-0.12517120000000001</v>
      </c>
    </row>
    <row r="1045" spans="1:8" x14ac:dyDescent="0.35">
      <c r="A1045" s="23">
        <v>2.0371090000000001E-2</v>
      </c>
      <c r="B1045" s="23">
        <f t="shared" si="32"/>
        <v>-0.14317240000000001</v>
      </c>
      <c r="C1045" s="24"/>
      <c r="D1045" s="24">
        <f t="shared" si="33"/>
        <v>-60.013081761006283</v>
      </c>
      <c r="E1045" s="21"/>
      <c r="G1045" s="23">
        <v>0.1908416</v>
      </c>
      <c r="H1045" s="23">
        <v>-0.14317240000000001</v>
      </c>
    </row>
    <row r="1046" spans="1:8" x14ac:dyDescent="0.35">
      <c r="A1046" s="23">
        <v>2.0390620000000002E-2</v>
      </c>
      <c r="B1046" s="23">
        <f t="shared" si="32"/>
        <v>-0.1595645</v>
      </c>
      <c r="C1046" s="24"/>
      <c r="D1046" s="24">
        <f t="shared" si="33"/>
        <v>-65.038459119496849</v>
      </c>
      <c r="E1046" s="21"/>
      <c r="G1046" s="23">
        <v>0.20682229999999999</v>
      </c>
      <c r="H1046" s="23">
        <v>-0.1595645</v>
      </c>
    </row>
    <row r="1047" spans="1:8" x14ac:dyDescent="0.35">
      <c r="A1047" s="23">
        <v>2.041016E-2</v>
      </c>
      <c r="B1047" s="23">
        <f t="shared" si="32"/>
        <v>-0.17520479999999999</v>
      </c>
      <c r="C1047" s="24"/>
      <c r="D1047" s="24">
        <f t="shared" si="33"/>
        <v>-69.739559748427666</v>
      </c>
      <c r="E1047" s="21"/>
      <c r="G1047" s="23">
        <v>0.22177179999999999</v>
      </c>
      <c r="H1047" s="23">
        <v>-0.17520479999999999</v>
      </c>
    </row>
    <row r="1048" spans="1:8" x14ac:dyDescent="0.35">
      <c r="A1048" s="23">
        <v>2.042969E-2</v>
      </c>
      <c r="B1048" s="23">
        <f t="shared" si="32"/>
        <v>-0.18995200000000001</v>
      </c>
      <c r="C1048" s="24"/>
      <c r="D1048" s="24">
        <f t="shared" si="33"/>
        <v>-74.542735849056612</v>
      </c>
      <c r="E1048" s="21"/>
      <c r="G1048" s="23">
        <v>0.2370459</v>
      </c>
      <c r="H1048" s="23">
        <v>-0.18995200000000001</v>
      </c>
    </row>
    <row r="1049" spans="1:8" x14ac:dyDescent="0.35">
      <c r="A1049" s="23">
        <v>2.0449220000000001E-2</v>
      </c>
      <c r="B1049" s="23">
        <f t="shared" si="32"/>
        <v>-0.2030296</v>
      </c>
      <c r="C1049" s="24"/>
      <c r="D1049" s="24">
        <f t="shared" si="33"/>
        <v>-78.812452830188676</v>
      </c>
      <c r="E1049" s="21"/>
      <c r="G1049" s="23">
        <v>0.2506236</v>
      </c>
      <c r="H1049" s="23">
        <v>-0.2030296</v>
      </c>
    </row>
    <row r="1050" spans="1:8" x14ac:dyDescent="0.35">
      <c r="A1050" s="23">
        <v>2.0468750000000001E-2</v>
      </c>
      <c r="B1050" s="23">
        <f t="shared" si="32"/>
        <v>-0.21264069999999999</v>
      </c>
      <c r="C1050" s="24"/>
      <c r="D1050" s="24">
        <f t="shared" si="33"/>
        <v>-82.253522012578628</v>
      </c>
      <c r="E1050" s="21"/>
      <c r="G1050" s="23">
        <v>0.26156620000000003</v>
      </c>
      <c r="H1050" s="23">
        <v>-0.21264069999999999</v>
      </c>
    </row>
    <row r="1051" spans="1:8" x14ac:dyDescent="0.35">
      <c r="A1051" s="23">
        <v>2.0488280000000001E-2</v>
      </c>
      <c r="B1051" s="23">
        <f t="shared" si="32"/>
        <v>-0.2226138</v>
      </c>
      <c r="C1051" s="24"/>
      <c r="D1051" s="24">
        <f t="shared" si="33"/>
        <v>-86.027106918238985</v>
      </c>
      <c r="E1051" s="21"/>
      <c r="G1051" s="23">
        <v>0.27356619999999998</v>
      </c>
      <c r="H1051" s="23">
        <v>-0.2226138</v>
      </c>
    </row>
    <row r="1052" spans="1:8" x14ac:dyDescent="0.35">
      <c r="A1052" s="23">
        <v>2.0507810000000001E-2</v>
      </c>
      <c r="B1052" s="23">
        <f t="shared" si="32"/>
        <v>-0.23251240000000001</v>
      </c>
      <c r="C1052" s="24"/>
      <c r="D1052" s="24">
        <f t="shared" si="33"/>
        <v>-89.428490566037723</v>
      </c>
      <c r="E1052" s="21"/>
      <c r="G1052" s="23">
        <v>0.28438259999999999</v>
      </c>
      <c r="H1052" s="23">
        <v>-0.23251240000000001</v>
      </c>
    </row>
    <row r="1053" spans="1:8" x14ac:dyDescent="0.35">
      <c r="A1053" s="23">
        <v>2.0527340000000002E-2</v>
      </c>
      <c r="B1053" s="23">
        <f t="shared" si="32"/>
        <v>-0.23985329999999999</v>
      </c>
      <c r="C1053" s="24"/>
      <c r="D1053" s="24">
        <f t="shared" si="33"/>
        <v>-92.167987421383643</v>
      </c>
      <c r="E1053" s="21"/>
      <c r="G1053" s="23">
        <v>0.29309420000000003</v>
      </c>
      <c r="H1053" s="23">
        <v>-0.23985329999999999</v>
      </c>
    </row>
    <row r="1054" spans="1:8" x14ac:dyDescent="0.35">
      <c r="A1054" s="23">
        <v>2.0546869999999998E-2</v>
      </c>
      <c r="B1054" s="23">
        <f t="shared" si="32"/>
        <v>-0.24760779999999999</v>
      </c>
      <c r="C1054" s="24"/>
      <c r="D1054" s="24">
        <f t="shared" si="33"/>
        <v>-95.043113207547165</v>
      </c>
      <c r="E1054" s="21"/>
      <c r="G1054" s="23">
        <v>0.30223709999999998</v>
      </c>
      <c r="H1054" s="23">
        <v>-0.24760779999999999</v>
      </c>
    </row>
    <row r="1055" spans="1:8" x14ac:dyDescent="0.35">
      <c r="A1055" s="23">
        <v>2.056641E-2</v>
      </c>
      <c r="B1055" s="23">
        <f t="shared" si="32"/>
        <v>-0.25454490000000002</v>
      </c>
      <c r="C1055" s="24"/>
      <c r="D1055" s="24">
        <f t="shared" si="33"/>
        <v>-97.335440251572322</v>
      </c>
      <c r="E1055" s="21"/>
      <c r="G1055" s="23">
        <v>0.30952669999999999</v>
      </c>
      <c r="H1055" s="23">
        <v>-0.25454490000000002</v>
      </c>
    </row>
    <row r="1056" spans="1:8" x14ac:dyDescent="0.35">
      <c r="A1056" s="23">
        <v>2.058594E-2</v>
      </c>
      <c r="B1056" s="23">
        <f t="shared" si="32"/>
        <v>-0.26042169999999998</v>
      </c>
      <c r="C1056" s="24"/>
      <c r="D1056" s="24">
        <f t="shared" si="33"/>
        <v>-99.327358490566027</v>
      </c>
      <c r="E1056" s="21"/>
      <c r="G1056" s="23">
        <v>0.315861</v>
      </c>
      <c r="H1056" s="23">
        <v>-0.26042169999999998</v>
      </c>
    </row>
    <row r="1057" spans="1:8" x14ac:dyDescent="0.35">
      <c r="A1057" s="23">
        <v>2.0605470000000001E-2</v>
      </c>
      <c r="B1057" s="23">
        <f t="shared" si="32"/>
        <v>-0.26569160000000003</v>
      </c>
      <c r="C1057" s="24"/>
      <c r="D1057" s="24">
        <f t="shared" si="33"/>
        <v>-101.23710691823899</v>
      </c>
      <c r="E1057" s="21"/>
      <c r="G1057" s="23">
        <v>0.321934</v>
      </c>
      <c r="H1057" s="23">
        <v>-0.26569160000000003</v>
      </c>
    </row>
    <row r="1058" spans="1:8" x14ac:dyDescent="0.35">
      <c r="A1058" s="23">
        <v>2.0625000000000001E-2</v>
      </c>
      <c r="B1058" s="23">
        <f t="shared" si="32"/>
        <v>-0.2685727</v>
      </c>
      <c r="C1058" s="24"/>
      <c r="D1058" s="24">
        <f t="shared" si="33"/>
        <v>-102.08018867924528</v>
      </c>
      <c r="E1058" s="21"/>
      <c r="G1058" s="23">
        <v>0.32461499999999999</v>
      </c>
      <c r="H1058" s="23">
        <v>-0.2685727</v>
      </c>
    </row>
    <row r="1059" spans="1:8" x14ac:dyDescent="0.35">
      <c r="A1059" s="23">
        <v>2.0644530000000001E-2</v>
      </c>
      <c r="B1059" s="23">
        <f t="shared" si="32"/>
        <v>-0.27062570000000002</v>
      </c>
      <c r="C1059" s="24"/>
      <c r="D1059" s="24">
        <f t="shared" si="33"/>
        <v>-102.60389937106919</v>
      </c>
      <c r="E1059" s="21"/>
      <c r="G1059" s="23">
        <v>0.32628040000000003</v>
      </c>
      <c r="H1059" s="23">
        <v>-0.27062570000000002</v>
      </c>
    </row>
    <row r="1060" spans="1:8" x14ac:dyDescent="0.35">
      <c r="A1060" s="23">
        <v>2.0664060000000001E-2</v>
      </c>
      <c r="B1060" s="23">
        <f t="shared" si="32"/>
        <v>-0.27196959999999998</v>
      </c>
      <c r="C1060" s="24"/>
      <c r="D1060" s="24">
        <f t="shared" si="33"/>
        <v>-103.13786163522013</v>
      </c>
      <c r="E1060" s="21"/>
      <c r="G1060" s="23">
        <v>0.3279784</v>
      </c>
      <c r="H1060" s="23">
        <v>-0.27196959999999998</v>
      </c>
    </row>
    <row r="1061" spans="1:8" x14ac:dyDescent="0.35">
      <c r="A1061" s="23">
        <v>2.0683590000000002E-2</v>
      </c>
      <c r="B1061" s="23">
        <f t="shared" si="32"/>
        <v>-0.27262110000000001</v>
      </c>
      <c r="C1061" s="24"/>
      <c r="D1061" s="24">
        <f t="shared" si="33"/>
        <v>-103.15003144654088</v>
      </c>
      <c r="E1061" s="21"/>
      <c r="G1061" s="23">
        <v>0.32801710000000001</v>
      </c>
      <c r="H1061" s="23">
        <v>-0.27262110000000001</v>
      </c>
    </row>
    <row r="1062" spans="1:8" x14ac:dyDescent="0.35">
      <c r="A1062" s="23">
        <v>2.0703119999999998E-2</v>
      </c>
      <c r="B1062" s="23">
        <f t="shared" si="32"/>
        <v>-0.27319539999999998</v>
      </c>
      <c r="C1062" s="24"/>
      <c r="D1062" s="24">
        <f t="shared" si="33"/>
        <v>-103.14503144654087</v>
      </c>
      <c r="E1062" s="21"/>
      <c r="G1062" s="23">
        <v>0.32800119999999999</v>
      </c>
      <c r="H1062" s="23">
        <v>-0.27319539999999998</v>
      </c>
    </row>
    <row r="1063" spans="1:8" x14ac:dyDescent="0.35">
      <c r="A1063" s="23">
        <v>2.072266E-2</v>
      </c>
      <c r="B1063" s="23">
        <f t="shared" si="32"/>
        <v>-0.27157150000000002</v>
      </c>
      <c r="C1063" s="24"/>
      <c r="D1063" s="24">
        <f t="shared" si="33"/>
        <v>-102.56493710691824</v>
      </c>
      <c r="E1063" s="21"/>
      <c r="G1063" s="23">
        <v>0.32615650000000002</v>
      </c>
      <c r="H1063" s="23">
        <v>-0.27157150000000002</v>
      </c>
    </row>
    <row r="1064" spans="1:8" x14ac:dyDescent="0.35">
      <c r="A1064" s="23">
        <v>2.0742190000000001E-2</v>
      </c>
      <c r="B1064" s="23">
        <f t="shared" si="32"/>
        <v>-0.26811439999999997</v>
      </c>
      <c r="C1064" s="24"/>
      <c r="D1064" s="24">
        <f t="shared" si="33"/>
        <v>-100.96949685534591</v>
      </c>
      <c r="E1064" s="21"/>
      <c r="G1064" s="23">
        <v>0.32108300000000001</v>
      </c>
      <c r="H1064" s="23">
        <v>-0.26811439999999997</v>
      </c>
    </row>
    <row r="1065" spans="1:8" x14ac:dyDescent="0.35">
      <c r="A1065" s="23">
        <v>2.0761720000000001E-2</v>
      </c>
      <c r="B1065" s="23">
        <f t="shared" si="32"/>
        <v>-0.2642487</v>
      </c>
      <c r="C1065" s="24"/>
      <c r="D1065" s="24">
        <f t="shared" si="33"/>
        <v>-99.253522012578628</v>
      </c>
      <c r="E1065" s="21"/>
      <c r="G1065" s="23">
        <v>0.31562620000000002</v>
      </c>
      <c r="H1065" s="23">
        <v>-0.2642487</v>
      </c>
    </row>
    <row r="1066" spans="1:8" x14ac:dyDescent="0.35">
      <c r="A1066" s="23">
        <v>2.0781250000000001E-2</v>
      </c>
      <c r="B1066" s="23">
        <f t="shared" si="32"/>
        <v>-0.2595924</v>
      </c>
      <c r="C1066" s="24"/>
      <c r="D1066" s="24">
        <f t="shared" si="33"/>
        <v>-97.292987421383643</v>
      </c>
      <c r="E1066" s="21"/>
      <c r="G1066" s="23">
        <v>0.30939169999999999</v>
      </c>
      <c r="H1066" s="23">
        <v>-0.2595924</v>
      </c>
    </row>
    <row r="1067" spans="1:8" x14ac:dyDescent="0.35">
      <c r="A1067" s="23">
        <v>2.0800780000000001E-2</v>
      </c>
      <c r="B1067" s="23">
        <f t="shared" si="32"/>
        <v>-0.25460369999999999</v>
      </c>
      <c r="C1067" s="24"/>
      <c r="D1067" s="24">
        <f t="shared" si="33"/>
        <v>-95.063679245282998</v>
      </c>
      <c r="E1067" s="21"/>
      <c r="G1067" s="23">
        <v>0.30230249999999997</v>
      </c>
      <c r="H1067" s="23">
        <v>-0.25460369999999999</v>
      </c>
    </row>
    <row r="1068" spans="1:8" x14ac:dyDescent="0.35">
      <c r="A1068" s="23">
        <v>2.0820310000000002E-2</v>
      </c>
      <c r="B1068" s="23">
        <f t="shared" si="32"/>
        <v>-0.2488939</v>
      </c>
      <c r="C1068" s="24"/>
      <c r="D1068" s="24">
        <f t="shared" si="33"/>
        <v>-92.674811320754728</v>
      </c>
      <c r="E1068" s="21"/>
      <c r="G1068" s="23">
        <v>0.29470590000000002</v>
      </c>
      <c r="H1068" s="23">
        <v>-0.2488939</v>
      </c>
    </row>
    <row r="1069" spans="1:8" x14ac:dyDescent="0.35">
      <c r="A1069" s="23">
        <v>2.0839839999999998E-2</v>
      </c>
      <c r="B1069" s="23">
        <f t="shared" si="32"/>
        <v>-0.24171570000000001</v>
      </c>
      <c r="C1069" s="24"/>
      <c r="D1069" s="24">
        <f t="shared" si="33"/>
        <v>-89.54578616352201</v>
      </c>
      <c r="E1069" s="21"/>
      <c r="G1069" s="23">
        <v>0.2847556</v>
      </c>
      <c r="H1069" s="23">
        <v>-0.24171570000000001</v>
      </c>
    </row>
    <row r="1070" spans="1:8" x14ac:dyDescent="0.35">
      <c r="A1070" s="23">
        <v>2.0859369999999999E-2</v>
      </c>
      <c r="B1070" s="23">
        <f t="shared" si="32"/>
        <v>-0.23364579999999999</v>
      </c>
      <c r="C1070" s="24"/>
      <c r="D1070" s="24">
        <f t="shared" si="33"/>
        <v>-86.052735849056589</v>
      </c>
      <c r="E1070" s="21"/>
      <c r="G1070" s="23">
        <v>0.27364769999999999</v>
      </c>
      <c r="H1070" s="23">
        <v>-0.23364579999999999</v>
      </c>
    </row>
    <row r="1071" spans="1:8" x14ac:dyDescent="0.35">
      <c r="A1071" s="23">
        <v>2.0878910000000001E-2</v>
      </c>
      <c r="B1071" s="23">
        <f t="shared" si="32"/>
        <v>-0.2242731</v>
      </c>
      <c r="C1071" s="24"/>
      <c r="D1071" s="24">
        <f t="shared" si="33"/>
        <v>-82.097201257861627</v>
      </c>
      <c r="E1071" s="21"/>
      <c r="G1071" s="23">
        <v>0.2610691</v>
      </c>
      <c r="H1071" s="23">
        <v>-0.2242731</v>
      </c>
    </row>
    <row r="1072" spans="1:8" x14ac:dyDescent="0.35">
      <c r="A1072" s="23">
        <v>2.0898440000000001E-2</v>
      </c>
      <c r="B1072" s="23">
        <f t="shared" si="32"/>
        <v>-0.213863</v>
      </c>
      <c r="C1072" s="24"/>
      <c r="D1072" s="24">
        <f t="shared" si="33"/>
        <v>-77.646729559748422</v>
      </c>
      <c r="E1072" s="21"/>
      <c r="G1072" s="23">
        <v>0.24691660000000001</v>
      </c>
      <c r="H1072" s="23">
        <v>-0.213863</v>
      </c>
    </row>
    <row r="1073" spans="1:8" x14ac:dyDescent="0.35">
      <c r="A1073" s="23">
        <v>2.0917970000000001E-2</v>
      </c>
      <c r="B1073" s="23">
        <f t="shared" si="32"/>
        <v>-0.20350119999999999</v>
      </c>
      <c r="C1073" s="24"/>
      <c r="D1073" s="24">
        <f t="shared" si="33"/>
        <v>-73.43022012578615</v>
      </c>
      <c r="E1073" s="21"/>
      <c r="G1073" s="23">
        <v>0.2335081</v>
      </c>
      <c r="H1073" s="23">
        <v>-0.20350119999999999</v>
      </c>
    </row>
    <row r="1074" spans="1:8" x14ac:dyDescent="0.35">
      <c r="A1074" s="23">
        <v>2.0937500000000001E-2</v>
      </c>
      <c r="B1074" s="23">
        <f t="shared" si="32"/>
        <v>-0.1925896</v>
      </c>
      <c r="C1074" s="24"/>
      <c r="D1074" s="24">
        <f t="shared" si="33"/>
        <v>-68.988364779874203</v>
      </c>
      <c r="E1074" s="21"/>
      <c r="G1074" s="23">
        <v>0.21938299999999999</v>
      </c>
      <c r="H1074" s="23">
        <v>-0.1925896</v>
      </c>
    </row>
    <row r="1075" spans="1:8" x14ac:dyDescent="0.35">
      <c r="A1075" s="23">
        <v>2.0957030000000001E-2</v>
      </c>
      <c r="B1075" s="23">
        <f t="shared" si="32"/>
        <v>-0.18071390000000001</v>
      </c>
      <c r="C1075" s="24"/>
      <c r="D1075" s="24">
        <f t="shared" si="33"/>
        <v>-64.05220125786164</v>
      </c>
      <c r="E1075" s="21"/>
      <c r="G1075" s="23">
        <v>0.20368600000000001</v>
      </c>
      <c r="H1075" s="23">
        <v>-0.18071390000000001</v>
      </c>
    </row>
    <row r="1076" spans="1:8" x14ac:dyDescent="0.35">
      <c r="A1076" s="23">
        <v>2.0976560000000002E-2</v>
      </c>
      <c r="B1076" s="23">
        <f t="shared" si="32"/>
        <v>-0.16740769999999999</v>
      </c>
      <c r="C1076" s="24"/>
      <c r="D1076" s="24">
        <f t="shared" si="33"/>
        <v>-58.675062893081758</v>
      </c>
      <c r="E1076" s="21"/>
      <c r="G1076" s="23">
        <v>0.18658669999999999</v>
      </c>
      <c r="H1076" s="23">
        <v>-0.16740769999999999</v>
      </c>
    </row>
    <row r="1077" spans="1:8" x14ac:dyDescent="0.35">
      <c r="A1077" s="23">
        <v>2.0996089999999999E-2</v>
      </c>
      <c r="B1077" s="23">
        <f t="shared" si="32"/>
        <v>-0.15285480000000001</v>
      </c>
      <c r="C1077" s="24"/>
      <c r="D1077" s="24">
        <f t="shared" si="33"/>
        <v>-52.812232704402518</v>
      </c>
      <c r="E1077" s="21"/>
      <c r="G1077" s="23">
        <v>0.16794290000000001</v>
      </c>
      <c r="H1077" s="23">
        <v>-0.15285480000000001</v>
      </c>
    </row>
    <row r="1078" spans="1:8" x14ac:dyDescent="0.35">
      <c r="A1078" s="23">
        <v>2.1015619999999999E-2</v>
      </c>
      <c r="B1078" s="23">
        <f t="shared" si="32"/>
        <v>-0.13832510000000001</v>
      </c>
      <c r="C1078" s="24"/>
      <c r="D1078" s="24">
        <f t="shared" si="33"/>
        <v>-46.867484276729556</v>
      </c>
      <c r="E1078" s="21"/>
      <c r="G1078" s="23">
        <v>0.14903859999999999</v>
      </c>
      <c r="H1078" s="23">
        <v>-0.13832510000000001</v>
      </c>
    </row>
    <row r="1079" spans="1:8" x14ac:dyDescent="0.35">
      <c r="A1079" s="23">
        <v>2.1035160000000001E-2</v>
      </c>
      <c r="B1079" s="23">
        <f t="shared" si="32"/>
        <v>-0.1232741</v>
      </c>
      <c r="C1079" s="24"/>
      <c r="D1079" s="24">
        <f t="shared" si="33"/>
        <v>-40.859905660377358</v>
      </c>
      <c r="E1079" s="21"/>
      <c r="G1079" s="23">
        <v>0.12993450000000001</v>
      </c>
      <c r="H1079" s="23">
        <v>-0.1232741</v>
      </c>
    </row>
    <row r="1080" spans="1:8" x14ac:dyDescent="0.35">
      <c r="A1080" s="23">
        <v>2.1054690000000001E-2</v>
      </c>
      <c r="B1080" s="23">
        <f t="shared" si="32"/>
        <v>-0.107838</v>
      </c>
      <c r="C1080" s="24"/>
      <c r="D1080" s="24">
        <f t="shared" si="33"/>
        <v>-34.865597484276726</v>
      </c>
      <c r="E1080" s="21"/>
      <c r="G1080" s="23">
        <v>0.1108726</v>
      </c>
      <c r="H1080" s="23">
        <v>-0.107838</v>
      </c>
    </row>
    <row r="1081" spans="1:8" x14ac:dyDescent="0.35">
      <c r="A1081" s="23">
        <v>2.1074220000000001E-2</v>
      </c>
      <c r="B1081" s="23">
        <f t="shared" si="32"/>
        <v>-9.2812619999999998E-2</v>
      </c>
      <c r="C1081" s="24"/>
      <c r="D1081" s="24">
        <f t="shared" si="33"/>
        <v>-28.876402515723267</v>
      </c>
      <c r="E1081" s="21"/>
      <c r="G1081" s="23">
        <v>9.1826959999999999E-2</v>
      </c>
      <c r="H1081" s="23">
        <v>-9.2812619999999998E-2</v>
      </c>
    </row>
    <row r="1082" spans="1:8" x14ac:dyDescent="0.35">
      <c r="A1082" s="23">
        <v>2.1093750000000001E-2</v>
      </c>
      <c r="B1082" s="23">
        <f t="shared" si="32"/>
        <v>-7.6845559999999993E-2</v>
      </c>
      <c r="C1082" s="24"/>
      <c r="D1082" s="24">
        <f t="shared" si="33"/>
        <v>-22.353273584905658</v>
      </c>
      <c r="E1082" s="21"/>
      <c r="G1082" s="23">
        <v>7.108341E-2</v>
      </c>
      <c r="H1082" s="23">
        <v>-7.6845559999999993E-2</v>
      </c>
    </row>
    <row r="1083" spans="1:8" x14ac:dyDescent="0.35">
      <c r="A1083" s="23">
        <v>2.1113280000000002E-2</v>
      </c>
      <c r="B1083" s="23">
        <f t="shared" si="32"/>
        <v>-5.9674369999999997E-2</v>
      </c>
      <c r="C1083" s="24"/>
      <c r="D1083" s="24">
        <f t="shared" si="33"/>
        <v>-15.538773584905659</v>
      </c>
      <c r="E1083" s="21"/>
      <c r="G1083" s="23">
        <v>4.94133E-2</v>
      </c>
      <c r="H1083" s="23">
        <v>-5.9674369999999997E-2</v>
      </c>
    </row>
    <row r="1084" spans="1:8" x14ac:dyDescent="0.35">
      <c r="A1084" s="23">
        <v>2.1132809999999998E-2</v>
      </c>
      <c r="B1084" s="23">
        <f t="shared" si="32"/>
        <v>-4.3165679999999998E-2</v>
      </c>
      <c r="C1084" s="24"/>
      <c r="D1084" s="24">
        <f t="shared" si="33"/>
        <v>-9.1279496855345919</v>
      </c>
      <c r="E1084" s="21"/>
      <c r="G1084" s="23">
        <v>2.9026880000000001E-2</v>
      </c>
      <c r="H1084" s="23">
        <v>-4.3165679999999998E-2</v>
      </c>
    </row>
    <row r="1085" spans="1:8" x14ac:dyDescent="0.35">
      <c r="A1085" s="23">
        <v>2.1152339999999999E-2</v>
      </c>
      <c r="B1085" s="23">
        <f t="shared" si="32"/>
        <v>-2.7149059999999999E-2</v>
      </c>
      <c r="C1085" s="24"/>
      <c r="D1085" s="24">
        <f t="shared" si="33"/>
        <v>-2.6723150943396221</v>
      </c>
      <c r="E1085" s="21"/>
      <c r="G1085" s="23">
        <v>8.4979619999999995E-3</v>
      </c>
      <c r="H1085" s="23">
        <v>-2.7149059999999999E-2</v>
      </c>
    </row>
    <row r="1086" spans="1:8" x14ac:dyDescent="0.35">
      <c r="A1086" s="23">
        <v>2.1171869999999999E-2</v>
      </c>
      <c r="B1086" s="23">
        <f t="shared" si="32"/>
        <v>-1.086809E-2</v>
      </c>
      <c r="C1086" s="24"/>
      <c r="D1086" s="24">
        <f t="shared" si="33"/>
        <v>3.8754905660377355</v>
      </c>
      <c r="E1086" s="21"/>
      <c r="G1086" s="23">
        <v>-1.232406E-2</v>
      </c>
      <c r="H1086" s="23">
        <v>-1.086809E-2</v>
      </c>
    </row>
    <row r="1087" spans="1:8" x14ac:dyDescent="0.35">
      <c r="A1087" s="23">
        <v>2.1191410000000001E-2</v>
      </c>
      <c r="B1087" s="23">
        <f t="shared" si="32"/>
        <v>5.2009049999999996E-3</v>
      </c>
      <c r="C1087" s="24"/>
      <c r="D1087" s="24">
        <f t="shared" si="33"/>
        <v>10.054477987421384</v>
      </c>
      <c r="E1087" s="21"/>
      <c r="G1087" s="23">
        <v>-3.197324E-2</v>
      </c>
      <c r="H1087" s="23">
        <v>5.2009049999999996E-3</v>
      </c>
    </row>
    <row r="1088" spans="1:8" x14ac:dyDescent="0.35">
      <c r="A1088" s="23">
        <v>2.1210940000000001E-2</v>
      </c>
      <c r="B1088" s="23">
        <f t="shared" si="32"/>
        <v>2.160277E-2</v>
      </c>
      <c r="C1088" s="24"/>
      <c r="D1088" s="24">
        <f t="shared" si="33"/>
        <v>16.490459119496855</v>
      </c>
      <c r="E1088" s="21"/>
      <c r="G1088" s="23">
        <v>-5.2439659999999999E-2</v>
      </c>
      <c r="H1088" s="23">
        <v>2.160277E-2</v>
      </c>
    </row>
    <row r="1089" spans="1:8" x14ac:dyDescent="0.35">
      <c r="A1089" s="23">
        <v>2.1230470000000001E-2</v>
      </c>
      <c r="B1089" s="23">
        <f t="shared" si="32"/>
        <v>3.8329080000000001E-2</v>
      </c>
      <c r="C1089" s="24"/>
      <c r="D1089" s="24">
        <f t="shared" si="33"/>
        <v>23.092635220125786</v>
      </c>
      <c r="E1089" s="21"/>
      <c r="G1089" s="23">
        <v>-7.3434579999999999E-2</v>
      </c>
      <c r="H1089" s="23">
        <v>3.8329080000000001E-2</v>
      </c>
    </row>
    <row r="1090" spans="1:8" x14ac:dyDescent="0.35">
      <c r="A1090" s="23">
        <v>2.1250000000000002E-2</v>
      </c>
      <c r="B1090" s="23">
        <f t="shared" ref="B1090:B1153" si="34">H1090</f>
        <v>5.5093330000000003E-2</v>
      </c>
      <c r="C1090" s="24"/>
      <c r="D1090" s="24">
        <f t="shared" ref="D1090:D1153" si="35">G1090*-1000/3.18</f>
        <v>29.489308176100625</v>
      </c>
      <c r="E1090" s="21"/>
      <c r="G1090" s="23">
        <v>-9.3775999999999998E-2</v>
      </c>
      <c r="H1090" s="23">
        <v>5.5093330000000003E-2</v>
      </c>
    </row>
    <row r="1091" spans="1:8" x14ac:dyDescent="0.35">
      <c r="A1091" s="23">
        <v>2.1269529999999998E-2</v>
      </c>
      <c r="B1091" s="23">
        <f t="shared" si="34"/>
        <v>7.1207019999999996E-2</v>
      </c>
      <c r="C1091" s="24"/>
      <c r="D1091" s="24">
        <f t="shared" si="35"/>
        <v>35.572704402515726</v>
      </c>
      <c r="E1091" s="21"/>
      <c r="G1091" s="23">
        <v>-0.11312120000000001</v>
      </c>
      <c r="H1091" s="23">
        <v>7.1207019999999996E-2</v>
      </c>
    </row>
    <row r="1092" spans="1:8" x14ac:dyDescent="0.35">
      <c r="A1092" s="23">
        <v>2.1289059999999999E-2</v>
      </c>
      <c r="B1092" s="23">
        <f t="shared" si="34"/>
        <v>8.5913439999999994E-2</v>
      </c>
      <c r="C1092" s="24"/>
      <c r="D1092" s="24">
        <f t="shared" si="35"/>
        <v>41.191981132075469</v>
      </c>
      <c r="E1092" s="21"/>
      <c r="G1092" s="23">
        <v>-0.13099050000000001</v>
      </c>
      <c r="H1092" s="23">
        <v>8.5913439999999994E-2</v>
      </c>
    </row>
    <row r="1093" spans="1:8" x14ac:dyDescent="0.35">
      <c r="A1093" s="23">
        <v>2.1308589999999999E-2</v>
      </c>
      <c r="B1093" s="23">
        <f t="shared" si="34"/>
        <v>0.1012434</v>
      </c>
      <c r="C1093" s="24"/>
      <c r="D1093" s="24">
        <f t="shared" si="35"/>
        <v>47.12814465408804</v>
      </c>
      <c r="E1093" s="21"/>
      <c r="G1093" s="23">
        <v>-0.14986749999999999</v>
      </c>
      <c r="H1093" s="23">
        <v>0.1012434</v>
      </c>
    </row>
    <row r="1094" spans="1:8" x14ac:dyDescent="0.35">
      <c r="A1094" s="23">
        <v>2.1328119999999999E-2</v>
      </c>
      <c r="B1094" s="23">
        <f t="shared" si="34"/>
        <v>0.11641550000000001</v>
      </c>
      <c r="C1094" s="24"/>
      <c r="D1094" s="24">
        <f t="shared" si="35"/>
        <v>52.861352201257858</v>
      </c>
      <c r="E1094" s="21"/>
      <c r="G1094" s="23">
        <v>-0.1680991</v>
      </c>
      <c r="H1094" s="23">
        <v>0.11641550000000001</v>
      </c>
    </row>
    <row r="1095" spans="1:8" x14ac:dyDescent="0.35">
      <c r="A1095" s="23">
        <v>2.1347660000000001E-2</v>
      </c>
      <c r="B1095" s="23">
        <f t="shared" si="34"/>
        <v>0.1296581</v>
      </c>
      <c r="C1095" s="24"/>
      <c r="D1095" s="24">
        <f t="shared" si="35"/>
        <v>57.895534591194966</v>
      </c>
      <c r="E1095" s="21"/>
      <c r="G1095" s="23">
        <v>-0.18410779999999999</v>
      </c>
      <c r="H1095" s="23">
        <v>0.1296581</v>
      </c>
    </row>
    <row r="1096" spans="1:8" x14ac:dyDescent="0.35">
      <c r="A1096" s="23">
        <v>2.1367190000000001E-2</v>
      </c>
      <c r="B1096" s="23">
        <f t="shared" si="34"/>
        <v>0.1433315</v>
      </c>
      <c r="C1096" s="24"/>
      <c r="D1096" s="24">
        <f t="shared" si="35"/>
        <v>63.237798742138366</v>
      </c>
      <c r="E1096" s="21"/>
      <c r="G1096" s="23">
        <v>-0.2010962</v>
      </c>
      <c r="H1096" s="23">
        <v>0.1433315</v>
      </c>
    </row>
    <row r="1097" spans="1:8" x14ac:dyDescent="0.35">
      <c r="A1097" s="23">
        <v>2.1386720000000001E-2</v>
      </c>
      <c r="B1097" s="23">
        <f t="shared" si="34"/>
        <v>0.15691279999999999</v>
      </c>
      <c r="C1097" s="24"/>
      <c r="D1097" s="24">
        <f t="shared" si="35"/>
        <v>68.242830188679235</v>
      </c>
      <c r="E1097" s="21"/>
      <c r="G1097" s="23">
        <v>-0.21701219999999999</v>
      </c>
      <c r="H1097" s="23">
        <v>0.15691279999999999</v>
      </c>
    </row>
    <row r="1098" spans="1:8" x14ac:dyDescent="0.35">
      <c r="A1098" s="23">
        <v>2.1406250000000002E-2</v>
      </c>
      <c r="B1098" s="23">
        <f t="shared" si="34"/>
        <v>0.16860439999999999</v>
      </c>
      <c r="C1098" s="24"/>
      <c r="D1098" s="24">
        <f t="shared" si="35"/>
        <v>72.582075471698104</v>
      </c>
      <c r="E1098" s="21"/>
      <c r="G1098" s="23">
        <v>-0.23081099999999999</v>
      </c>
      <c r="H1098" s="23">
        <v>0.16860439999999999</v>
      </c>
    </row>
    <row r="1099" spans="1:8" x14ac:dyDescent="0.35">
      <c r="A1099" s="23">
        <v>2.1425779999999998E-2</v>
      </c>
      <c r="B1099" s="23">
        <f t="shared" si="34"/>
        <v>0.17979870000000001</v>
      </c>
      <c r="C1099" s="24"/>
      <c r="D1099" s="24">
        <f t="shared" si="35"/>
        <v>77.033679245283011</v>
      </c>
      <c r="E1099" s="21"/>
      <c r="G1099" s="23">
        <v>-0.24496709999999999</v>
      </c>
      <c r="H1099" s="23">
        <v>0.17979870000000001</v>
      </c>
    </row>
    <row r="1100" spans="1:8" x14ac:dyDescent="0.35">
      <c r="A1100" s="23">
        <v>2.1445309999999999E-2</v>
      </c>
      <c r="B1100" s="23">
        <f t="shared" si="34"/>
        <v>0.19038759999999999</v>
      </c>
      <c r="C1100" s="24"/>
      <c r="D1100" s="24">
        <f t="shared" si="35"/>
        <v>80.892798742138368</v>
      </c>
      <c r="E1100" s="21"/>
      <c r="G1100" s="23">
        <v>-0.2572391</v>
      </c>
      <c r="H1100" s="23">
        <v>0.19038759999999999</v>
      </c>
    </row>
    <row r="1101" spans="1:8" x14ac:dyDescent="0.35">
      <c r="A1101" s="23">
        <v>2.1464839999999999E-2</v>
      </c>
      <c r="B1101" s="23">
        <f t="shared" si="34"/>
        <v>0.199742</v>
      </c>
      <c r="C1101" s="24"/>
      <c r="D1101" s="24">
        <f t="shared" si="35"/>
        <v>84.287484276729558</v>
      </c>
      <c r="E1101" s="21"/>
      <c r="G1101" s="23">
        <v>-0.2680342</v>
      </c>
      <c r="H1101" s="23">
        <v>0.199742</v>
      </c>
    </row>
    <row r="1102" spans="1:8" x14ac:dyDescent="0.35">
      <c r="A1102" s="23">
        <v>2.1484380000000001E-2</v>
      </c>
      <c r="B1102" s="23">
        <f t="shared" si="34"/>
        <v>0.20895320000000001</v>
      </c>
      <c r="C1102" s="24"/>
      <c r="D1102" s="24">
        <f t="shared" si="35"/>
        <v>87.961069182389934</v>
      </c>
      <c r="E1102" s="21"/>
      <c r="G1102" s="23">
        <v>-0.27971620000000003</v>
      </c>
      <c r="H1102" s="23">
        <v>0.20895320000000001</v>
      </c>
    </row>
    <row r="1103" spans="1:8" x14ac:dyDescent="0.35">
      <c r="A1103" s="23">
        <v>2.1503910000000001E-2</v>
      </c>
      <c r="B1103" s="23">
        <f t="shared" si="34"/>
        <v>0.21732660000000001</v>
      </c>
      <c r="C1103" s="24"/>
      <c r="D1103" s="24">
        <f t="shared" si="35"/>
        <v>91.017327044025151</v>
      </c>
      <c r="E1103" s="21"/>
      <c r="G1103" s="23">
        <v>-0.2894351</v>
      </c>
      <c r="H1103" s="23">
        <v>0.21732660000000001</v>
      </c>
    </row>
    <row r="1104" spans="1:8" x14ac:dyDescent="0.35">
      <c r="A1104" s="23">
        <v>2.1523440000000001E-2</v>
      </c>
      <c r="B1104" s="23">
        <f t="shared" si="34"/>
        <v>0.22424359999999999</v>
      </c>
      <c r="C1104" s="24"/>
      <c r="D1104" s="24">
        <f t="shared" si="35"/>
        <v>93.536823899371072</v>
      </c>
      <c r="E1104" s="21"/>
      <c r="G1104" s="23">
        <v>-0.29744710000000002</v>
      </c>
      <c r="H1104" s="23">
        <v>0.22424359999999999</v>
      </c>
    </row>
    <row r="1105" spans="1:8" x14ac:dyDescent="0.35">
      <c r="A1105" s="23">
        <v>2.1542970000000002E-2</v>
      </c>
      <c r="B1105" s="23">
        <f t="shared" si="34"/>
        <v>0.2302845</v>
      </c>
      <c r="C1105" s="24"/>
      <c r="D1105" s="24">
        <f t="shared" si="35"/>
        <v>95.845786163522007</v>
      </c>
      <c r="E1105" s="21"/>
      <c r="G1105" s="23">
        <v>-0.30478959999999999</v>
      </c>
      <c r="H1105" s="23">
        <v>0.2302845</v>
      </c>
    </row>
    <row r="1106" spans="1:8" x14ac:dyDescent="0.35">
      <c r="A1106" s="23">
        <v>2.1562499999999998E-2</v>
      </c>
      <c r="B1106" s="23">
        <f t="shared" si="34"/>
        <v>0.23518749999999999</v>
      </c>
      <c r="C1106" s="24"/>
      <c r="D1106" s="24">
        <f t="shared" si="35"/>
        <v>97.465503144654079</v>
      </c>
      <c r="E1106" s="21"/>
      <c r="G1106" s="23">
        <v>-0.3099403</v>
      </c>
      <c r="H1106" s="23">
        <v>0.23518749999999999</v>
      </c>
    </row>
    <row r="1107" spans="1:8" x14ac:dyDescent="0.35">
      <c r="A1107" s="23">
        <v>2.1582029999999999E-2</v>
      </c>
      <c r="B1107" s="23">
        <f t="shared" si="34"/>
        <v>0.23975769999999999</v>
      </c>
      <c r="C1107" s="24"/>
      <c r="D1107" s="24">
        <f t="shared" si="35"/>
        <v>99.047452830188661</v>
      </c>
      <c r="E1107" s="21"/>
      <c r="G1107" s="23">
        <v>-0.3149709</v>
      </c>
      <c r="H1107" s="23">
        <v>0.23975769999999999</v>
      </c>
    </row>
    <row r="1108" spans="1:8" x14ac:dyDescent="0.35">
      <c r="A1108" s="23">
        <v>2.1601559999999999E-2</v>
      </c>
      <c r="B1108" s="23">
        <f t="shared" si="34"/>
        <v>0.2438303</v>
      </c>
      <c r="C1108" s="24"/>
      <c r="D1108" s="24">
        <f t="shared" si="35"/>
        <v>100.46207547169811</v>
      </c>
      <c r="E1108" s="21"/>
      <c r="G1108" s="23">
        <v>-0.31946940000000001</v>
      </c>
      <c r="H1108" s="23">
        <v>0.2438303</v>
      </c>
    </row>
    <row r="1109" spans="1:8" x14ac:dyDescent="0.35">
      <c r="A1109" s="23">
        <v>2.1621089999999999E-2</v>
      </c>
      <c r="B1109" s="23">
        <f t="shared" si="34"/>
        <v>0.24686820000000001</v>
      </c>
      <c r="C1109" s="24"/>
      <c r="D1109" s="24">
        <f t="shared" si="35"/>
        <v>101.44562893081761</v>
      </c>
      <c r="E1109" s="21"/>
      <c r="G1109" s="23">
        <v>-0.32259710000000003</v>
      </c>
      <c r="H1109" s="23">
        <v>0.24686820000000001</v>
      </c>
    </row>
    <row r="1110" spans="1:8" x14ac:dyDescent="0.35">
      <c r="A1110" s="23">
        <v>2.1640630000000001E-2</v>
      </c>
      <c r="B1110" s="23">
        <f t="shared" si="34"/>
        <v>0.24974940000000001</v>
      </c>
      <c r="C1110" s="24"/>
      <c r="D1110" s="24">
        <f t="shared" si="35"/>
        <v>102.27298742138366</v>
      </c>
      <c r="E1110" s="21"/>
      <c r="G1110" s="23">
        <v>-0.32522810000000002</v>
      </c>
      <c r="H1110" s="23">
        <v>0.24974940000000001</v>
      </c>
    </row>
    <row r="1111" spans="1:8" x14ac:dyDescent="0.35">
      <c r="A1111" s="23">
        <v>2.1660160000000001E-2</v>
      </c>
      <c r="B1111" s="23">
        <f t="shared" si="34"/>
        <v>0.2509345</v>
      </c>
      <c r="C1111" s="24"/>
      <c r="D1111" s="24">
        <f t="shared" si="35"/>
        <v>102.15930817610062</v>
      </c>
      <c r="E1111" s="21"/>
      <c r="G1111" s="23">
        <v>-0.32486660000000001</v>
      </c>
      <c r="H1111" s="23">
        <v>0.2509345</v>
      </c>
    </row>
    <row r="1112" spans="1:8" x14ac:dyDescent="0.35">
      <c r="A1112" s="23">
        <v>2.1679690000000001E-2</v>
      </c>
      <c r="B1112" s="23">
        <f t="shared" si="34"/>
        <v>0.25054539999999997</v>
      </c>
      <c r="C1112" s="24"/>
      <c r="D1112" s="24">
        <f t="shared" si="35"/>
        <v>101.60833333333333</v>
      </c>
      <c r="E1112" s="21"/>
      <c r="G1112" s="23">
        <v>-0.32311450000000003</v>
      </c>
      <c r="H1112" s="23">
        <v>0.25054539999999997</v>
      </c>
    </row>
    <row r="1113" spans="1:8" x14ac:dyDescent="0.35">
      <c r="A1113" s="23">
        <v>2.1699220000000002E-2</v>
      </c>
      <c r="B1113" s="23">
        <f t="shared" si="34"/>
        <v>0.25044899999999998</v>
      </c>
      <c r="C1113" s="24"/>
      <c r="D1113" s="24">
        <f t="shared" si="35"/>
        <v>101.18330188679245</v>
      </c>
      <c r="E1113" s="21"/>
      <c r="G1113" s="23">
        <v>-0.32176290000000002</v>
      </c>
      <c r="H1113" s="23">
        <v>0.25044899999999998</v>
      </c>
    </row>
    <row r="1114" spans="1:8" x14ac:dyDescent="0.35">
      <c r="A1114" s="23">
        <v>2.1718749999999998E-2</v>
      </c>
      <c r="B1114" s="23">
        <f t="shared" si="34"/>
        <v>0.24930089999999999</v>
      </c>
      <c r="C1114" s="24"/>
      <c r="D1114" s="24">
        <f t="shared" si="35"/>
        <v>100.19295597484277</v>
      </c>
      <c r="E1114" s="21"/>
      <c r="G1114" s="23">
        <v>-0.3186136</v>
      </c>
      <c r="H1114" s="23">
        <v>0.24930089999999999</v>
      </c>
    </row>
    <row r="1115" spans="1:8" x14ac:dyDescent="0.35">
      <c r="A1115" s="23">
        <v>2.1738279999999999E-2</v>
      </c>
      <c r="B1115" s="23">
        <f t="shared" si="34"/>
        <v>0.24794910000000001</v>
      </c>
      <c r="C1115" s="24"/>
      <c r="D1115" s="24">
        <f t="shared" si="35"/>
        <v>99.126037735849053</v>
      </c>
      <c r="E1115" s="21"/>
      <c r="G1115" s="23">
        <v>-0.31522080000000002</v>
      </c>
      <c r="H1115" s="23">
        <v>0.24794910000000001</v>
      </c>
    </row>
    <row r="1116" spans="1:8" x14ac:dyDescent="0.35">
      <c r="A1116" s="23">
        <v>2.1757809999999999E-2</v>
      </c>
      <c r="B1116" s="23">
        <f t="shared" si="34"/>
        <v>0.24615770000000001</v>
      </c>
      <c r="C1116" s="24"/>
      <c r="D1116" s="24">
        <f t="shared" si="35"/>
        <v>97.80779874213836</v>
      </c>
      <c r="E1116" s="21"/>
      <c r="G1116" s="23">
        <v>-0.31102879999999999</v>
      </c>
      <c r="H1116" s="23">
        <v>0.24615770000000001</v>
      </c>
    </row>
    <row r="1117" spans="1:8" x14ac:dyDescent="0.35">
      <c r="A1117" s="23">
        <v>2.1777339999999999E-2</v>
      </c>
      <c r="B1117" s="23">
        <f t="shared" si="34"/>
        <v>0.24229600000000001</v>
      </c>
      <c r="C1117" s="24"/>
      <c r="D1117" s="24">
        <f t="shared" si="35"/>
        <v>95.661603773584915</v>
      </c>
      <c r="E1117" s="21"/>
      <c r="G1117" s="23">
        <v>-0.30420390000000003</v>
      </c>
      <c r="H1117" s="23">
        <v>0.24229600000000001</v>
      </c>
    </row>
    <row r="1118" spans="1:8" x14ac:dyDescent="0.35">
      <c r="A1118" s="23">
        <v>2.1796880000000001E-2</v>
      </c>
      <c r="B1118" s="23">
        <f t="shared" si="34"/>
        <v>0.23831569999999999</v>
      </c>
      <c r="C1118" s="24"/>
      <c r="D1118" s="24">
        <f t="shared" si="35"/>
        <v>93.278301886792448</v>
      </c>
      <c r="E1118" s="21"/>
      <c r="G1118" s="23">
        <v>-0.29662500000000003</v>
      </c>
      <c r="H1118" s="23">
        <v>0.23831569999999999</v>
      </c>
    </row>
    <row r="1119" spans="1:8" x14ac:dyDescent="0.35">
      <c r="A1119" s="23">
        <v>2.1816410000000001E-2</v>
      </c>
      <c r="B1119" s="23">
        <f t="shared" si="34"/>
        <v>0.23337559999999999</v>
      </c>
      <c r="C1119" s="24"/>
      <c r="D1119" s="24">
        <f t="shared" si="35"/>
        <v>90.34874213836477</v>
      </c>
      <c r="E1119" s="21"/>
      <c r="G1119" s="23">
        <v>-0.28730899999999998</v>
      </c>
      <c r="H1119" s="23">
        <v>0.23337559999999999</v>
      </c>
    </row>
    <row r="1120" spans="1:8" x14ac:dyDescent="0.35">
      <c r="A1120" s="23">
        <v>2.1835940000000002E-2</v>
      </c>
      <c r="B1120" s="23">
        <f t="shared" si="34"/>
        <v>0.2274996</v>
      </c>
      <c r="C1120" s="24"/>
      <c r="D1120" s="24">
        <f t="shared" si="35"/>
        <v>87.256855345911958</v>
      </c>
      <c r="E1120" s="21"/>
      <c r="G1120" s="23">
        <v>-0.27747680000000002</v>
      </c>
      <c r="H1120" s="23">
        <v>0.2274996</v>
      </c>
    </row>
    <row r="1121" spans="1:8" x14ac:dyDescent="0.35">
      <c r="A1121" s="23">
        <v>2.1855469999999998E-2</v>
      </c>
      <c r="B1121" s="23">
        <f t="shared" si="34"/>
        <v>0.22207740000000001</v>
      </c>
      <c r="C1121" s="24"/>
      <c r="D1121" s="24">
        <f t="shared" si="35"/>
        <v>84.490377358490562</v>
      </c>
      <c r="E1121" s="21"/>
      <c r="G1121" s="23">
        <v>-0.26867940000000001</v>
      </c>
      <c r="H1121" s="23">
        <v>0.22207740000000001</v>
      </c>
    </row>
    <row r="1122" spans="1:8" x14ac:dyDescent="0.35">
      <c r="A1122" s="23">
        <v>2.1874999999999999E-2</v>
      </c>
      <c r="B1122" s="23">
        <f t="shared" si="34"/>
        <v>0.215001</v>
      </c>
      <c r="C1122" s="24"/>
      <c r="D1122" s="24">
        <f t="shared" si="35"/>
        <v>80.891886792452837</v>
      </c>
      <c r="E1122" s="21"/>
      <c r="G1122" s="23">
        <v>-0.25723620000000003</v>
      </c>
      <c r="H1122" s="23">
        <v>0.215001</v>
      </c>
    </row>
    <row r="1123" spans="1:8" x14ac:dyDescent="0.35">
      <c r="A1123" s="23">
        <v>2.1894529999999999E-2</v>
      </c>
      <c r="B1123" s="23">
        <f t="shared" si="34"/>
        <v>0.2067177</v>
      </c>
      <c r="C1123" s="24"/>
      <c r="D1123" s="24">
        <f t="shared" si="35"/>
        <v>76.87515723270441</v>
      </c>
      <c r="E1123" s="21"/>
      <c r="G1123" s="23">
        <v>-0.24446300000000001</v>
      </c>
      <c r="H1123" s="23">
        <v>0.2067177</v>
      </c>
    </row>
    <row r="1124" spans="1:8" x14ac:dyDescent="0.35">
      <c r="A1124" s="23">
        <v>2.1914059999999999E-2</v>
      </c>
      <c r="B1124" s="23">
        <f t="shared" si="34"/>
        <v>0.19838520000000001</v>
      </c>
      <c r="C1124" s="24"/>
      <c r="D1124" s="24">
        <f t="shared" si="35"/>
        <v>72.853113207547167</v>
      </c>
      <c r="E1124" s="21"/>
      <c r="G1124" s="23">
        <v>-0.23167289999999999</v>
      </c>
      <c r="H1124" s="23">
        <v>0.19838520000000001</v>
      </c>
    </row>
    <row r="1125" spans="1:8" x14ac:dyDescent="0.35">
      <c r="A1125" s="23">
        <v>2.1933589999999999E-2</v>
      </c>
      <c r="B1125" s="23">
        <f t="shared" si="34"/>
        <v>0.18795709999999999</v>
      </c>
      <c r="C1125" s="24"/>
      <c r="D1125" s="24">
        <f t="shared" si="35"/>
        <v>67.950691823899376</v>
      </c>
      <c r="E1125" s="21"/>
      <c r="G1125" s="23">
        <v>-0.2160832</v>
      </c>
      <c r="H1125" s="23">
        <v>0.18795709999999999</v>
      </c>
    </row>
    <row r="1126" spans="1:8" x14ac:dyDescent="0.35">
      <c r="A1126" s="23">
        <v>2.1953130000000001E-2</v>
      </c>
      <c r="B1126" s="23">
        <f t="shared" si="34"/>
        <v>0.1771016</v>
      </c>
      <c r="C1126" s="24"/>
      <c r="D1126" s="24">
        <f t="shared" si="35"/>
        <v>63.004465408805032</v>
      </c>
      <c r="E1126" s="21"/>
      <c r="G1126" s="23">
        <v>-0.20035420000000001</v>
      </c>
      <c r="H1126" s="23">
        <v>0.1771016</v>
      </c>
    </row>
    <row r="1127" spans="1:8" x14ac:dyDescent="0.35">
      <c r="A1127" s="23">
        <v>2.1972660000000001E-2</v>
      </c>
      <c r="B1127" s="23">
        <f t="shared" si="34"/>
        <v>0.16785829999999999</v>
      </c>
      <c r="C1127" s="24"/>
      <c r="D1127" s="24">
        <f t="shared" si="35"/>
        <v>58.547012578616346</v>
      </c>
      <c r="E1127" s="21"/>
      <c r="G1127" s="23">
        <v>-0.1861795</v>
      </c>
      <c r="H1127" s="23">
        <v>0.16785829999999999</v>
      </c>
    </row>
    <row r="1128" spans="1:8" x14ac:dyDescent="0.35">
      <c r="A1128" s="23">
        <v>2.1992189999999998E-2</v>
      </c>
      <c r="B1128" s="23">
        <f t="shared" si="34"/>
        <v>0.1572692</v>
      </c>
      <c r="C1128" s="24"/>
      <c r="D1128" s="24">
        <f t="shared" si="35"/>
        <v>53.595691823899372</v>
      </c>
      <c r="E1128" s="21"/>
      <c r="G1128" s="23">
        <v>-0.17043430000000001</v>
      </c>
      <c r="H1128" s="23">
        <v>0.1572692</v>
      </c>
    </row>
    <row r="1129" spans="1:8" x14ac:dyDescent="0.35">
      <c r="A1129" s="23">
        <v>2.2011719999999999E-2</v>
      </c>
      <c r="B1129" s="23">
        <f t="shared" si="34"/>
        <v>0.1455159</v>
      </c>
      <c r="C1129" s="24"/>
      <c r="D1129" s="24">
        <f t="shared" si="35"/>
        <v>48.214528301886787</v>
      </c>
      <c r="E1129" s="21"/>
      <c r="G1129" s="23">
        <v>-0.15332219999999999</v>
      </c>
      <c r="H1129" s="23">
        <v>0.1455159</v>
      </c>
    </row>
    <row r="1130" spans="1:8" x14ac:dyDescent="0.35">
      <c r="A1130" s="23">
        <v>2.2031249999999999E-2</v>
      </c>
      <c r="B1130" s="23">
        <f t="shared" si="34"/>
        <v>0.13300100000000001</v>
      </c>
      <c r="C1130" s="24"/>
      <c r="D1130" s="24">
        <f t="shared" si="35"/>
        <v>42.628427672955972</v>
      </c>
      <c r="E1130" s="21"/>
      <c r="G1130" s="23">
        <v>-0.1355584</v>
      </c>
      <c r="H1130" s="23">
        <v>0.13300100000000001</v>
      </c>
    </row>
    <row r="1131" spans="1:8" x14ac:dyDescent="0.35">
      <c r="A1131" s="23">
        <v>2.2050779999999999E-2</v>
      </c>
      <c r="B1131" s="23">
        <f t="shared" si="34"/>
        <v>0.1189149</v>
      </c>
      <c r="C1131" s="24"/>
      <c r="D1131" s="24">
        <f t="shared" si="35"/>
        <v>36.537232704402513</v>
      </c>
      <c r="E1131" s="21"/>
      <c r="G1131" s="23">
        <v>-0.1161884</v>
      </c>
      <c r="H1131" s="23">
        <v>0.1189149</v>
      </c>
    </row>
    <row r="1132" spans="1:8" x14ac:dyDescent="0.35">
      <c r="A1132" s="23">
        <v>2.2070309999999999E-2</v>
      </c>
      <c r="B1132" s="23">
        <f t="shared" si="34"/>
        <v>0.1062134</v>
      </c>
      <c r="C1132" s="24"/>
      <c r="D1132" s="24">
        <f t="shared" si="35"/>
        <v>30.569481132075474</v>
      </c>
      <c r="E1132" s="21"/>
      <c r="G1132" s="23">
        <v>-9.7210950000000004E-2</v>
      </c>
      <c r="H1132" s="23">
        <v>0.1062134</v>
      </c>
    </row>
    <row r="1133" spans="1:8" x14ac:dyDescent="0.35">
      <c r="A1133" s="23">
        <v>2.2089839999999999E-2</v>
      </c>
      <c r="B1133" s="23">
        <f t="shared" si="34"/>
        <v>9.3565449999999994E-2</v>
      </c>
      <c r="C1133" s="24"/>
      <c r="D1133" s="24">
        <f t="shared" si="35"/>
        <v>24.969940251572325</v>
      </c>
      <c r="E1133" s="21"/>
      <c r="G1133" s="23">
        <v>-7.9404409999999995E-2</v>
      </c>
      <c r="H1133" s="23">
        <v>9.3565449999999994E-2</v>
      </c>
    </row>
    <row r="1134" spans="1:8" x14ac:dyDescent="0.35">
      <c r="A1134" s="23">
        <v>2.2109380000000001E-2</v>
      </c>
      <c r="B1134" s="23">
        <f t="shared" si="34"/>
        <v>8.1100729999999996E-2</v>
      </c>
      <c r="C1134" s="24"/>
      <c r="D1134" s="24">
        <f t="shared" si="35"/>
        <v>19.217500000000001</v>
      </c>
      <c r="E1134" s="21"/>
      <c r="G1134" s="23">
        <v>-6.1111650000000003E-2</v>
      </c>
      <c r="H1134" s="23">
        <v>8.1100729999999996E-2</v>
      </c>
    </row>
    <row r="1135" spans="1:8" x14ac:dyDescent="0.35">
      <c r="A1135" s="23">
        <v>2.2128910000000002E-2</v>
      </c>
      <c r="B1135" s="23">
        <f t="shared" si="34"/>
        <v>6.9617139999999994E-2</v>
      </c>
      <c r="C1135" s="24"/>
      <c r="D1135" s="24">
        <f t="shared" si="35"/>
        <v>13.212349056603774</v>
      </c>
      <c r="E1135" s="21"/>
      <c r="G1135" s="23">
        <v>-4.201527E-2</v>
      </c>
      <c r="H1135" s="23">
        <v>6.9617139999999994E-2</v>
      </c>
    </row>
    <row r="1136" spans="1:8" x14ac:dyDescent="0.35">
      <c r="A1136" s="23">
        <v>2.2148439999999998E-2</v>
      </c>
      <c r="B1136" s="23">
        <f t="shared" si="34"/>
        <v>5.5304520000000003E-2</v>
      </c>
      <c r="C1136" s="24"/>
      <c r="D1136" s="24">
        <f t="shared" si="35"/>
        <v>6.7773553459119498</v>
      </c>
      <c r="E1136" s="21"/>
      <c r="G1136" s="23">
        <v>-2.155199E-2</v>
      </c>
      <c r="H1136" s="23">
        <v>5.5304520000000003E-2</v>
      </c>
    </row>
    <row r="1137" spans="1:8" x14ac:dyDescent="0.35">
      <c r="A1137" s="23">
        <v>2.2167969999999999E-2</v>
      </c>
      <c r="B1137" s="23">
        <f t="shared" si="34"/>
        <v>4.0898879999999999E-2</v>
      </c>
      <c r="C1137" s="24"/>
      <c r="D1137" s="24">
        <f t="shared" si="35"/>
        <v>0.22802591194968549</v>
      </c>
      <c r="E1137" s="21"/>
      <c r="G1137" s="23">
        <v>-7.2512239999999995E-4</v>
      </c>
      <c r="H1137" s="23">
        <v>4.0898879999999999E-2</v>
      </c>
    </row>
    <row r="1138" spans="1:8" x14ac:dyDescent="0.35">
      <c r="A1138" s="23">
        <v>2.2187499999999999E-2</v>
      </c>
      <c r="B1138" s="23">
        <f t="shared" si="34"/>
        <v>2.6794510000000001E-2</v>
      </c>
      <c r="C1138" s="24"/>
      <c r="D1138" s="24">
        <f t="shared" si="35"/>
        <v>-5.9062327044025151</v>
      </c>
      <c r="E1138" s="21"/>
      <c r="G1138" s="23">
        <v>1.8781820000000001E-2</v>
      </c>
      <c r="H1138" s="23">
        <v>2.6794510000000001E-2</v>
      </c>
    </row>
    <row r="1139" spans="1:8" x14ac:dyDescent="0.35">
      <c r="A1139" s="23">
        <v>2.2207029999999999E-2</v>
      </c>
      <c r="B1139" s="23">
        <f t="shared" si="34"/>
        <v>1.061287E-2</v>
      </c>
      <c r="C1139" s="24"/>
      <c r="D1139" s="24">
        <f t="shared" si="35"/>
        <v>-11.990207547169812</v>
      </c>
      <c r="E1139" s="21"/>
      <c r="G1139" s="23">
        <v>3.8128860000000001E-2</v>
      </c>
      <c r="H1139" s="23">
        <v>1.061287E-2</v>
      </c>
    </row>
    <row r="1140" spans="1:8" x14ac:dyDescent="0.35">
      <c r="A1140" s="23">
        <v>2.2226559999999999E-2</v>
      </c>
      <c r="B1140" s="23">
        <f t="shared" si="34"/>
        <v>-5.7320349999999999E-3</v>
      </c>
      <c r="C1140" s="24"/>
      <c r="D1140" s="24">
        <f t="shared" si="35"/>
        <v>-18.26677044025157</v>
      </c>
      <c r="E1140" s="21"/>
      <c r="G1140" s="23">
        <v>5.8088330000000001E-2</v>
      </c>
      <c r="H1140" s="23">
        <v>-5.7320349999999999E-3</v>
      </c>
    </row>
    <row r="1141" spans="1:8" x14ac:dyDescent="0.35">
      <c r="A1141" s="23">
        <v>2.224609E-2</v>
      </c>
      <c r="B1141" s="23">
        <f t="shared" si="34"/>
        <v>-2.3382819999999999E-2</v>
      </c>
      <c r="C1141" s="24"/>
      <c r="D1141" s="24">
        <f t="shared" si="35"/>
        <v>-24.43864150943396</v>
      </c>
      <c r="E1141" s="21"/>
      <c r="G1141" s="23">
        <v>7.771488E-2</v>
      </c>
      <c r="H1141" s="23">
        <v>-2.3382819999999999E-2</v>
      </c>
    </row>
    <row r="1142" spans="1:8" x14ac:dyDescent="0.35">
      <c r="A1142" s="23">
        <v>2.2265630000000002E-2</v>
      </c>
      <c r="B1142" s="23">
        <f t="shared" si="34"/>
        <v>-4.209222E-2</v>
      </c>
      <c r="C1142" s="24"/>
      <c r="D1142" s="24">
        <f t="shared" si="35"/>
        <v>-30.163569182389931</v>
      </c>
      <c r="E1142" s="21"/>
      <c r="G1142" s="23">
        <v>9.5920149999999996E-2</v>
      </c>
      <c r="H1142" s="23">
        <v>-4.209222E-2</v>
      </c>
    </row>
    <row r="1143" spans="1:8" x14ac:dyDescent="0.35">
      <c r="A1143" s="23">
        <v>2.2285159999999998E-2</v>
      </c>
      <c r="B1143" s="23">
        <f t="shared" si="34"/>
        <v>-6.1045290000000002E-2</v>
      </c>
      <c r="C1143" s="24"/>
      <c r="D1143" s="24">
        <f t="shared" si="35"/>
        <v>-35.806855345911949</v>
      </c>
      <c r="E1143" s="21"/>
      <c r="G1143" s="23">
        <v>0.1138658</v>
      </c>
      <c r="H1143" s="23">
        <v>-6.1045290000000002E-2</v>
      </c>
    </row>
    <row r="1144" spans="1:8" x14ac:dyDescent="0.35">
      <c r="A1144" s="23">
        <v>2.2304689999999999E-2</v>
      </c>
      <c r="B1144" s="23">
        <f t="shared" si="34"/>
        <v>-8.0798339999999996E-2</v>
      </c>
      <c r="C1144" s="24"/>
      <c r="D1144" s="24">
        <f t="shared" si="35"/>
        <v>-41.809496855345905</v>
      </c>
      <c r="E1144" s="21"/>
      <c r="G1144" s="23">
        <v>0.13295419999999999</v>
      </c>
      <c r="H1144" s="23">
        <v>-8.0798339999999996E-2</v>
      </c>
    </row>
    <row r="1145" spans="1:8" x14ac:dyDescent="0.35">
      <c r="A1145" s="23">
        <v>2.2324219999999999E-2</v>
      </c>
      <c r="B1145" s="23">
        <f t="shared" si="34"/>
        <v>-9.9546809999999999E-2</v>
      </c>
      <c r="C1145" s="24"/>
      <c r="D1145" s="24">
        <f t="shared" si="35"/>
        <v>-47.368993710691818</v>
      </c>
      <c r="E1145" s="21"/>
      <c r="G1145" s="23">
        <v>0.1506334</v>
      </c>
      <c r="H1145" s="23">
        <v>-9.9546809999999999E-2</v>
      </c>
    </row>
    <row r="1146" spans="1:8" x14ac:dyDescent="0.35">
      <c r="A1146" s="23">
        <v>2.2343749999999999E-2</v>
      </c>
      <c r="B1146" s="23">
        <f t="shared" si="34"/>
        <v>-0.1179632</v>
      </c>
      <c r="C1146" s="24"/>
      <c r="D1146" s="24">
        <f t="shared" si="35"/>
        <v>-52.670094339622644</v>
      </c>
      <c r="E1146" s="21"/>
      <c r="G1146" s="23">
        <v>0.1674909</v>
      </c>
      <c r="H1146" s="23">
        <v>-0.1179632</v>
      </c>
    </row>
    <row r="1147" spans="1:8" x14ac:dyDescent="0.35">
      <c r="A1147" s="23">
        <v>2.2363279999999999E-2</v>
      </c>
      <c r="B1147" s="23">
        <f t="shared" si="34"/>
        <v>-0.13741600000000001</v>
      </c>
      <c r="C1147" s="24"/>
      <c r="D1147" s="24">
        <f t="shared" si="35"/>
        <v>-58.341761006289296</v>
      </c>
      <c r="E1147" s="21"/>
      <c r="G1147" s="23">
        <v>0.18552679999999999</v>
      </c>
      <c r="H1147" s="23">
        <v>-0.13741600000000001</v>
      </c>
    </row>
    <row r="1148" spans="1:8" x14ac:dyDescent="0.35">
      <c r="A1148" s="23">
        <v>2.238281E-2</v>
      </c>
      <c r="B1148" s="23">
        <f t="shared" si="34"/>
        <v>-0.1547644</v>
      </c>
      <c r="C1148" s="24"/>
      <c r="D1148" s="24">
        <f t="shared" si="35"/>
        <v>-63.205628930817603</v>
      </c>
      <c r="E1148" s="21"/>
      <c r="G1148" s="23">
        <v>0.2009939</v>
      </c>
      <c r="H1148" s="23">
        <v>-0.1547644</v>
      </c>
    </row>
    <row r="1149" spans="1:8" x14ac:dyDescent="0.35">
      <c r="A1149" s="23">
        <v>2.240234E-2</v>
      </c>
      <c r="B1149" s="23">
        <f t="shared" si="34"/>
        <v>-0.16931470000000001</v>
      </c>
      <c r="C1149" s="24"/>
      <c r="D1149" s="24">
        <f t="shared" si="35"/>
        <v>-67.66327044025158</v>
      </c>
      <c r="E1149" s="21"/>
      <c r="G1149" s="23">
        <v>0.2151692</v>
      </c>
      <c r="H1149" s="23">
        <v>-0.16931470000000001</v>
      </c>
    </row>
    <row r="1150" spans="1:8" x14ac:dyDescent="0.35">
      <c r="A1150" s="23">
        <v>2.2421880000000002E-2</v>
      </c>
      <c r="B1150" s="23">
        <f t="shared" si="34"/>
        <v>-0.1841333</v>
      </c>
      <c r="C1150" s="24"/>
      <c r="D1150" s="24">
        <f t="shared" si="35"/>
        <v>-72.563301886792445</v>
      </c>
      <c r="E1150" s="21"/>
      <c r="G1150" s="23">
        <v>0.23075129999999999</v>
      </c>
      <c r="H1150" s="23">
        <v>-0.1841333</v>
      </c>
    </row>
    <row r="1151" spans="1:8" x14ac:dyDescent="0.35">
      <c r="A1151" s="23">
        <v>2.2441409999999998E-2</v>
      </c>
      <c r="B1151" s="23">
        <f t="shared" si="34"/>
        <v>-0.1975597</v>
      </c>
      <c r="C1151" s="24"/>
      <c r="D1151" s="24">
        <f t="shared" si="35"/>
        <v>-76.839433962264152</v>
      </c>
      <c r="E1151" s="21"/>
      <c r="G1151" s="23">
        <v>0.24434939999999999</v>
      </c>
      <c r="H1151" s="23">
        <v>-0.1975597</v>
      </c>
    </row>
    <row r="1152" spans="1:8" x14ac:dyDescent="0.35">
      <c r="A1152" s="23">
        <v>2.2460939999999999E-2</v>
      </c>
      <c r="B1152" s="23">
        <f t="shared" si="34"/>
        <v>-0.2083931</v>
      </c>
      <c r="C1152" s="24"/>
      <c r="D1152" s="24">
        <f t="shared" si="35"/>
        <v>-80.733584905660379</v>
      </c>
      <c r="E1152" s="21"/>
      <c r="G1152" s="23">
        <v>0.25673279999999998</v>
      </c>
      <c r="H1152" s="23">
        <v>-0.2083931</v>
      </c>
    </row>
    <row r="1153" spans="1:8" x14ac:dyDescent="0.35">
      <c r="A1153" s="23">
        <v>2.2480469999999999E-2</v>
      </c>
      <c r="B1153" s="23">
        <f t="shared" si="34"/>
        <v>-0.2184236</v>
      </c>
      <c r="C1153" s="24"/>
      <c r="D1153" s="24">
        <f t="shared" si="35"/>
        <v>-84.562987421383639</v>
      </c>
      <c r="E1153" s="21"/>
      <c r="G1153" s="23">
        <v>0.26891029999999999</v>
      </c>
      <c r="H1153" s="23">
        <v>-0.2184236</v>
      </c>
    </row>
    <row r="1154" spans="1:8" x14ac:dyDescent="0.35">
      <c r="A1154" s="23">
        <v>2.2499999999999999E-2</v>
      </c>
      <c r="B1154" s="23">
        <f t="shared" ref="B1154:B1217" si="36">H1154</f>
        <v>-0.2281881</v>
      </c>
      <c r="C1154" s="24"/>
      <c r="D1154" s="24">
        <f t="shared" ref="D1154:D1217" si="37">G1154*-1000/3.18</f>
        <v>-87.987641509433956</v>
      </c>
      <c r="E1154" s="21"/>
      <c r="G1154" s="23">
        <v>0.27980070000000001</v>
      </c>
      <c r="H1154" s="23">
        <v>-0.2281881</v>
      </c>
    </row>
    <row r="1155" spans="1:8" x14ac:dyDescent="0.35">
      <c r="A1155" s="23">
        <v>2.2519529999999999E-2</v>
      </c>
      <c r="B1155" s="23">
        <f t="shared" si="36"/>
        <v>-0.23719499999999999</v>
      </c>
      <c r="C1155" s="24"/>
      <c r="D1155" s="24">
        <f t="shared" si="37"/>
        <v>-91.164433962264155</v>
      </c>
      <c r="E1155" s="21"/>
      <c r="G1155" s="23">
        <v>0.28990290000000002</v>
      </c>
      <c r="H1155" s="23">
        <v>-0.23719499999999999</v>
      </c>
    </row>
    <row r="1156" spans="1:8" x14ac:dyDescent="0.35">
      <c r="A1156" s="23">
        <v>2.253906E-2</v>
      </c>
      <c r="B1156" s="23">
        <f t="shared" si="36"/>
        <v>-0.2440272</v>
      </c>
      <c r="C1156" s="24"/>
      <c r="D1156" s="24">
        <f t="shared" si="37"/>
        <v>-93.682893081761009</v>
      </c>
      <c r="E1156" s="21"/>
      <c r="G1156" s="23">
        <v>0.2979116</v>
      </c>
      <c r="H1156" s="23">
        <v>-0.2440272</v>
      </c>
    </row>
    <row r="1157" spans="1:8" x14ac:dyDescent="0.35">
      <c r="A1157" s="23">
        <v>2.255859E-2</v>
      </c>
      <c r="B1157" s="23">
        <f t="shared" si="36"/>
        <v>-0.25069930000000001</v>
      </c>
      <c r="C1157" s="24"/>
      <c r="D1157" s="24">
        <f t="shared" si="37"/>
        <v>-96.008364779874213</v>
      </c>
      <c r="E1157" s="21"/>
      <c r="G1157" s="23">
        <v>0.30530659999999998</v>
      </c>
      <c r="H1157" s="23">
        <v>-0.25069930000000001</v>
      </c>
    </row>
    <row r="1158" spans="1:8" x14ac:dyDescent="0.35">
      <c r="A1158" s="23">
        <v>2.2578129999999998E-2</v>
      </c>
      <c r="B1158" s="23">
        <f t="shared" si="36"/>
        <v>-0.2580035</v>
      </c>
      <c r="C1158" s="24"/>
      <c r="D1158" s="24">
        <f t="shared" si="37"/>
        <v>-98.476886792452817</v>
      </c>
      <c r="E1158" s="21"/>
      <c r="G1158" s="23">
        <v>0.3131565</v>
      </c>
      <c r="H1158" s="23">
        <v>-0.2580035</v>
      </c>
    </row>
    <row r="1159" spans="1:8" x14ac:dyDescent="0.35">
      <c r="A1159" s="23">
        <v>2.2597659999999999E-2</v>
      </c>
      <c r="B1159" s="23">
        <f t="shared" si="36"/>
        <v>-0.2628856</v>
      </c>
      <c r="C1159" s="24"/>
      <c r="D1159" s="24">
        <f t="shared" si="37"/>
        <v>-100.22562893081759</v>
      </c>
      <c r="E1159" s="21"/>
      <c r="G1159" s="23">
        <v>0.31871749999999999</v>
      </c>
      <c r="H1159" s="23">
        <v>-0.2628856</v>
      </c>
    </row>
    <row r="1160" spans="1:8" x14ac:dyDescent="0.35">
      <c r="A1160" s="23">
        <v>2.2617189999999999E-2</v>
      </c>
      <c r="B1160" s="23">
        <f t="shared" si="36"/>
        <v>-0.26662219999999998</v>
      </c>
      <c r="C1160" s="24"/>
      <c r="D1160" s="24">
        <f t="shared" si="37"/>
        <v>-101.48723270440252</v>
      </c>
      <c r="E1160" s="21"/>
      <c r="G1160" s="23">
        <v>0.3227294</v>
      </c>
      <c r="H1160" s="23">
        <v>-0.26662219999999998</v>
      </c>
    </row>
    <row r="1161" spans="1:8" x14ac:dyDescent="0.35">
      <c r="A1161" s="23">
        <v>2.2636719999999999E-2</v>
      </c>
      <c r="B1161" s="23">
        <f t="shared" si="36"/>
        <v>-0.27004270000000002</v>
      </c>
      <c r="C1161" s="24"/>
      <c r="D1161" s="24">
        <f t="shared" si="37"/>
        <v>-102.4896855345912</v>
      </c>
      <c r="E1161" s="21"/>
      <c r="G1161" s="23">
        <v>0.32591720000000002</v>
      </c>
      <c r="H1161" s="23">
        <v>-0.27004270000000002</v>
      </c>
    </row>
    <row r="1162" spans="1:8" x14ac:dyDescent="0.35">
      <c r="A1162" s="23">
        <v>2.2656249999999999E-2</v>
      </c>
      <c r="B1162" s="23">
        <f t="shared" si="36"/>
        <v>-0.27107740000000002</v>
      </c>
      <c r="C1162" s="24"/>
      <c r="D1162" s="24">
        <f t="shared" si="37"/>
        <v>-102.72905660377357</v>
      </c>
      <c r="E1162" s="21"/>
      <c r="G1162" s="23">
        <v>0.32667839999999998</v>
      </c>
      <c r="H1162" s="23">
        <v>-0.27107740000000002</v>
      </c>
    </row>
    <row r="1163" spans="1:8" x14ac:dyDescent="0.35">
      <c r="A1163" s="23">
        <v>2.267578E-2</v>
      </c>
      <c r="B1163" s="23">
        <f t="shared" si="36"/>
        <v>-0.27108919999999997</v>
      </c>
      <c r="C1163" s="24"/>
      <c r="D1163" s="24">
        <f t="shared" si="37"/>
        <v>-102.69641509433961</v>
      </c>
      <c r="E1163" s="21"/>
      <c r="G1163" s="23">
        <v>0.32657459999999999</v>
      </c>
      <c r="H1163" s="23">
        <v>-0.27108919999999997</v>
      </c>
    </row>
    <row r="1164" spans="1:8" x14ac:dyDescent="0.35">
      <c r="A1164" s="23">
        <v>2.269531E-2</v>
      </c>
      <c r="B1164" s="23">
        <f t="shared" si="36"/>
        <v>-0.27161920000000001</v>
      </c>
      <c r="C1164" s="24"/>
      <c r="D1164" s="24">
        <f t="shared" si="37"/>
        <v>-102.7933647798742</v>
      </c>
      <c r="E1164" s="21"/>
      <c r="G1164" s="23">
        <v>0.32688289999999998</v>
      </c>
      <c r="H1164" s="23">
        <v>-0.27161920000000001</v>
      </c>
    </row>
    <row r="1165" spans="1:8" x14ac:dyDescent="0.35">
      <c r="A1165" s="23">
        <v>2.271484E-2</v>
      </c>
      <c r="B1165" s="23">
        <f t="shared" si="36"/>
        <v>-0.2714338</v>
      </c>
      <c r="C1165" s="24"/>
      <c r="D1165" s="24">
        <f t="shared" si="37"/>
        <v>-102.4866037735849</v>
      </c>
      <c r="E1165" s="21"/>
      <c r="G1165" s="23">
        <v>0.32590740000000001</v>
      </c>
      <c r="H1165" s="23">
        <v>-0.2714338</v>
      </c>
    </row>
    <row r="1166" spans="1:8" x14ac:dyDescent="0.35">
      <c r="A1166" s="23">
        <v>2.2734379999999998E-2</v>
      </c>
      <c r="B1166" s="23">
        <f t="shared" si="36"/>
        <v>-0.26932929999999999</v>
      </c>
      <c r="C1166" s="24"/>
      <c r="D1166" s="24">
        <f t="shared" si="37"/>
        <v>-101.53116352201258</v>
      </c>
      <c r="E1166" s="21"/>
      <c r="G1166" s="23">
        <v>0.32286910000000002</v>
      </c>
      <c r="H1166" s="23">
        <v>-0.26932929999999999</v>
      </c>
    </row>
    <row r="1167" spans="1:8" x14ac:dyDescent="0.35">
      <c r="A1167" s="23">
        <v>2.2753909999999999E-2</v>
      </c>
      <c r="B1167" s="23">
        <f t="shared" si="36"/>
        <v>-0.26520549999999998</v>
      </c>
      <c r="C1167" s="24"/>
      <c r="D1167" s="24">
        <f t="shared" si="37"/>
        <v>-99.769119496855339</v>
      </c>
      <c r="E1167" s="21"/>
      <c r="G1167" s="23">
        <v>0.31726579999999999</v>
      </c>
      <c r="H1167" s="23">
        <v>-0.26520549999999998</v>
      </c>
    </row>
    <row r="1168" spans="1:8" x14ac:dyDescent="0.35">
      <c r="A1168" s="23">
        <v>2.2773439999999999E-2</v>
      </c>
      <c r="B1168" s="23">
        <f t="shared" si="36"/>
        <v>-0.26055499999999998</v>
      </c>
      <c r="C1168" s="24"/>
      <c r="D1168" s="24">
        <f t="shared" si="37"/>
        <v>-97.655754716981122</v>
      </c>
      <c r="E1168" s="21"/>
      <c r="G1168" s="23">
        <v>0.31054530000000002</v>
      </c>
      <c r="H1168" s="23">
        <v>-0.26055499999999998</v>
      </c>
    </row>
    <row r="1169" spans="1:8" x14ac:dyDescent="0.35">
      <c r="A1169" s="23">
        <v>2.2792969999999999E-2</v>
      </c>
      <c r="B1169" s="23">
        <f t="shared" si="36"/>
        <v>-0.25598189999999998</v>
      </c>
      <c r="C1169" s="24"/>
      <c r="D1169" s="24">
        <f t="shared" si="37"/>
        <v>-95.690062893081759</v>
      </c>
      <c r="E1169" s="21"/>
      <c r="G1169" s="23">
        <v>0.30429440000000002</v>
      </c>
      <c r="H1169" s="23">
        <v>-0.25598189999999998</v>
      </c>
    </row>
    <row r="1170" spans="1:8" x14ac:dyDescent="0.35">
      <c r="A1170" s="23">
        <v>2.2812499999999999E-2</v>
      </c>
      <c r="B1170" s="23">
        <f t="shared" si="36"/>
        <v>-0.25001000000000001</v>
      </c>
      <c r="C1170" s="24"/>
      <c r="D1170" s="24">
        <f t="shared" si="37"/>
        <v>-93.125377358490553</v>
      </c>
      <c r="E1170" s="21"/>
      <c r="G1170" s="23">
        <v>0.29613869999999998</v>
      </c>
      <c r="H1170" s="23">
        <v>-0.25001000000000001</v>
      </c>
    </row>
    <row r="1171" spans="1:8" x14ac:dyDescent="0.35">
      <c r="A1171" s="23">
        <v>2.283203E-2</v>
      </c>
      <c r="B1171" s="23">
        <f t="shared" si="36"/>
        <v>-0.24365780000000001</v>
      </c>
      <c r="C1171" s="24"/>
      <c r="D1171" s="24">
        <f t="shared" si="37"/>
        <v>-90.32072327044024</v>
      </c>
      <c r="E1171" s="21"/>
      <c r="G1171" s="23">
        <v>0.28721989999999997</v>
      </c>
      <c r="H1171" s="23">
        <v>-0.24365780000000001</v>
      </c>
    </row>
    <row r="1172" spans="1:8" x14ac:dyDescent="0.35">
      <c r="A1172" s="23">
        <v>2.285156E-2</v>
      </c>
      <c r="B1172" s="23">
        <f t="shared" si="36"/>
        <v>-0.2369145</v>
      </c>
      <c r="C1172" s="24"/>
      <c r="D1172" s="24">
        <f t="shared" si="37"/>
        <v>-87.487484276729575</v>
      </c>
      <c r="E1172" s="21"/>
      <c r="G1172" s="23">
        <v>0.27821020000000002</v>
      </c>
      <c r="H1172" s="23">
        <v>-0.2369145</v>
      </c>
    </row>
    <row r="1173" spans="1:8" x14ac:dyDescent="0.35">
      <c r="A1173" s="23">
        <v>2.287109E-2</v>
      </c>
      <c r="B1173" s="23">
        <f t="shared" si="36"/>
        <v>-0.22741639999999999</v>
      </c>
      <c r="C1173" s="24"/>
      <c r="D1173" s="24">
        <f t="shared" si="37"/>
        <v>-83.428867924528291</v>
      </c>
      <c r="E1173" s="21"/>
      <c r="G1173" s="23">
        <v>0.26530379999999998</v>
      </c>
      <c r="H1173" s="23">
        <v>-0.22741639999999999</v>
      </c>
    </row>
    <row r="1174" spans="1:8" x14ac:dyDescent="0.35">
      <c r="A1174" s="23">
        <v>2.2890629999999999E-2</v>
      </c>
      <c r="B1174" s="23">
        <f t="shared" si="36"/>
        <v>-0.21676400000000001</v>
      </c>
      <c r="C1174" s="24"/>
      <c r="D1174" s="24">
        <f t="shared" si="37"/>
        <v>-78.974716981132076</v>
      </c>
      <c r="E1174" s="21"/>
      <c r="G1174" s="23">
        <v>0.25113960000000002</v>
      </c>
      <c r="H1174" s="23">
        <v>-0.21676400000000001</v>
      </c>
    </row>
    <row r="1175" spans="1:8" x14ac:dyDescent="0.35">
      <c r="A1175" s="23">
        <v>2.2910159999999999E-2</v>
      </c>
      <c r="B1175" s="23">
        <f t="shared" si="36"/>
        <v>-0.2067379</v>
      </c>
      <c r="C1175" s="24"/>
      <c r="D1175" s="24">
        <f t="shared" si="37"/>
        <v>-74.922893081761003</v>
      </c>
      <c r="E1175" s="21"/>
      <c r="G1175" s="23">
        <v>0.23825479999999999</v>
      </c>
      <c r="H1175" s="23">
        <v>-0.2067379</v>
      </c>
    </row>
    <row r="1176" spans="1:8" x14ac:dyDescent="0.35">
      <c r="A1176" s="23">
        <v>2.2929689999999999E-2</v>
      </c>
      <c r="B1176" s="23">
        <f t="shared" si="36"/>
        <v>-0.19622110000000001</v>
      </c>
      <c r="C1176" s="24"/>
      <c r="D1176" s="24">
        <f t="shared" si="37"/>
        <v>-70.452295597484266</v>
      </c>
      <c r="E1176" s="21"/>
      <c r="G1176" s="23">
        <v>0.2240383</v>
      </c>
      <c r="H1176" s="23">
        <v>-0.19622110000000001</v>
      </c>
    </row>
    <row r="1177" spans="1:8" x14ac:dyDescent="0.35">
      <c r="A1177" s="23">
        <v>2.2949219999999999E-2</v>
      </c>
      <c r="B1177" s="23">
        <f t="shared" si="36"/>
        <v>-0.18443000000000001</v>
      </c>
      <c r="C1177" s="24"/>
      <c r="D1177" s="24">
        <f t="shared" si="37"/>
        <v>-65.66103773584905</v>
      </c>
      <c r="E1177" s="21"/>
      <c r="G1177" s="23">
        <v>0.20880209999999999</v>
      </c>
      <c r="H1177" s="23">
        <v>-0.18443000000000001</v>
      </c>
    </row>
    <row r="1178" spans="1:8" x14ac:dyDescent="0.35">
      <c r="A1178" s="23">
        <v>2.296875E-2</v>
      </c>
      <c r="B1178" s="23">
        <f t="shared" si="36"/>
        <v>-0.17185900000000001</v>
      </c>
      <c r="C1178" s="24"/>
      <c r="D1178" s="24">
        <f t="shared" si="37"/>
        <v>-60.546603773584899</v>
      </c>
      <c r="E1178" s="21"/>
      <c r="G1178" s="23">
        <v>0.19253819999999999</v>
      </c>
      <c r="H1178" s="23">
        <v>-0.17185900000000001</v>
      </c>
    </row>
    <row r="1179" spans="1:8" x14ac:dyDescent="0.35">
      <c r="A1179" s="23">
        <v>2.298828E-2</v>
      </c>
      <c r="B1179" s="23">
        <f t="shared" si="36"/>
        <v>-0.15889890000000001</v>
      </c>
      <c r="C1179" s="24"/>
      <c r="D1179" s="24">
        <f t="shared" si="37"/>
        <v>-54.996698113207543</v>
      </c>
      <c r="E1179" s="21"/>
      <c r="G1179" s="23">
        <v>0.1748895</v>
      </c>
      <c r="H1179" s="23">
        <v>-0.15889890000000001</v>
      </c>
    </row>
    <row r="1180" spans="1:8" x14ac:dyDescent="0.35">
      <c r="A1180" s="23">
        <v>2.300781E-2</v>
      </c>
      <c r="B1180" s="23">
        <f t="shared" si="36"/>
        <v>-0.14419489999999999</v>
      </c>
      <c r="C1180" s="24"/>
      <c r="D1180" s="24">
        <f t="shared" si="37"/>
        <v>-49.146132075471691</v>
      </c>
      <c r="E1180" s="21"/>
      <c r="G1180" s="23">
        <v>0.1562847</v>
      </c>
      <c r="H1180" s="23">
        <v>-0.14419489999999999</v>
      </c>
    </row>
    <row r="1181" spans="1:8" x14ac:dyDescent="0.35">
      <c r="A1181" s="23">
        <v>2.302734E-2</v>
      </c>
      <c r="B1181" s="23">
        <f t="shared" si="36"/>
        <v>-0.1283098</v>
      </c>
      <c r="C1181" s="24"/>
      <c r="D1181" s="24">
        <f t="shared" si="37"/>
        <v>-42.972610062893075</v>
      </c>
      <c r="E1181" s="21"/>
      <c r="G1181" s="23">
        <v>0.13665289999999999</v>
      </c>
      <c r="H1181" s="23">
        <v>-0.1283098</v>
      </c>
    </row>
    <row r="1182" spans="1:8" x14ac:dyDescent="0.35">
      <c r="A1182" s="23">
        <v>2.3046879999999999E-2</v>
      </c>
      <c r="B1182" s="23">
        <f t="shared" si="36"/>
        <v>-0.1135805</v>
      </c>
      <c r="C1182" s="24"/>
      <c r="D1182" s="24">
        <f t="shared" si="37"/>
        <v>-36.990062893081756</v>
      </c>
      <c r="E1182" s="21"/>
      <c r="G1182" s="23">
        <v>0.11762839999999999</v>
      </c>
      <c r="H1182" s="23">
        <v>-0.1135805</v>
      </c>
    </row>
    <row r="1183" spans="1:8" x14ac:dyDescent="0.35">
      <c r="A1183" s="23">
        <v>2.3066409999999999E-2</v>
      </c>
      <c r="B1183" s="23">
        <f t="shared" si="36"/>
        <v>-9.843238E-2</v>
      </c>
      <c r="C1183" s="24"/>
      <c r="D1183" s="24">
        <f t="shared" si="37"/>
        <v>-30.963845911949683</v>
      </c>
      <c r="E1183" s="21"/>
      <c r="G1183" s="23">
        <v>9.8465029999999995E-2</v>
      </c>
      <c r="H1183" s="23">
        <v>-9.843238E-2</v>
      </c>
    </row>
    <row r="1184" spans="1:8" x14ac:dyDescent="0.35">
      <c r="A1184" s="23">
        <v>2.3085939999999999E-2</v>
      </c>
      <c r="B1184" s="23">
        <f t="shared" si="36"/>
        <v>-8.2061099999999998E-2</v>
      </c>
      <c r="C1184" s="24"/>
      <c r="D1184" s="24">
        <f t="shared" si="37"/>
        <v>-24.53811320754717</v>
      </c>
      <c r="E1184" s="21"/>
      <c r="G1184" s="23">
        <v>7.8031199999999995E-2</v>
      </c>
      <c r="H1184" s="23">
        <v>-8.2061099999999998E-2</v>
      </c>
    </row>
    <row r="1185" spans="1:8" x14ac:dyDescent="0.35">
      <c r="A1185" s="23">
        <v>2.3105469999999999E-2</v>
      </c>
      <c r="B1185" s="23">
        <f t="shared" si="36"/>
        <v>-6.6098619999999997E-2</v>
      </c>
      <c r="C1185" s="24"/>
      <c r="D1185" s="24">
        <f t="shared" si="37"/>
        <v>-18.216349056603772</v>
      </c>
      <c r="E1185" s="21"/>
      <c r="G1185" s="23">
        <v>5.7927989999999999E-2</v>
      </c>
      <c r="H1185" s="23">
        <v>-6.6098619999999997E-2</v>
      </c>
    </row>
    <row r="1186" spans="1:8" x14ac:dyDescent="0.35">
      <c r="A1186" s="23">
        <v>2.3125E-2</v>
      </c>
      <c r="B1186" s="23">
        <f t="shared" si="36"/>
        <v>-4.9987450000000003E-2</v>
      </c>
      <c r="C1186" s="24"/>
      <c r="D1186" s="24">
        <f t="shared" si="37"/>
        <v>-11.754204402515724</v>
      </c>
      <c r="E1186" s="21"/>
      <c r="G1186" s="23">
        <v>3.7378370000000001E-2</v>
      </c>
      <c r="H1186" s="23">
        <v>-4.9987450000000003E-2</v>
      </c>
    </row>
    <row r="1187" spans="1:8" x14ac:dyDescent="0.35">
      <c r="A1187" s="23">
        <v>2.314453E-2</v>
      </c>
      <c r="B1187" s="23">
        <f t="shared" si="36"/>
        <v>-3.2916550000000003E-2</v>
      </c>
      <c r="C1187" s="24"/>
      <c r="D1187" s="24">
        <f t="shared" si="37"/>
        <v>-5.0199874213836475</v>
      </c>
      <c r="E1187" s="21"/>
      <c r="G1187" s="23">
        <v>1.5963560000000002E-2</v>
      </c>
      <c r="H1187" s="23">
        <v>-3.2916550000000003E-2</v>
      </c>
    </row>
    <row r="1188" spans="1:8" x14ac:dyDescent="0.35">
      <c r="A1188" s="23">
        <v>2.316406E-2</v>
      </c>
      <c r="B1188" s="23">
        <f t="shared" si="36"/>
        <v>-1.5962750000000001E-2</v>
      </c>
      <c r="C1188" s="24"/>
      <c r="D1188" s="24">
        <f t="shared" si="37"/>
        <v>1.5517053459119499</v>
      </c>
      <c r="E1188" s="21"/>
      <c r="G1188" s="23">
        <v>-4.9344230000000003E-3</v>
      </c>
      <c r="H1188" s="23">
        <v>-1.5962750000000001E-2</v>
      </c>
    </row>
    <row r="1189" spans="1:8" x14ac:dyDescent="0.35">
      <c r="A1189" s="23">
        <v>2.318359E-2</v>
      </c>
      <c r="B1189" s="23">
        <f t="shared" si="36"/>
        <v>-1.591931E-4</v>
      </c>
      <c r="C1189" s="24"/>
      <c r="D1189" s="24">
        <f t="shared" si="37"/>
        <v>8.023625786163521</v>
      </c>
      <c r="E1189" s="21"/>
      <c r="G1189" s="23">
        <v>-2.551513E-2</v>
      </c>
      <c r="H1189" s="23">
        <v>-1.591931E-4</v>
      </c>
    </row>
    <row r="1190" spans="1:8" x14ac:dyDescent="0.35">
      <c r="A1190" s="23">
        <v>2.3203129999999999E-2</v>
      </c>
      <c r="B1190" s="23">
        <f t="shared" si="36"/>
        <v>1.590807E-2</v>
      </c>
      <c r="C1190" s="24"/>
      <c r="D1190" s="24">
        <f t="shared" si="37"/>
        <v>14.273358490566038</v>
      </c>
      <c r="E1190" s="21"/>
      <c r="G1190" s="23">
        <v>-4.5389279999999997E-2</v>
      </c>
      <c r="H1190" s="23">
        <v>1.590807E-2</v>
      </c>
    </row>
    <row r="1191" spans="1:8" x14ac:dyDescent="0.35">
      <c r="A1191" s="23">
        <v>2.3222659999999999E-2</v>
      </c>
      <c r="B1191" s="23">
        <f t="shared" si="36"/>
        <v>3.2528500000000002E-2</v>
      </c>
      <c r="C1191" s="24"/>
      <c r="D1191" s="24">
        <f t="shared" si="37"/>
        <v>20.527572327044027</v>
      </c>
      <c r="E1191" s="21"/>
      <c r="G1191" s="23">
        <v>-6.5277680000000005E-2</v>
      </c>
      <c r="H1191" s="23">
        <v>3.2528500000000002E-2</v>
      </c>
    </row>
    <row r="1192" spans="1:8" x14ac:dyDescent="0.35">
      <c r="A1192" s="23">
        <v>2.3242189999999999E-2</v>
      </c>
      <c r="B1192" s="23">
        <f t="shared" si="36"/>
        <v>4.8880159999999999E-2</v>
      </c>
      <c r="C1192" s="24"/>
      <c r="D1192" s="24">
        <f t="shared" si="37"/>
        <v>27.100286163522011</v>
      </c>
      <c r="E1192" s="21"/>
      <c r="G1192" s="23">
        <v>-8.6178909999999997E-2</v>
      </c>
      <c r="H1192" s="23">
        <v>4.8880159999999999E-2</v>
      </c>
    </row>
    <row r="1193" spans="1:8" x14ac:dyDescent="0.35">
      <c r="A1193" s="23">
        <v>2.326172E-2</v>
      </c>
      <c r="B1193" s="23">
        <f t="shared" si="36"/>
        <v>6.5126450000000002E-2</v>
      </c>
      <c r="C1193" s="24"/>
      <c r="D1193" s="24">
        <f t="shared" si="37"/>
        <v>33.304025157232701</v>
      </c>
      <c r="E1193" s="21"/>
      <c r="G1193" s="23">
        <v>-0.1059068</v>
      </c>
      <c r="H1193" s="23">
        <v>6.5126450000000002E-2</v>
      </c>
    </row>
    <row r="1194" spans="1:8" x14ac:dyDescent="0.35">
      <c r="A1194" s="23">
        <v>2.328125E-2</v>
      </c>
      <c r="B1194" s="23">
        <f t="shared" si="36"/>
        <v>8.1017080000000005E-2</v>
      </c>
      <c r="C1194" s="24"/>
      <c r="D1194" s="24">
        <f t="shared" si="37"/>
        <v>39.27314465408805</v>
      </c>
      <c r="E1194" s="21"/>
      <c r="G1194" s="23">
        <v>-0.1248886</v>
      </c>
      <c r="H1194" s="23">
        <v>8.1017080000000005E-2</v>
      </c>
    </row>
    <row r="1195" spans="1:8" x14ac:dyDescent="0.35">
      <c r="A1195" s="23">
        <v>2.330078E-2</v>
      </c>
      <c r="B1195" s="23">
        <f t="shared" si="36"/>
        <v>9.6660629999999997E-2</v>
      </c>
      <c r="C1195" s="24"/>
      <c r="D1195" s="24">
        <f t="shared" si="37"/>
        <v>45.309654088050308</v>
      </c>
      <c r="E1195" s="21"/>
      <c r="G1195" s="23">
        <v>-0.14408470000000001</v>
      </c>
      <c r="H1195" s="23">
        <v>9.6660629999999997E-2</v>
      </c>
    </row>
    <row r="1196" spans="1:8" x14ac:dyDescent="0.35">
      <c r="A1196" s="23">
        <v>2.332031E-2</v>
      </c>
      <c r="B1196" s="23">
        <f t="shared" si="36"/>
        <v>0.11120910000000001</v>
      </c>
      <c r="C1196" s="24"/>
      <c r="D1196" s="24">
        <f t="shared" si="37"/>
        <v>50.73465408805032</v>
      </c>
      <c r="E1196" s="21"/>
      <c r="G1196" s="23">
        <v>-0.16133620000000001</v>
      </c>
      <c r="H1196" s="23">
        <v>0.11120910000000001</v>
      </c>
    </row>
    <row r="1197" spans="1:8" x14ac:dyDescent="0.35">
      <c r="A1197" s="23">
        <v>2.3339840000000001E-2</v>
      </c>
      <c r="B1197" s="23">
        <f t="shared" si="36"/>
        <v>0.12505920000000001</v>
      </c>
      <c r="C1197" s="24"/>
      <c r="D1197" s="24">
        <f t="shared" si="37"/>
        <v>55.999874213836478</v>
      </c>
      <c r="E1197" s="21"/>
      <c r="G1197" s="23">
        <v>-0.1780796</v>
      </c>
      <c r="H1197" s="23">
        <v>0.12505920000000001</v>
      </c>
    </row>
    <row r="1198" spans="1:8" x14ac:dyDescent="0.35">
      <c r="A1198" s="23">
        <v>2.3359379999999999E-2</v>
      </c>
      <c r="B1198" s="23">
        <f t="shared" si="36"/>
        <v>0.13912269999999999</v>
      </c>
      <c r="C1198" s="24"/>
      <c r="D1198" s="24">
        <f t="shared" si="37"/>
        <v>61.368867924528296</v>
      </c>
      <c r="E1198" s="21"/>
      <c r="G1198" s="23">
        <v>-0.19515299999999999</v>
      </c>
      <c r="H1198" s="23">
        <v>0.13912269999999999</v>
      </c>
    </row>
    <row r="1199" spans="1:8" x14ac:dyDescent="0.35">
      <c r="A1199" s="23">
        <v>2.3378909999999999E-2</v>
      </c>
      <c r="B1199" s="23">
        <f t="shared" si="36"/>
        <v>0.1520048</v>
      </c>
      <c r="C1199" s="24"/>
      <c r="D1199" s="24">
        <f t="shared" si="37"/>
        <v>66.284654088050317</v>
      </c>
      <c r="E1199" s="21"/>
      <c r="G1199" s="23">
        <v>-0.21078520000000001</v>
      </c>
      <c r="H1199" s="23">
        <v>0.1520048</v>
      </c>
    </row>
    <row r="1200" spans="1:8" x14ac:dyDescent="0.35">
      <c r="A1200" s="23">
        <v>2.339844E-2</v>
      </c>
      <c r="B1200" s="23">
        <f t="shared" si="36"/>
        <v>0.16462489999999999</v>
      </c>
      <c r="C1200" s="24"/>
      <c r="D1200" s="24">
        <f t="shared" si="37"/>
        <v>71.089779874213832</v>
      </c>
      <c r="E1200" s="21"/>
      <c r="G1200" s="23">
        <v>-0.2260655</v>
      </c>
      <c r="H1200" s="23">
        <v>0.16462489999999999</v>
      </c>
    </row>
    <row r="1201" spans="1:8" x14ac:dyDescent="0.35">
      <c r="A1201" s="23">
        <v>2.341797E-2</v>
      </c>
      <c r="B1201" s="23">
        <f t="shared" si="36"/>
        <v>0.17686099999999999</v>
      </c>
      <c r="C1201" s="24"/>
      <c r="D1201" s="24">
        <f t="shared" si="37"/>
        <v>75.621037735849043</v>
      </c>
      <c r="E1201" s="21"/>
      <c r="G1201" s="23">
        <v>-0.24047489999999999</v>
      </c>
      <c r="H1201" s="23">
        <v>0.17686099999999999</v>
      </c>
    </row>
    <row r="1202" spans="1:8" x14ac:dyDescent="0.35">
      <c r="A1202" s="23">
        <v>2.34375E-2</v>
      </c>
      <c r="B1202" s="23">
        <f t="shared" si="36"/>
        <v>0.18738679999999999</v>
      </c>
      <c r="C1202" s="24"/>
      <c r="D1202" s="24">
        <f t="shared" si="37"/>
        <v>79.628899371069181</v>
      </c>
      <c r="E1202" s="21"/>
      <c r="G1202" s="23">
        <v>-0.2532199</v>
      </c>
      <c r="H1202" s="23">
        <v>0.18738679999999999</v>
      </c>
    </row>
    <row r="1203" spans="1:8" x14ac:dyDescent="0.35">
      <c r="A1203" s="23">
        <v>2.345703E-2</v>
      </c>
      <c r="B1203" s="23">
        <f t="shared" si="36"/>
        <v>0.19709750000000001</v>
      </c>
      <c r="C1203" s="24"/>
      <c r="D1203" s="24">
        <f t="shared" si="37"/>
        <v>83.274056603773573</v>
      </c>
      <c r="E1203" s="21"/>
      <c r="G1203" s="23">
        <v>-0.26481149999999998</v>
      </c>
      <c r="H1203" s="23">
        <v>0.19709750000000001</v>
      </c>
    </row>
    <row r="1204" spans="1:8" x14ac:dyDescent="0.35">
      <c r="A1204" s="23">
        <v>2.347656E-2</v>
      </c>
      <c r="B1204" s="23">
        <f t="shared" si="36"/>
        <v>0.20590410000000001</v>
      </c>
      <c r="C1204" s="24"/>
      <c r="D1204" s="24">
        <f t="shared" si="37"/>
        <v>86.519654088050302</v>
      </c>
      <c r="E1204" s="21"/>
      <c r="G1204" s="23">
        <v>-0.2751325</v>
      </c>
      <c r="H1204" s="23">
        <v>0.20590410000000001</v>
      </c>
    </row>
    <row r="1205" spans="1:8" x14ac:dyDescent="0.35">
      <c r="A1205" s="23">
        <v>2.3496090000000001E-2</v>
      </c>
      <c r="B1205" s="23">
        <f t="shared" si="36"/>
        <v>0.2146313</v>
      </c>
      <c r="C1205" s="24"/>
      <c r="D1205" s="24">
        <f t="shared" si="37"/>
        <v>89.796949685534571</v>
      </c>
      <c r="E1205" s="21"/>
      <c r="G1205" s="23">
        <v>-0.28555429999999998</v>
      </c>
      <c r="H1205" s="23">
        <v>0.2146313</v>
      </c>
    </row>
    <row r="1206" spans="1:8" x14ac:dyDescent="0.35">
      <c r="A1206" s="23">
        <v>2.3515629999999999E-2</v>
      </c>
      <c r="B1206" s="23">
        <f t="shared" si="36"/>
        <v>0.2227025</v>
      </c>
      <c r="C1206" s="24"/>
      <c r="D1206" s="24">
        <f t="shared" si="37"/>
        <v>92.766037735849039</v>
      </c>
      <c r="E1206" s="21"/>
      <c r="G1206" s="23">
        <v>-0.29499599999999998</v>
      </c>
      <c r="H1206" s="23">
        <v>0.2227025</v>
      </c>
    </row>
    <row r="1207" spans="1:8" x14ac:dyDescent="0.35">
      <c r="A1207" s="23">
        <v>2.3535159999999999E-2</v>
      </c>
      <c r="B1207" s="23">
        <f t="shared" si="36"/>
        <v>0.22869519999999999</v>
      </c>
      <c r="C1207" s="24"/>
      <c r="D1207" s="24">
        <f t="shared" si="37"/>
        <v>95.016226415094351</v>
      </c>
      <c r="E1207" s="21"/>
      <c r="G1207" s="23">
        <v>-0.30215160000000002</v>
      </c>
      <c r="H1207" s="23">
        <v>0.22869519999999999</v>
      </c>
    </row>
    <row r="1208" spans="1:8" x14ac:dyDescent="0.35">
      <c r="A1208" s="23">
        <v>2.355469E-2</v>
      </c>
      <c r="B1208" s="23">
        <f t="shared" si="36"/>
        <v>0.23436570000000001</v>
      </c>
      <c r="C1208" s="24"/>
      <c r="D1208" s="24">
        <f t="shared" si="37"/>
        <v>97.141603773584905</v>
      </c>
      <c r="E1208" s="21"/>
      <c r="G1208" s="23">
        <v>-0.30891030000000003</v>
      </c>
      <c r="H1208" s="23">
        <v>0.23436570000000001</v>
      </c>
    </row>
    <row r="1209" spans="1:8" x14ac:dyDescent="0.35">
      <c r="A1209" s="23">
        <v>2.357422E-2</v>
      </c>
      <c r="B1209" s="23">
        <f t="shared" si="36"/>
        <v>0.23942740000000001</v>
      </c>
      <c r="C1209" s="24"/>
      <c r="D1209" s="24">
        <f t="shared" si="37"/>
        <v>98.884779874213834</v>
      </c>
      <c r="E1209" s="21"/>
      <c r="G1209" s="23">
        <v>-0.3144536</v>
      </c>
      <c r="H1209" s="23">
        <v>0.23942740000000001</v>
      </c>
    </row>
    <row r="1210" spans="1:8" x14ac:dyDescent="0.35">
      <c r="A1210" s="23">
        <v>2.359375E-2</v>
      </c>
      <c r="B1210" s="23">
        <f t="shared" si="36"/>
        <v>0.24281140000000001</v>
      </c>
      <c r="C1210" s="24"/>
      <c r="D1210" s="24">
        <f t="shared" si="37"/>
        <v>99.943836477987418</v>
      </c>
      <c r="E1210" s="21"/>
      <c r="G1210" s="23">
        <v>-0.31782139999999998</v>
      </c>
      <c r="H1210" s="23">
        <v>0.24281140000000001</v>
      </c>
    </row>
    <row r="1211" spans="1:8" x14ac:dyDescent="0.35">
      <c r="A1211" s="23">
        <v>2.361328E-2</v>
      </c>
      <c r="B1211" s="23">
        <f t="shared" si="36"/>
        <v>0.24623790000000001</v>
      </c>
      <c r="C1211" s="24"/>
      <c r="D1211" s="24">
        <f t="shared" si="37"/>
        <v>101.15254716981131</v>
      </c>
      <c r="E1211" s="21"/>
      <c r="G1211" s="23">
        <v>-0.32166509999999998</v>
      </c>
      <c r="H1211" s="23">
        <v>0.24623790000000001</v>
      </c>
    </row>
    <row r="1212" spans="1:8" x14ac:dyDescent="0.35">
      <c r="A1212" s="23">
        <v>2.3632810000000001E-2</v>
      </c>
      <c r="B1212" s="23">
        <f t="shared" si="36"/>
        <v>0.2496611</v>
      </c>
      <c r="C1212" s="24"/>
      <c r="D1212" s="24">
        <f t="shared" si="37"/>
        <v>102.22393081761005</v>
      </c>
      <c r="E1212" s="21"/>
      <c r="G1212" s="23">
        <v>-0.32507209999999997</v>
      </c>
      <c r="H1212" s="23">
        <v>0.2496611</v>
      </c>
    </row>
    <row r="1213" spans="1:8" x14ac:dyDescent="0.35">
      <c r="A1213" s="23">
        <v>2.3652340000000001E-2</v>
      </c>
      <c r="B1213" s="23">
        <f t="shared" si="36"/>
        <v>0.2512972</v>
      </c>
      <c r="C1213" s="24"/>
      <c r="D1213" s="24">
        <f t="shared" si="37"/>
        <v>102.36088050314466</v>
      </c>
      <c r="E1213" s="21"/>
      <c r="G1213" s="23">
        <v>-0.32550760000000001</v>
      </c>
      <c r="H1213" s="23">
        <v>0.2512972</v>
      </c>
    </row>
    <row r="1214" spans="1:8" x14ac:dyDescent="0.35">
      <c r="A1214" s="23">
        <v>2.3671879999999999E-2</v>
      </c>
      <c r="B1214" s="23">
        <f t="shared" si="36"/>
        <v>0.25167400000000001</v>
      </c>
      <c r="C1214" s="24"/>
      <c r="D1214" s="24">
        <f t="shared" si="37"/>
        <v>102.17654088050314</v>
      </c>
      <c r="E1214" s="21"/>
      <c r="G1214" s="23">
        <v>-0.32492140000000003</v>
      </c>
      <c r="H1214" s="23">
        <v>0.25167400000000001</v>
      </c>
    </row>
    <row r="1215" spans="1:8" x14ac:dyDescent="0.35">
      <c r="A1215" s="23">
        <v>2.369141E-2</v>
      </c>
      <c r="B1215" s="23">
        <f t="shared" si="36"/>
        <v>0.25138379999999999</v>
      </c>
      <c r="C1215" s="24"/>
      <c r="D1215" s="24">
        <f t="shared" si="37"/>
        <v>101.61220125786163</v>
      </c>
      <c r="E1215" s="21"/>
      <c r="G1215" s="23">
        <v>-0.32312679999999999</v>
      </c>
      <c r="H1215" s="23">
        <v>0.25138379999999999</v>
      </c>
    </row>
    <row r="1216" spans="1:8" x14ac:dyDescent="0.35">
      <c r="A1216" s="23">
        <v>2.371094E-2</v>
      </c>
      <c r="B1216" s="23">
        <f t="shared" si="36"/>
        <v>0.2505945</v>
      </c>
      <c r="C1216" s="24"/>
      <c r="D1216" s="24">
        <f t="shared" si="37"/>
        <v>100.63191823899371</v>
      </c>
      <c r="E1216" s="21"/>
      <c r="G1216" s="23">
        <v>-0.3200095</v>
      </c>
      <c r="H1216" s="23">
        <v>0.2505945</v>
      </c>
    </row>
    <row r="1217" spans="1:8" x14ac:dyDescent="0.35">
      <c r="A1217" s="23">
        <v>2.373047E-2</v>
      </c>
      <c r="B1217" s="23">
        <f t="shared" si="36"/>
        <v>0.2499382</v>
      </c>
      <c r="C1217" s="24"/>
      <c r="D1217" s="24">
        <f t="shared" si="37"/>
        <v>99.771855345911945</v>
      </c>
      <c r="E1217" s="21"/>
      <c r="G1217" s="23">
        <v>-0.31727450000000001</v>
      </c>
      <c r="H1217" s="23">
        <v>0.2499382</v>
      </c>
    </row>
    <row r="1218" spans="1:8" x14ac:dyDescent="0.35">
      <c r="A1218" s="23">
        <v>2.375E-2</v>
      </c>
      <c r="B1218" s="23">
        <f t="shared" ref="B1218:B1281" si="38">H1218</f>
        <v>0.24844649999999999</v>
      </c>
      <c r="C1218" s="24"/>
      <c r="D1218" s="24">
        <f t="shared" ref="D1218:D1281" si="39">G1218*-1000/3.18</f>
        <v>98.488207547169807</v>
      </c>
      <c r="E1218" s="21"/>
      <c r="G1218" s="23">
        <v>-0.31319249999999998</v>
      </c>
      <c r="H1218" s="23">
        <v>0.24844649999999999</v>
      </c>
    </row>
    <row r="1219" spans="1:8" x14ac:dyDescent="0.35">
      <c r="A1219" s="23">
        <v>2.3769530000000001E-2</v>
      </c>
      <c r="B1219" s="23">
        <f t="shared" si="38"/>
        <v>0.24571799999999999</v>
      </c>
      <c r="C1219" s="24"/>
      <c r="D1219" s="24">
        <f t="shared" si="39"/>
        <v>96.827327044025139</v>
      </c>
      <c r="E1219" s="21"/>
      <c r="G1219" s="23">
        <v>-0.30791089999999999</v>
      </c>
      <c r="H1219" s="23">
        <v>0.24571799999999999</v>
      </c>
    </row>
    <row r="1220" spans="1:8" x14ac:dyDescent="0.35">
      <c r="A1220" s="23">
        <v>2.3789060000000001E-2</v>
      </c>
      <c r="B1220" s="23">
        <f t="shared" si="38"/>
        <v>0.24151249999999999</v>
      </c>
      <c r="C1220" s="24"/>
      <c r="D1220" s="24">
        <f t="shared" si="39"/>
        <v>94.54559748427674</v>
      </c>
      <c r="E1220" s="21"/>
      <c r="G1220" s="23">
        <v>-0.30065500000000001</v>
      </c>
      <c r="H1220" s="23">
        <v>0.24151249999999999</v>
      </c>
    </row>
    <row r="1221" spans="1:8" x14ac:dyDescent="0.35">
      <c r="A1221" s="23">
        <v>2.3808590000000001E-2</v>
      </c>
      <c r="B1221" s="23">
        <f t="shared" si="38"/>
        <v>0.2356009</v>
      </c>
      <c r="C1221" s="24"/>
      <c r="D1221" s="24">
        <f t="shared" si="39"/>
        <v>91.481383647798751</v>
      </c>
      <c r="E1221" s="21"/>
      <c r="G1221" s="23">
        <v>-0.29091080000000002</v>
      </c>
      <c r="H1221" s="23">
        <v>0.2356009</v>
      </c>
    </row>
    <row r="1222" spans="1:8" x14ac:dyDescent="0.35">
      <c r="A1222" s="23">
        <v>2.3828129999999999E-2</v>
      </c>
      <c r="B1222" s="23">
        <f t="shared" si="38"/>
        <v>0.230543</v>
      </c>
      <c r="C1222" s="24"/>
      <c r="D1222" s="24">
        <f t="shared" si="39"/>
        <v>88.778993710691822</v>
      </c>
      <c r="E1222" s="21"/>
      <c r="G1222" s="23">
        <v>-0.28231719999999999</v>
      </c>
      <c r="H1222" s="23">
        <v>0.230543</v>
      </c>
    </row>
    <row r="1223" spans="1:8" x14ac:dyDescent="0.35">
      <c r="A1223" s="23">
        <v>2.384766E-2</v>
      </c>
      <c r="B1223" s="23">
        <f t="shared" si="38"/>
        <v>0.2260646</v>
      </c>
      <c r="C1223" s="24"/>
      <c r="D1223" s="24">
        <f t="shared" si="39"/>
        <v>85.939339622641512</v>
      </c>
      <c r="E1223" s="21"/>
      <c r="G1223" s="23">
        <v>-0.27328710000000001</v>
      </c>
      <c r="H1223" s="23">
        <v>0.2260646</v>
      </c>
    </row>
    <row r="1224" spans="1:8" x14ac:dyDescent="0.35">
      <c r="A1224" s="23">
        <v>2.386719E-2</v>
      </c>
      <c r="B1224" s="23">
        <f t="shared" si="38"/>
        <v>0.2194209</v>
      </c>
      <c r="C1224" s="24"/>
      <c r="D1224" s="24">
        <f t="shared" si="39"/>
        <v>82.35833333333332</v>
      </c>
      <c r="E1224" s="21"/>
      <c r="G1224" s="23">
        <v>-0.26189950000000001</v>
      </c>
      <c r="H1224" s="23">
        <v>0.2194209</v>
      </c>
    </row>
    <row r="1225" spans="1:8" x14ac:dyDescent="0.35">
      <c r="A1225" s="23">
        <v>2.388672E-2</v>
      </c>
      <c r="B1225" s="23">
        <f t="shared" si="38"/>
        <v>0.21165510000000001</v>
      </c>
      <c r="C1225" s="24"/>
      <c r="D1225" s="24">
        <f t="shared" si="39"/>
        <v>78.732672955974834</v>
      </c>
      <c r="E1225" s="21"/>
      <c r="G1225" s="23">
        <v>-0.25036989999999998</v>
      </c>
      <c r="H1225" s="23">
        <v>0.21165510000000001</v>
      </c>
    </row>
    <row r="1226" spans="1:8" x14ac:dyDescent="0.35">
      <c r="A1226" s="23">
        <v>2.390625E-2</v>
      </c>
      <c r="B1226" s="23">
        <f t="shared" si="38"/>
        <v>0.20281850000000001</v>
      </c>
      <c r="C1226" s="24"/>
      <c r="D1226" s="24">
        <f t="shared" si="39"/>
        <v>74.722735849056605</v>
      </c>
      <c r="E1226" s="21"/>
      <c r="G1226" s="23">
        <v>-0.2376183</v>
      </c>
      <c r="H1226" s="23">
        <v>0.20281850000000001</v>
      </c>
    </row>
    <row r="1227" spans="1:8" x14ac:dyDescent="0.35">
      <c r="A1227" s="23">
        <v>2.3925780000000001E-2</v>
      </c>
      <c r="B1227" s="23">
        <f t="shared" si="38"/>
        <v>0.1923079</v>
      </c>
      <c r="C1227" s="24"/>
      <c r="D1227" s="24">
        <f t="shared" si="39"/>
        <v>70.042924528301882</v>
      </c>
      <c r="E1227" s="21"/>
      <c r="G1227" s="23">
        <v>-0.2227365</v>
      </c>
      <c r="H1227" s="23">
        <v>0.1923079</v>
      </c>
    </row>
    <row r="1228" spans="1:8" x14ac:dyDescent="0.35">
      <c r="A1228" s="23">
        <v>2.3945310000000001E-2</v>
      </c>
      <c r="B1228" s="23">
        <f t="shared" si="38"/>
        <v>0.18202750000000001</v>
      </c>
      <c r="C1228" s="24"/>
      <c r="D1228" s="24">
        <f t="shared" si="39"/>
        <v>65.244150943396221</v>
      </c>
      <c r="E1228" s="21"/>
      <c r="G1228" s="23">
        <v>-0.20747640000000001</v>
      </c>
      <c r="H1228" s="23">
        <v>0.18202750000000001</v>
      </c>
    </row>
    <row r="1229" spans="1:8" x14ac:dyDescent="0.35">
      <c r="A1229" s="23">
        <v>2.3964840000000001E-2</v>
      </c>
      <c r="B1229" s="23">
        <f t="shared" si="38"/>
        <v>0.17201900000000001</v>
      </c>
      <c r="C1229" s="24"/>
      <c r="D1229" s="24">
        <f t="shared" si="39"/>
        <v>60.403584905660367</v>
      </c>
      <c r="E1229" s="21"/>
      <c r="G1229" s="23">
        <v>-0.19208339999999999</v>
      </c>
      <c r="H1229" s="23">
        <v>0.17201900000000001</v>
      </c>
    </row>
    <row r="1230" spans="1:8" x14ac:dyDescent="0.35">
      <c r="A1230" s="23">
        <v>2.398438E-2</v>
      </c>
      <c r="B1230" s="23">
        <f t="shared" si="38"/>
        <v>0.16197400000000001</v>
      </c>
      <c r="C1230" s="24"/>
      <c r="D1230" s="24">
        <f t="shared" si="39"/>
        <v>55.596666666666657</v>
      </c>
      <c r="E1230" s="21"/>
      <c r="G1230" s="23">
        <v>-0.17679739999999999</v>
      </c>
      <c r="H1230" s="23">
        <v>0.16197400000000001</v>
      </c>
    </row>
    <row r="1231" spans="1:8" x14ac:dyDescent="0.35">
      <c r="A1231" s="23">
        <v>2.400391E-2</v>
      </c>
      <c r="B1231" s="23">
        <f t="shared" si="38"/>
        <v>0.1514065</v>
      </c>
      <c r="C1231" s="24"/>
      <c r="D1231" s="24">
        <f t="shared" si="39"/>
        <v>50.559496855345913</v>
      </c>
      <c r="E1231" s="21"/>
      <c r="G1231" s="23">
        <v>-0.16077920000000001</v>
      </c>
      <c r="H1231" s="23">
        <v>0.1514065</v>
      </c>
    </row>
    <row r="1232" spans="1:8" x14ac:dyDescent="0.35">
      <c r="A1232" s="23">
        <v>2.402344E-2</v>
      </c>
      <c r="B1232" s="23">
        <f t="shared" si="38"/>
        <v>0.13871439999999999</v>
      </c>
      <c r="C1232" s="24"/>
      <c r="D1232" s="24">
        <f t="shared" si="39"/>
        <v>44.855534591194967</v>
      </c>
      <c r="E1232" s="21"/>
      <c r="G1232" s="23">
        <v>-0.14264060000000001</v>
      </c>
      <c r="H1232" s="23">
        <v>0.13871439999999999</v>
      </c>
    </row>
    <row r="1233" spans="1:8" x14ac:dyDescent="0.35">
      <c r="A1233" s="23">
        <v>2.404297E-2</v>
      </c>
      <c r="B1233" s="23">
        <f t="shared" si="38"/>
        <v>0.12577179999999999</v>
      </c>
      <c r="C1233" s="24"/>
      <c r="D1233" s="24">
        <f t="shared" si="39"/>
        <v>39.122987421383641</v>
      </c>
      <c r="E1233" s="21"/>
      <c r="G1233" s="23">
        <v>-0.1244111</v>
      </c>
      <c r="H1233" s="23">
        <v>0.12577179999999999</v>
      </c>
    </row>
    <row r="1234" spans="1:8" x14ac:dyDescent="0.35">
      <c r="A1234" s="23">
        <v>2.4062500000000001E-2</v>
      </c>
      <c r="B1234" s="23">
        <f t="shared" si="38"/>
        <v>0.1123754</v>
      </c>
      <c r="C1234" s="24"/>
      <c r="D1234" s="24">
        <f t="shared" si="39"/>
        <v>33.276823899371067</v>
      </c>
      <c r="E1234" s="21"/>
      <c r="G1234" s="23">
        <v>-0.10582030000000001</v>
      </c>
      <c r="H1234" s="23">
        <v>0.1123754</v>
      </c>
    </row>
    <row r="1235" spans="1:8" x14ac:dyDescent="0.35">
      <c r="A1235" s="23">
        <v>2.4082030000000001E-2</v>
      </c>
      <c r="B1235" s="23">
        <f t="shared" si="38"/>
        <v>9.8775390000000005E-2</v>
      </c>
      <c r="C1235" s="24"/>
      <c r="D1235" s="24">
        <f t="shared" si="39"/>
        <v>27.137443396226416</v>
      </c>
      <c r="E1235" s="21"/>
      <c r="G1235" s="23">
        <v>-8.6297070000000003E-2</v>
      </c>
      <c r="H1235" s="23">
        <v>9.8775390000000005E-2</v>
      </c>
    </row>
    <row r="1236" spans="1:8" x14ac:dyDescent="0.35">
      <c r="A1236" s="23">
        <v>2.4101560000000001E-2</v>
      </c>
      <c r="B1236" s="23">
        <f t="shared" si="38"/>
        <v>8.7514380000000003E-2</v>
      </c>
      <c r="C1236" s="24"/>
      <c r="D1236" s="24">
        <f t="shared" si="39"/>
        <v>21.538015723270437</v>
      </c>
      <c r="E1236" s="21"/>
      <c r="G1236" s="23">
        <v>-6.8490889999999999E-2</v>
      </c>
      <c r="H1236" s="23">
        <v>8.7514380000000003E-2</v>
      </c>
    </row>
    <row r="1237" spans="1:8" x14ac:dyDescent="0.35">
      <c r="A1237" s="23">
        <v>2.4121090000000001E-2</v>
      </c>
      <c r="B1237" s="23">
        <f t="shared" si="38"/>
        <v>7.4943529999999994E-2</v>
      </c>
      <c r="C1237" s="24"/>
      <c r="D1237" s="24">
        <f t="shared" si="39"/>
        <v>15.755537735849055</v>
      </c>
      <c r="E1237" s="21"/>
      <c r="G1237" s="23">
        <v>-5.0102609999999999E-2</v>
      </c>
      <c r="H1237" s="23">
        <v>7.4943529999999994E-2</v>
      </c>
    </row>
    <row r="1238" spans="1:8" x14ac:dyDescent="0.35">
      <c r="A1238" s="23">
        <v>2.4140620000000002E-2</v>
      </c>
      <c r="B1238" s="23">
        <f t="shared" si="38"/>
        <v>6.0934040000000002E-2</v>
      </c>
      <c r="C1238" s="24"/>
      <c r="D1238" s="24">
        <f t="shared" si="39"/>
        <v>9.22595283018868</v>
      </c>
      <c r="E1238" s="21"/>
      <c r="G1238" s="23">
        <v>-2.9338530000000002E-2</v>
      </c>
      <c r="H1238" s="23">
        <v>6.0934040000000002E-2</v>
      </c>
    </row>
    <row r="1239" spans="1:8" x14ac:dyDescent="0.35">
      <c r="A1239" s="23">
        <v>2.416016E-2</v>
      </c>
      <c r="B1239" s="23">
        <f t="shared" si="38"/>
        <v>4.6355239999999999E-2</v>
      </c>
      <c r="C1239" s="24"/>
      <c r="D1239" s="24">
        <f t="shared" si="39"/>
        <v>2.9507399371069187</v>
      </c>
      <c r="E1239" s="21"/>
      <c r="G1239" s="23">
        <v>-9.3833530000000005E-3</v>
      </c>
      <c r="H1239" s="23">
        <v>4.6355239999999999E-2</v>
      </c>
    </row>
    <row r="1240" spans="1:8" x14ac:dyDescent="0.35">
      <c r="A1240" s="23">
        <v>2.417969E-2</v>
      </c>
      <c r="B1240" s="23">
        <f t="shared" si="38"/>
        <v>3.0792179999999999E-2</v>
      </c>
      <c r="C1240" s="24"/>
      <c r="D1240" s="24">
        <f t="shared" si="39"/>
        <v>-3.1607138364779876</v>
      </c>
      <c r="E1240" s="21"/>
      <c r="G1240" s="23">
        <v>1.005107E-2</v>
      </c>
      <c r="H1240" s="23">
        <v>3.0792179999999999E-2</v>
      </c>
    </row>
    <row r="1241" spans="1:8" x14ac:dyDescent="0.35">
      <c r="A1241" s="23">
        <v>2.419922E-2</v>
      </c>
      <c r="B1241" s="23">
        <f t="shared" si="38"/>
        <v>1.6349700000000002E-2</v>
      </c>
      <c r="C1241" s="24"/>
      <c r="D1241" s="24">
        <f t="shared" si="39"/>
        <v>-9.4756163522012571</v>
      </c>
      <c r="E1241" s="21"/>
      <c r="G1241" s="23">
        <v>3.013246E-2</v>
      </c>
      <c r="H1241" s="23">
        <v>1.6349700000000002E-2</v>
      </c>
    </row>
    <row r="1242" spans="1:8" x14ac:dyDescent="0.35">
      <c r="A1242" s="23">
        <v>2.4218750000000001E-2</v>
      </c>
      <c r="B1242" s="23">
        <f t="shared" si="38"/>
        <v>1.180255E-4</v>
      </c>
      <c r="C1242" s="24"/>
      <c r="D1242" s="24">
        <f t="shared" si="39"/>
        <v>-15.802330188679244</v>
      </c>
      <c r="E1242" s="21"/>
      <c r="G1242" s="23">
        <v>5.0251410000000003E-2</v>
      </c>
      <c r="H1242" s="23">
        <v>1.180255E-4</v>
      </c>
    </row>
    <row r="1243" spans="1:8" x14ac:dyDescent="0.35">
      <c r="A1243" s="23">
        <v>2.4238280000000001E-2</v>
      </c>
      <c r="B1243" s="23">
        <f t="shared" si="38"/>
        <v>-1.7744759999999998E-2</v>
      </c>
      <c r="C1243" s="24"/>
      <c r="D1243" s="24">
        <f t="shared" si="39"/>
        <v>-22.027279874213836</v>
      </c>
      <c r="E1243" s="21"/>
      <c r="G1243" s="23">
        <v>7.0046750000000005E-2</v>
      </c>
      <c r="H1243" s="23">
        <v>-1.7744759999999998E-2</v>
      </c>
    </row>
    <row r="1244" spans="1:8" x14ac:dyDescent="0.35">
      <c r="A1244" s="23">
        <v>2.4257810000000001E-2</v>
      </c>
      <c r="B1244" s="23">
        <f t="shared" si="38"/>
        <v>-3.4738159999999997E-2</v>
      </c>
      <c r="C1244" s="24"/>
      <c r="D1244" s="24">
        <f t="shared" si="39"/>
        <v>-27.750273584905663</v>
      </c>
      <c r="E1244" s="21"/>
      <c r="G1244" s="23">
        <v>8.8245870000000004E-2</v>
      </c>
      <c r="H1244" s="23">
        <v>-3.4738159999999997E-2</v>
      </c>
    </row>
    <row r="1245" spans="1:8" x14ac:dyDescent="0.35">
      <c r="A1245" s="23">
        <v>2.4277340000000001E-2</v>
      </c>
      <c r="B1245" s="23">
        <f t="shared" si="38"/>
        <v>-5.3455450000000002E-2</v>
      </c>
      <c r="C1245" s="24"/>
      <c r="D1245" s="24">
        <f t="shared" si="39"/>
        <v>-33.475345911949681</v>
      </c>
      <c r="E1245" s="21"/>
      <c r="G1245" s="23">
        <v>0.10645159999999999</v>
      </c>
      <c r="H1245" s="23">
        <v>-5.3455450000000002E-2</v>
      </c>
    </row>
    <row r="1246" spans="1:8" x14ac:dyDescent="0.35">
      <c r="A1246" s="23">
        <v>2.4296870000000002E-2</v>
      </c>
      <c r="B1246" s="23">
        <f t="shared" si="38"/>
        <v>-7.2771939999999993E-2</v>
      </c>
      <c r="C1246" s="24"/>
      <c r="D1246" s="24">
        <f t="shared" si="39"/>
        <v>-39.533553459119489</v>
      </c>
      <c r="E1246" s="21"/>
      <c r="G1246" s="23">
        <v>0.12571669999999999</v>
      </c>
      <c r="H1246" s="23">
        <v>-7.2771939999999993E-2</v>
      </c>
    </row>
    <row r="1247" spans="1:8" x14ac:dyDescent="0.35">
      <c r="A1247" s="23">
        <v>2.431641E-2</v>
      </c>
      <c r="B1247" s="23">
        <f t="shared" si="38"/>
        <v>-9.1551450000000006E-2</v>
      </c>
      <c r="C1247" s="24"/>
      <c r="D1247" s="24">
        <f t="shared" si="39"/>
        <v>-45.003490566037733</v>
      </c>
      <c r="E1247" s="21"/>
      <c r="G1247" s="23">
        <v>0.14311109999999999</v>
      </c>
      <c r="H1247" s="23">
        <v>-9.1551450000000006E-2</v>
      </c>
    </row>
    <row r="1248" spans="1:8" x14ac:dyDescent="0.35">
      <c r="A1248" s="23">
        <v>2.433594E-2</v>
      </c>
      <c r="B1248" s="23">
        <f t="shared" si="38"/>
        <v>-0.11120620000000001</v>
      </c>
      <c r="C1248" s="24"/>
      <c r="D1248" s="24">
        <f t="shared" si="39"/>
        <v>-50.479842767295594</v>
      </c>
      <c r="E1248" s="21"/>
      <c r="G1248" s="23">
        <v>0.1605259</v>
      </c>
      <c r="H1248" s="23">
        <v>-0.11120620000000001</v>
      </c>
    </row>
    <row r="1249" spans="1:8" x14ac:dyDescent="0.35">
      <c r="A1249" s="23">
        <v>2.4355470000000001E-2</v>
      </c>
      <c r="B1249" s="23">
        <f t="shared" si="38"/>
        <v>-0.13031899999999999</v>
      </c>
      <c r="C1249" s="24"/>
      <c r="D1249" s="24">
        <f t="shared" si="39"/>
        <v>-56.342358490566028</v>
      </c>
      <c r="E1249" s="21"/>
      <c r="G1249" s="23">
        <v>0.17916869999999999</v>
      </c>
      <c r="H1249" s="23">
        <v>-0.13031899999999999</v>
      </c>
    </row>
    <row r="1250" spans="1:8" x14ac:dyDescent="0.35">
      <c r="A1250" s="23">
        <v>2.4375000000000001E-2</v>
      </c>
      <c r="B1250" s="23">
        <f t="shared" si="38"/>
        <v>-0.14759269999999999</v>
      </c>
      <c r="C1250" s="24"/>
      <c r="D1250" s="24">
        <f t="shared" si="39"/>
        <v>-61.317767295597477</v>
      </c>
      <c r="E1250" s="21"/>
      <c r="G1250" s="23">
        <v>0.19499050000000001</v>
      </c>
      <c r="H1250" s="23">
        <v>-0.14759269999999999</v>
      </c>
    </row>
    <row r="1251" spans="1:8" x14ac:dyDescent="0.35">
      <c r="A1251" s="23">
        <v>2.4394530000000001E-2</v>
      </c>
      <c r="B1251" s="23">
        <f t="shared" si="38"/>
        <v>-0.1628646</v>
      </c>
      <c r="C1251" s="24"/>
      <c r="D1251" s="24">
        <f t="shared" si="39"/>
        <v>-65.780943396226405</v>
      </c>
      <c r="E1251" s="21"/>
      <c r="G1251" s="23">
        <v>0.20918339999999999</v>
      </c>
      <c r="H1251" s="23">
        <v>-0.1628646</v>
      </c>
    </row>
    <row r="1252" spans="1:8" x14ac:dyDescent="0.35">
      <c r="A1252" s="23">
        <v>2.4414060000000001E-2</v>
      </c>
      <c r="B1252" s="23">
        <f t="shared" si="38"/>
        <v>-0.17779249999999999</v>
      </c>
      <c r="C1252" s="24"/>
      <c r="D1252" s="24">
        <f t="shared" si="39"/>
        <v>-70.535157232704393</v>
      </c>
      <c r="E1252" s="21"/>
      <c r="G1252" s="23">
        <v>0.2243018</v>
      </c>
      <c r="H1252" s="23">
        <v>-0.17779249999999999</v>
      </c>
    </row>
    <row r="1253" spans="1:8" x14ac:dyDescent="0.35">
      <c r="A1253" s="23">
        <v>2.4433590000000002E-2</v>
      </c>
      <c r="B1253" s="23">
        <f t="shared" si="38"/>
        <v>-0.1924951</v>
      </c>
      <c r="C1253" s="24"/>
      <c r="D1253" s="24">
        <f t="shared" si="39"/>
        <v>-75.210974842767286</v>
      </c>
      <c r="E1253" s="21"/>
      <c r="G1253" s="23">
        <v>0.23917089999999999</v>
      </c>
      <c r="H1253" s="23">
        <v>-0.1924951</v>
      </c>
    </row>
    <row r="1254" spans="1:8" x14ac:dyDescent="0.35">
      <c r="A1254" s="23">
        <v>2.4453119999999998E-2</v>
      </c>
      <c r="B1254" s="23">
        <f t="shared" si="38"/>
        <v>-0.2047957</v>
      </c>
      <c r="C1254" s="24"/>
      <c r="D1254" s="24">
        <f t="shared" si="39"/>
        <v>-79.421603773584906</v>
      </c>
      <c r="E1254" s="21"/>
      <c r="G1254" s="23">
        <v>0.25256070000000003</v>
      </c>
      <c r="H1254" s="23">
        <v>-0.2047957</v>
      </c>
    </row>
    <row r="1255" spans="1:8" x14ac:dyDescent="0.35">
      <c r="A1255" s="23">
        <v>2.447266E-2</v>
      </c>
      <c r="B1255" s="23">
        <f t="shared" si="38"/>
        <v>-0.21508650000000001</v>
      </c>
      <c r="C1255" s="24"/>
      <c r="D1255" s="24">
        <f t="shared" si="39"/>
        <v>-83.080691823899357</v>
      </c>
      <c r="E1255" s="21"/>
      <c r="G1255" s="23">
        <v>0.2641966</v>
      </c>
      <c r="H1255" s="23">
        <v>-0.21508650000000001</v>
      </c>
    </row>
    <row r="1256" spans="1:8" x14ac:dyDescent="0.35">
      <c r="A1256" s="23">
        <v>2.449219E-2</v>
      </c>
      <c r="B1256" s="23">
        <f t="shared" si="38"/>
        <v>-0.22506499999999999</v>
      </c>
      <c r="C1256" s="24"/>
      <c r="D1256" s="24">
        <f t="shared" si="39"/>
        <v>-86.72490566037736</v>
      </c>
      <c r="E1256" s="21"/>
      <c r="G1256" s="23">
        <v>0.27578520000000001</v>
      </c>
      <c r="H1256" s="23">
        <v>-0.22506499999999999</v>
      </c>
    </row>
    <row r="1257" spans="1:8" x14ac:dyDescent="0.35">
      <c r="A1257" s="23">
        <v>2.4511720000000001E-2</v>
      </c>
      <c r="B1257" s="23">
        <f t="shared" si="38"/>
        <v>-0.23418539999999999</v>
      </c>
      <c r="C1257" s="24"/>
      <c r="D1257" s="24">
        <f t="shared" si="39"/>
        <v>-89.89710691823899</v>
      </c>
      <c r="E1257" s="21"/>
      <c r="G1257" s="23">
        <v>0.28587279999999998</v>
      </c>
      <c r="H1257" s="23">
        <v>-0.23418539999999999</v>
      </c>
    </row>
    <row r="1258" spans="1:8" x14ac:dyDescent="0.35">
      <c r="A1258" s="23">
        <v>2.4531250000000001E-2</v>
      </c>
      <c r="B1258" s="23">
        <f t="shared" si="38"/>
        <v>-0.24103179999999999</v>
      </c>
      <c r="C1258" s="24"/>
      <c r="D1258" s="24">
        <f t="shared" si="39"/>
        <v>-92.32647798742137</v>
      </c>
      <c r="E1258" s="21"/>
      <c r="G1258" s="23">
        <v>0.29359819999999998</v>
      </c>
      <c r="H1258" s="23">
        <v>-0.24103179999999999</v>
      </c>
    </row>
    <row r="1259" spans="1:8" x14ac:dyDescent="0.35">
      <c r="A1259" s="23">
        <v>2.4550780000000001E-2</v>
      </c>
      <c r="B1259" s="23">
        <f t="shared" si="38"/>
        <v>-0.248284</v>
      </c>
      <c r="C1259" s="24"/>
      <c r="D1259" s="24">
        <f t="shared" si="39"/>
        <v>-95.180628930817605</v>
      </c>
      <c r="E1259" s="21"/>
      <c r="G1259" s="23">
        <v>0.30267440000000001</v>
      </c>
      <c r="H1259" s="23">
        <v>-0.248284</v>
      </c>
    </row>
    <row r="1260" spans="1:8" x14ac:dyDescent="0.35">
      <c r="A1260" s="23">
        <v>2.4570310000000001E-2</v>
      </c>
      <c r="B1260" s="23">
        <f t="shared" si="38"/>
        <v>-0.25636880000000001</v>
      </c>
      <c r="C1260" s="24"/>
      <c r="D1260" s="24">
        <f t="shared" si="39"/>
        <v>-97.89776729559749</v>
      </c>
      <c r="E1260" s="21"/>
      <c r="G1260" s="23">
        <v>0.31131490000000001</v>
      </c>
      <c r="H1260" s="23">
        <v>-0.25636880000000001</v>
      </c>
    </row>
    <row r="1261" spans="1:8" x14ac:dyDescent="0.35">
      <c r="A1261" s="23">
        <v>2.4589840000000002E-2</v>
      </c>
      <c r="B1261" s="23">
        <f t="shared" si="38"/>
        <v>-0.26164700000000002</v>
      </c>
      <c r="C1261" s="24"/>
      <c r="D1261" s="24">
        <f t="shared" si="39"/>
        <v>-99.659308176100623</v>
      </c>
      <c r="E1261" s="21"/>
      <c r="G1261" s="23">
        <v>0.31691659999999999</v>
      </c>
      <c r="H1261" s="23">
        <v>-0.26164700000000002</v>
      </c>
    </row>
    <row r="1262" spans="1:8" x14ac:dyDescent="0.35">
      <c r="A1262" s="23">
        <v>2.4609369999999998E-2</v>
      </c>
      <c r="B1262" s="23">
        <f t="shared" si="38"/>
        <v>-0.2653818</v>
      </c>
      <c r="C1262" s="24"/>
      <c r="D1262" s="24">
        <f t="shared" si="39"/>
        <v>-101.09764150943396</v>
      </c>
      <c r="E1262" s="21"/>
      <c r="G1262" s="23">
        <v>0.32149050000000001</v>
      </c>
      <c r="H1262" s="23">
        <v>-0.2653818</v>
      </c>
    </row>
    <row r="1263" spans="1:8" x14ac:dyDescent="0.35">
      <c r="A1263" s="23">
        <v>2.462891E-2</v>
      </c>
      <c r="B1263" s="23">
        <f t="shared" si="38"/>
        <v>-0.26889570000000002</v>
      </c>
      <c r="C1263" s="24"/>
      <c r="D1263" s="24">
        <f t="shared" si="39"/>
        <v>-102.15053459119495</v>
      </c>
      <c r="E1263" s="21"/>
      <c r="G1263" s="23">
        <v>0.32483869999999998</v>
      </c>
      <c r="H1263" s="23">
        <v>-0.26889570000000002</v>
      </c>
    </row>
    <row r="1264" spans="1:8" x14ac:dyDescent="0.35">
      <c r="A1264" s="23">
        <v>2.4648440000000001E-2</v>
      </c>
      <c r="B1264" s="23">
        <f t="shared" si="38"/>
        <v>-0.27075700000000003</v>
      </c>
      <c r="C1264" s="24"/>
      <c r="D1264" s="24">
        <f t="shared" si="39"/>
        <v>-102.62836477987422</v>
      </c>
      <c r="E1264" s="21"/>
      <c r="G1264" s="23">
        <v>0.32635819999999999</v>
      </c>
      <c r="H1264" s="23">
        <v>-0.27075700000000003</v>
      </c>
    </row>
    <row r="1265" spans="1:8" x14ac:dyDescent="0.35">
      <c r="A1265" s="23">
        <v>2.4667970000000001E-2</v>
      </c>
      <c r="B1265" s="23">
        <f t="shared" si="38"/>
        <v>-0.27114470000000002</v>
      </c>
      <c r="C1265" s="24"/>
      <c r="D1265" s="24">
        <f t="shared" si="39"/>
        <v>-102.71836477987422</v>
      </c>
      <c r="E1265" s="21"/>
      <c r="G1265" s="23">
        <v>0.3266444</v>
      </c>
      <c r="H1265" s="23">
        <v>-0.27114470000000002</v>
      </c>
    </row>
    <row r="1266" spans="1:8" x14ac:dyDescent="0.35">
      <c r="A1266" s="23">
        <v>2.4687500000000001E-2</v>
      </c>
      <c r="B1266" s="23">
        <f t="shared" si="38"/>
        <v>-0.27160230000000002</v>
      </c>
      <c r="C1266" s="24"/>
      <c r="D1266" s="24">
        <f t="shared" si="39"/>
        <v>-102.77455974842765</v>
      </c>
      <c r="E1266" s="21"/>
      <c r="G1266" s="23">
        <v>0.32682309999999998</v>
      </c>
      <c r="H1266" s="23">
        <v>-0.27160230000000002</v>
      </c>
    </row>
    <row r="1267" spans="1:8" x14ac:dyDescent="0.35">
      <c r="A1267" s="23">
        <v>2.4707030000000001E-2</v>
      </c>
      <c r="B1267" s="23">
        <f t="shared" si="38"/>
        <v>-0.27264840000000001</v>
      </c>
      <c r="C1267" s="24"/>
      <c r="D1267" s="24">
        <f t="shared" si="39"/>
        <v>-102.92122641509434</v>
      </c>
      <c r="E1267" s="21"/>
      <c r="G1267" s="23">
        <v>0.32728950000000001</v>
      </c>
      <c r="H1267" s="23">
        <v>-0.27264840000000001</v>
      </c>
    </row>
    <row r="1268" spans="1:8" x14ac:dyDescent="0.35">
      <c r="A1268" s="23">
        <v>2.4726560000000002E-2</v>
      </c>
      <c r="B1268" s="23">
        <f t="shared" si="38"/>
        <v>-0.27116000000000001</v>
      </c>
      <c r="C1268" s="24"/>
      <c r="D1268" s="24">
        <f t="shared" si="39"/>
        <v>-102.17037735849057</v>
      </c>
      <c r="E1268" s="21"/>
      <c r="G1268" s="23">
        <v>0.32490180000000002</v>
      </c>
      <c r="H1268" s="23">
        <v>-0.27116000000000001</v>
      </c>
    </row>
    <row r="1269" spans="1:8" x14ac:dyDescent="0.35">
      <c r="A1269" s="23">
        <v>2.4746089999999998E-2</v>
      </c>
      <c r="B1269" s="23">
        <f t="shared" si="38"/>
        <v>-0.26677450000000003</v>
      </c>
      <c r="C1269" s="24"/>
      <c r="D1269" s="24">
        <f t="shared" si="39"/>
        <v>-100.42034591194967</v>
      </c>
      <c r="E1269" s="21"/>
      <c r="G1269" s="23">
        <v>0.31933669999999997</v>
      </c>
      <c r="H1269" s="23">
        <v>-0.26677450000000003</v>
      </c>
    </row>
    <row r="1270" spans="1:8" x14ac:dyDescent="0.35">
      <c r="A1270" s="23">
        <v>2.4765619999999999E-2</v>
      </c>
      <c r="B1270" s="23">
        <f t="shared" si="38"/>
        <v>-0.26273099999999999</v>
      </c>
      <c r="C1270" s="24"/>
      <c r="D1270" s="24">
        <f t="shared" si="39"/>
        <v>-98.607547169811312</v>
      </c>
      <c r="E1270" s="21"/>
      <c r="G1270" s="23">
        <v>0.31357200000000002</v>
      </c>
      <c r="H1270" s="23">
        <v>-0.26273099999999999</v>
      </c>
    </row>
    <row r="1271" spans="1:8" x14ac:dyDescent="0.35">
      <c r="A1271" s="23">
        <v>2.4785160000000001E-2</v>
      </c>
      <c r="B1271" s="23">
        <f t="shared" si="38"/>
        <v>-0.25808700000000001</v>
      </c>
      <c r="C1271" s="24"/>
      <c r="D1271" s="24">
        <f t="shared" si="39"/>
        <v>-96.517578616352182</v>
      </c>
      <c r="E1271" s="21"/>
      <c r="G1271" s="23">
        <v>0.30692589999999997</v>
      </c>
      <c r="H1271" s="23">
        <v>-0.25808700000000001</v>
      </c>
    </row>
    <row r="1272" spans="1:8" x14ac:dyDescent="0.35">
      <c r="A1272" s="23">
        <v>2.4804690000000001E-2</v>
      </c>
      <c r="B1272" s="23">
        <f t="shared" si="38"/>
        <v>-0.25217289999999998</v>
      </c>
      <c r="C1272" s="24"/>
      <c r="D1272" s="24">
        <f t="shared" si="39"/>
        <v>-94.078522012578603</v>
      </c>
      <c r="E1272" s="21"/>
      <c r="G1272" s="23">
        <v>0.29916969999999998</v>
      </c>
      <c r="H1272" s="23">
        <v>-0.25217289999999998</v>
      </c>
    </row>
    <row r="1273" spans="1:8" x14ac:dyDescent="0.35">
      <c r="A1273" s="23">
        <v>2.4824220000000001E-2</v>
      </c>
      <c r="B1273" s="23">
        <f t="shared" si="38"/>
        <v>-0.2467414</v>
      </c>
      <c r="C1273" s="24"/>
      <c r="D1273" s="24">
        <f t="shared" si="39"/>
        <v>-91.706289308176082</v>
      </c>
      <c r="E1273" s="21"/>
      <c r="G1273" s="23">
        <v>0.291626</v>
      </c>
      <c r="H1273" s="23">
        <v>-0.2467414</v>
      </c>
    </row>
    <row r="1274" spans="1:8" x14ac:dyDescent="0.35">
      <c r="A1274" s="23">
        <v>2.4843750000000001E-2</v>
      </c>
      <c r="B1274" s="23">
        <f t="shared" si="38"/>
        <v>-0.24044270000000001</v>
      </c>
      <c r="C1274" s="24"/>
      <c r="D1274" s="24">
        <f t="shared" si="39"/>
        <v>-88.849716981132076</v>
      </c>
      <c r="E1274" s="21"/>
      <c r="G1274" s="23">
        <v>0.28254210000000002</v>
      </c>
      <c r="H1274" s="23">
        <v>-0.24044270000000001</v>
      </c>
    </row>
    <row r="1275" spans="1:8" x14ac:dyDescent="0.35">
      <c r="A1275" s="23">
        <v>2.4863280000000001E-2</v>
      </c>
      <c r="B1275" s="23">
        <f t="shared" si="38"/>
        <v>-0.2317044</v>
      </c>
      <c r="C1275" s="24"/>
      <c r="D1275" s="24">
        <f t="shared" si="39"/>
        <v>-85.124276729559739</v>
      </c>
      <c r="E1275" s="21"/>
      <c r="G1275" s="23">
        <v>0.27069520000000002</v>
      </c>
      <c r="H1275" s="23">
        <v>-0.2317044</v>
      </c>
    </row>
    <row r="1276" spans="1:8" x14ac:dyDescent="0.35">
      <c r="A1276" s="23">
        <v>2.4882810000000002E-2</v>
      </c>
      <c r="B1276" s="23">
        <f t="shared" si="38"/>
        <v>-0.22146009999999999</v>
      </c>
      <c r="C1276" s="24"/>
      <c r="D1276" s="24">
        <f t="shared" si="39"/>
        <v>-80.894245283018876</v>
      </c>
      <c r="E1276" s="21"/>
      <c r="G1276" s="23">
        <v>0.25724370000000002</v>
      </c>
      <c r="H1276" s="23">
        <v>-0.22146009999999999</v>
      </c>
    </row>
    <row r="1277" spans="1:8" x14ac:dyDescent="0.35">
      <c r="A1277" s="23">
        <v>2.4902339999999999E-2</v>
      </c>
      <c r="B1277" s="23">
        <f t="shared" si="38"/>
        <v>-0.2110678</v>
      </c>
      <c r="C1277" s="24"/>
      <c r="D1277" s="24">
        <f t="shared" si="39"/>
        <v>-76.569150943396224</v>
      </c>
      <c r="E1277" s="21"/>
      <c r="G1277" s="23">
        <v>0.24348990000000001</v>
      </c>
      <c r="H1277" s="23">
        <v>-0.2110678</v>
      </c>
    </row>
    <row r="1278" spans="1:8" x14ac:dyDescent="0.35">
      <c r="A1278" s="23">
        <v>2.4921869999999999E-2</v>
      </c>
      <c r="B1278" s="23">
        <f t="shared" si="38"/>
        <v>-0.20097300000000001</v>
      </c>
      <c r="C1278" s="24"/>
      <c r="D1278" s="24">
        <f t="shared" si="39"/>
        <v>-72.344276729559738</v>
      </c>
      <c r="E1278" s="21"/>
      <c r="G1278" s="23">
        <v>0.2300548</v>
      </c>
      <c r="H1278" s="23">
        <v>-0.20097300000000001</v>
      </c>
    </row>
    <row r="1279" spans="1:8" x14ac:dyDescent="0.35">
      <c r="A1279" s="23">
        <v>2.4941410000000001E-2</v>
      </c>
      <c r="B1279" s="23">
        <f t="shared" si="38"/>
        <v>-0.1897944</v>
      </c>
      <c r="C1279" s="24"/>
      <c r="D1279" s="24">
        <f t="shared" si="39"/>
        <v>-67.778050314465403</v>
      </c>
      <c r="E1279" s="21"/>
      <c r="G1279" s="23">
        <v>0.21553420000000001</v>
      </c>
      <c r="H1279" s="23">
        <v>-0.1897944</v>
      </c>
    </row>
    <row r="1280" spans="1:8" x14ac:dyDescent="0.35">
      <c r="A1280" s="23">
        <v>2.4960940000000001E-2</v>
      </c>
      <c r="B1280" s="23">
        <f t="shared" si="38"/>
        <v>-0.17751169999999999</v>
      </c>
      <c r="C1280" s="24"/>
      <c r="D1280" s="24">
        <f t="shared" si="39"/>
        <v>-62.753993710691823</v>
      </c>
      <c r="E1280" s="21"/>
      <c r="G1280" s="23">
        <v>0.1995577</v>
      </c>
      <c r="H1280" s="23">
        <v>-0.17751169999999999</v>
      </c>
    </row>
    <row r="1281" spans="1:8" x14ac:dyDescent="0.35">
      <c r="A1281" s="23">
        <v>2.4980470000000001E-2</v>
      </c>
      <c r="B1281" s="23">
        <f t="shared" si="38"/>
        <v>-0.164824</v>
      </c>
      <c r="C1281" s="24"/>
      <c r="D1281" s="24">
        <f t="shared" si="39"/>
        <v>-57.497924528301887</v>
      </c>
      <c r="E1281" s="21"/>
      <c r="G1281" s="23">
        <v>0.18284339999999999</v>
      </c>
      <c r="H1281" s="23">
        <v>-0.164824</v>
      </c>
    </row>
    <row r="1282" spans="1:8" x14ac:dyDescent="0.35">
      <c r="A1282" s="23">
        <v>2.5000000000000001E-2</v>
      </c>
      <c r="B1282" s="23">
        <f t="shared" ref="B1282:B1345" si="40">H1282</f>
        <v>-0.15000240000000001</v>
      </c>
      <c r="C1282" s="24"/>
      <c r="D1282" s="24">
        <f t="shared" ref="D1282:D1345" si="41">G1282*-1000/3.18</f>
        <v>-51.556823899371068</v>
      </c>
      <c r="E1282" s="21"/>
      <c r="G1282" s="23">
        <v>0.1639507</v>
      </c>
      <c r="H1282" s="23">
        <v>-0.15000240000000001</v>
      </c>
    </row>
    <row r="1283" spans="1:8" x14ac:dyDescent="0.35">
      <c r="A1283" s="23">
        <v>2.5019530000000002E-2</v>
      </c>
      <c r="B1283" s="23">
        <f t="shared" si="40"/>
        <v>-0.13419980000000001</v>
      </c>
      <c r="C1283" s="24"/>
      <c r="D1283" s="24">
        <f t="shared" si="41"/>
        <v>-45.393930817610062</v>
      </c>
      <c r="E1283" s="21"/>
      <c r="G1283" s="23">
        <v>0.1443527</v>
      </c>
      <c r="H1283" s="23">
        <v>-0.13419980000000001</v>
      </c>
    </row>
    <row r="1284" spans="1:8" x14ac:dyDescent="0.35">
      <c r="A1284" s="23">
        <v>2.5039059999999998E-2</v>
      </c>
      <c r="B1284" s="23">
        <f t="shared" si="40"/>
        <v>-0.1199672</v>
      </c>
      <c r="C1284" s="24"/>
      <c r="D1284" s="24">
        <f t="shared" si="41"/>
        <v>-39.625157232704403</v>
      </c>
      <c r="E1284" s="21"/>
      <c r="G1284" s="23">
        <v>0.12600800000000001</v>
      </c>
      <c r="H1284" s="23">
        <v>-0.1199672</v>
      </c>
    </row>
    <row r="1285" spans="1:8" x14ac:dyDescent="0.35">
      <c r="A1285" s="23">
        <v>2.5058589999999999E-2</v>
      </c>
      <c r="B1285" s="23">
        <f t="shared" si="40"/>
        <v>-0.10489039999999999</v>
      </c>
      <c r="C1285" s="24"/>
      <c r="D1285" s="24">
        <f t="shared" si="41"/>
        <v>-33.483081761006282</v>
      </c>
      <c r="E1285" s="21"/>
      <c r="G1285" s="23">
        <v>0.10647619999999999</v>
      </c>
      <c r="H1285" s="23">
        <v>-0.10489039999999999</v>
      </c>
    </row>
    <row r="1286" spans="1:8" x14ac:dyDescent="0.35">
      <c r="A1286" s="23">
        <v>2.5078119999999999E-2</v>
      </c>
      <c r="B1286" s="23">
        <f t="shared" si="40"/>
        <v>-8.8636110000000004E-2</v>
      </c>
      <c r="C1286" s="24"/>
      <c r="D1286" s="24">
        <f t="shared" si="41"/>
        <v>-27.120493710691822</v>
      </c>
      <c r="E1286" s="21"/>
      <c r="G1286" s="23">
        <v>8.6243169999999994E-2</v>
      </c>
      <c r="H1286" s="23">
        <v>-8.8636110000000004E-2</v>
      </c>
    </row>
    <row r="1287" spans="1:8" x14ac:dyDescent="0.35">
      <c r="A1287" s="23">
        <v>2.5097660000000001E-2</v>
      </c>
      <c r="B1287" s="23">
        <f t="shared" si="40"/>
        <v>-7.3218790000000006E-2</v>
      </c>
      <c r="C1287" s="24"/>
      <c r="D1287" s="24">
        <f t="shared" si="41"/>
        <v>-20.928421383647798</v>
      </c>
      <c r="E1287" s="21"/>
      <c r="G1287" s="23">
        <v>6.6552379999999994E-2</v>
      </c>
      <c r="H1287" s="23">
        <v>-7.3218790000000006E-2</v>
      </c>
    </row>
    <row r="1288" spans="1:8" x14ac:dyDescent="0.35">
      <c r="A1288" s="23">
        <v>2.5117190000000001E-2</v>
      </c>
      <c r="B1288" s="23">
        <f t="shared" si="40"/>
        <v>-5.6921119999999999E-2</v>
      </c>
      <c r="C1288" s="24"/>
      <c r="D1288" s="24">
        <f t="shared" si="41"/>
        <v>-14.341150943396224</v>
      </c>
      <c r="E1288" s="21"/>
      <c r="G1288" s="23">
        <v>4.5604859999999997E-2</v>
      </c>
      <c r="H1288" s="23">
        <v>-5.6921119999999999E-2</v>
      </c>
    </row>
    <row r="1289" spans="1:8" x14ac:dyDescent="0.35">
      <c r="A1289" s="23">
        <v>2.5136720000000001E-2</v>
      </c>
      <c r="B1289" s="23">
        <f t="shared" si="40"/>
        <v>-4.004166E-2</v>
      </c>
      <c r="C1289" s="24"/>
      <c r="D1289" s="24">
        <f t="shared" si="41"/>
        <v>-7.7117955974842758</v>
      </c>
      <c r="E1289" s="21"/>
      <c r="G1289" s="23">
        <v>2.4523509999999998E-2</v>
      </c>
      <c r="H1289" s="23">
        <v>-4.004166E-2</v>
      </c>
    </row>
    <row r="1290" spans="1:8" x14ac:dyDescent="0.35">
      <c r="A1290" s="23">
        <v>2.5156250000000002E-2</v>
      </c>
      <c r="B1290" s="23">
        <f t="shared" si="40"/>
        <v>-2.3610280000000001E-2</v>
      </c>
      <c r="C1290" s="24"/>
      <c r="D1290" s="24">
        <f t="shared" si="41"/>
        <v>-1.2387830188679243</v>
      </c>
      <c r="E1290" s="21"/>
      <c r="G1290" s="23">
        <v>3.9393299999999996E-3</v>
      </c>
      <c r="H1290" s="23">
        <v>-2.3610280000000001E-2</v>
      </c>
    </row>
    <row r="1291" spans="1:8" x14ac:dyDescent="0.35">
      <c r="A1291" s="23">
        <v>2.5175779999999998E-2</v>
      </c>
      <c r="B1291" s="23">
        <f t="shared" si="40"/>
        <v>-6.9858359999999996E-3</v>
      </c>
      <c r="C1291" s="24"/>
      <c r="D1291" s="24">
        <f t="shared" si="41"/>
        <v>5.2786635220125779</v>
      </c>
      <c r="E1291" s="21"/>
      <c r="G1291" s="23">
        <v>-1.678615E-2</v>
      </c>
      <c r="H1291" s="23">
        <v>-6.9858359999999996E-3</v>
      </c>
    </row>
    <row r="1292" spans="1:8" x14ac:dyDescent="0.35">
      <c r="A1292" s="23">
        <v>2.5195309999999999E-2</v>
      </c>
      <c r="B1292" s="23">
        <f t="shared" si="40"/>
        <v>8.8704679999999994E-3</v>
      </c>
      <c r="C1292" s="24"/>
      <c r="D1292" s="24">
        <f t="shared" si="41"/>
        <v>11.481786163522013</v>
      </c>
      <c r="E1292" s="21"/>
      <c r="G1292" s="23">
        <v>-3.6512080000000002E-2</v>
      </c>
      <c r="H1292" s="23">
        <v>8.8704679999999994E-3</v>
      </c>
    </row>
    <row r="1293" spans="1:8" x14ac:dyDescent="0.35">
      <c r="A1293" s="23">
        <v>2.5214839999999999E-2</v>
      </c>
      <c r="B1293" s="23">
        <f t="shared" si="40"/>
        <v>2.4997289999999998E-2</v>
      </c>
      <c r="C1293" s="24"/>
      <c r="D1293" s="24">
        <f t="shared" si="41"/>
        <v>17.818820754716981</v>
      </c>
      <c r="E1293" s="21"/>
      <c r="G1293" s="23">
        <v>-5.6663850000000002E-2</v>
      </c>
      <c r="H1293" s="23">
        <v>2.4997289999999998E-2</v>
      </c>
    </row>
    <row r="1294" spans="1:8" x14ac:dyDescent="0.35">
      <c r="A1294" s="23">
        <v>2.5234369999999999E-2</v>
      </c>
      <c r="B1294" s="23">
        <f t="shared" si="40"/>
        <v>4.1747659999999999E-2</v>
      </c>
      <c r="C1294" s="24"/>
      <c r="D1294" s="24">
        <f t="shared" si="41"/>
        <v>24.310745283018864</v>
      </c>
      <c r="E1294" s="21"/>
      <c r="G1294" s="23">
        <v>-7.7308169999999996E-2</v>
      </c>
      <c r="H1294" s="23">
        <v>4.1747659999999999E-2</v>
      </c>
    </row>
    <row r="1295" spans="1:8" x14ac:dyDescent="0.35">
      <c r="A1295" s="23">
        <v>2.5253910000000001E-2</v>
      </c>
      <c r="B1295" s="23">
        <f t="shared" si="40"/>
        <v>5.7898749999999999E-2</v>
      </c>
      <c r="C1295" s="24"/>
      <c r="D1295" s="24">
        <f t="shared" si="41"/>
        <v>30.50646226415094</v>
      </c>
      <c r="E1295" s="21"/>
      <c r="G1295" s="23">
        <v>-9.7010550000000001E-2</v>
      </c>
      <c r="H1295" s="23">
        <v>5.7898749999999999E-2</v>
      </c>
    </row>
    <row r="1296" spans="1:8" x14ac:dyDescent="0.35">
      <c r="A1296" s="23">
        <v>2.5273440000000001E-2</v>
      </c>
      <c r="B1296" s="23">
        <f t="shared" si="40"/>
        <v>7.4389520000000001E-2</v>
      </c>
      <c r="C1296" s="24"/>
      <c r="D1296" s="24">
        <f t="shared" si="41"/>
        <v>36.848144654088053</v>
      </c>
      <c r="E1296" s="21"/>
      <c r="G1296" s="23">
        <v>-0.11717710000000001</v>
      </c>
      <c r="H1296" s="23">
        <v>7.4389520000000001E-2</v>
      </c>
    </row>
    <row r="1297" spans="1:8" x14ac:dyDescent="0.35">
      <c r="A1297" s="23">
        <v>2.5292970000000001E-2</v>
      </c>
      <c r="B1297" s="23">
        <f t="shared" si="40"/>
        <v>9.0085090000000007E-2</v>
      </c>
      <c r="C1297" s="24"/>
      <c r="D1297" s="24">
        <f t="shared" si="41"/>
        <v>42.789716981132074</v>
      </c>
      <c r="E1297" s="21"/>
      <c r="G1297" s="23">
        <v>-0.13607130000000001</v>
      </c>
      <c r="H1297" s="23">
        <v>9.0085090000000007E-2</v>
      </c>
    </row>
    <row r="1298" spans="1:8" x14ac:dyDescent="0.35">
      <c r="A1298" s="23">
        <v>2.5312500000000002E-2</v>
      </c>
      <c r="B1298" s="23">
        <f t="shared" si="40"/>
        <v>0.1045952</v>
      </c>
      <c r="C1298" s="24"/>
      <c r="D1298" s="24">
        <f t="shared" si="41"/>
        <v>48.260943396226409</v>
      </c>
      <c r="E1298" s="21"/>
      <c r="G1298" s="23">
        <v>-0.15346979999999999</v>
      </c>
      <c r="H1298" s="23">
        <v>0.1045952</v>
      </c>
    </row>
    <row r="1299" spans="1:8" x14ac:dyDescent="0.35">
      <c r="A1299" s="23">
        <v>2.5332029999999998E-2</v>
      </c>
      <c r="B1299" s="23">
        <f t="shared" si="40"/>
        <v>0.1195629</v>
      </c>
      <c r="C1299" s="24"/>
      <c r="D1299" s="24">
        <f t="shared" si="41"/>
        <v>53.943679245283015</v>
      </c>
      <c r="E1299" s="21"/>
      <c r="G1299" s="23">
        <v>-0.1715409</v>
      </c>
      <c r="H1299" s="23">
        <v>0.1195629</v>
      </c>
    </row>
    <row r="1300" spans="1:8" x14ac:dyDescent="0.35">
      <c r="A1300" s="23">
        <v>2.5351559999999999E-2</v>
      </c>
      <c r="B1300" s="23">
        <f t="shared" si="40"/>
        <v>0.13342010000000001</v>
      </c>
      <c r="C1300" s="24"/>
      <c r="D1300" s="24">
        <f t="shared" si="41"/>
        <v>59.065723270440252</v>
      </c>
      <c r="E1300" s="21"/>
      <c r="G1300" s="23">
        <v>-0.187829</v>
      </c>
      <c r="H1300" s="23">
        <v>0.13342010000000001</v>
      </c>
    </row>
    <row r="1301" spans="1:8" x14ac:dyDescent="0.35">
      <c r="A1301" s="23">
        <v>2.5371089999999999E-2</v>
      </c>
      <c r="B1301" s="23">
        <f t="shared" si="40"/>
        <v>0.14612449999999999</v>
      </c>
      <c r="C1301" s="24"/>
      <c r="D1301" s="24">
        <f t="shared" si="41"/>
        <v>63.982358490566035</v>
      </c>
      <c r="E1301" s="21"/>
      <c r="G1301" s="23">
        <v>-0.2034639</v>
      </c>
      <c r="H1301" s="23">
        <v>0.14612449999999999</v>
      </c>
    </row>
    <row r="1302" spans="1:8" x14ac:dyDescent="0.35">
      <c r="A1302" s="23">
        <v>2.5390619999999999E-2</v>
      </c>
      <c r="B1302" s="23">
        <f t="shared" si="40"/>
        <v>0.1594971</v>
      </c>
      <c r="C1302" s="24"/>
      <c r="D1302" s="24">
        <f t="shared" si="41"/>
        <v>69.185660377358488</v>
      </c>
      <c r="E1302" s="21"/>
      <c r="G1302" s="23">
        <v>-0.22001039999999999</v>
      </c>
      <c r="H1302" s="23">
        <v>0.1594971</v>
      </c>
    </row>
    <row r="1303" spans="1:8" x14ac:dyDescent="0.35">
      <c r="A1303" s="23">
        <v>2.5410160000000001E-2</v>
      </c>
      <c r="B1303" s="23">
        <f t="shared" si="40"/>
        <v>0.1719879</v>
      </c>
      <c r="C1303" s="24"/>
      <c r="D1303" s="24">
        <f t="shared" si="41"/>
        <v>73.752578616352196</v>
      </c>
      <c r="E1303" s="21"/>
      <c r="G1303" s="23">
        <v>-0.2345332</v>
      </c>
      <c r="H1303" s="23">
        <v>0.1719879</v>
      </c>
    </row>
    <row r="1304" spans="1:8" x14ac:dyDescent="0.35">
      <c r="A1304" s="23">
        <v>2.5429690000000001E-2</v>
      </c>
      <c r="B1304" s="23">
        <f t="shared" si="40"/>
        <v>0.18282329999999999</v>
      </c>
      <c r="C1304" s="24"/>
      <c r="D1304" s="24">
        <f t="shared" si="41"/>
        <v>77.941037735849051</v>
      </c>
      <c r="E1304" s="21"/>
      <c r="G1304" s="23">
        <v>-0.2478525</v>
      </c>
      <c r="H1304" s="23">
        <v>0.18282329999999999</v>
      </c>
    </row>
    <row r="1305" spans="1:8" x14ac:dyDescent="0.35">
      <c r="A1305" s="23">
        <v>2.5449220000000002E-2</v>
      </c>
      <c r="B1305" s="23">
        <f t="shared" si="40"/>
        <v>0.1927538</v>
      </c>
      <c r="C1305" s="24"/>
      <c r="D1305" s="24">
        <f t="shared" si="41"/>
        <v>81.773930817610065</v>
      </c>
      <c r="E1305" s="21"/>
      <c r="G1305" s="23">
        <v>-0.26004110000000003</v>
      </c>
      <c r="H1305" s="23">
        <v>0.1927538</v>
      </c>
    </row>
    <row r="1306" spans="1:8" x14ac:dyDescent="0.35">
      <c r="A1306" s="23">
        <v>2.5468749999999998E-2</v>
      </c>
      <c r="B1306" s="23">
        <f t="shared" si="40"/>
        <v>0.20180439999999999</v>
      </c>
      <c r="C1306" s="24"/>
      <c r="D1306" s="24">
        <f t="shared" si="41"/>
        <v>85.012861635220119</v>
      </c>
      <c r="E1306" s="21"/>
      <c r="G1306" s="23">
        <v>-0.2703409</v>
      </c>
      <c r="H1306" s="23">
        <v>0.20180439999999999</v>
      </c>
    </row>
    <row r="1307" spans="1:8" x14ac:dyDescent="0.35">
      <c r="A1307" s="23">
        <v>2.5488279999999999E-2</v>
      </c>
      <c r="B1307" s="23">
        <f t="shared" si="40"/>
        <v>0.21063100000000001</v>
      </c>
      <c r="C1307" s="24"/>
      <c r="D1307" s="24">
        <f t="shared" si="41"/>
        <v>88.36415094339624</v>
      </c>
      <c r="E1307" s="21"/>
      <c r="G1307" s="23">
        <v>-0.28099800000000003</v>
      </c>
      <c r="H1307" s="23">
        <v>0.21063100000000001</v>
      </c>
    </row>
    <row r="1308" spans="1:8" x14ac:dyDescent="0.35">
      <c r="A1308" s="23">
        <v>2.5507809999999999E-2</v>
      </c>
      <c r="B1308" s="23">
        <f t="shared" si="40"/>
        <v>0.218634</v>
      </c>
      <c r="C1308" s="24"/>
      <c r="D1308" s="24">
        <f t="shared" si="41"/>
        <v>91.389559748427672</v>
      </c>
      <c r="E1308" s="21"/>
      <c r="G1308" s="23">
        <v>-0.29061880000000001</v>
      </c>
      <c r="H1308" s="23">
        <v>0.218634</v>
      </c>
    </row>
    <row r="1309" spans="1:8" x14ac:dyDescent="0.35">
      <c r="A1309" s="23">
        <v>2.5527339999999999E-2</v>
      </c>
      <c r="B1309" s="23">
        <f t="shared" si="40"/>
        <v>0.22541629999999999</v>
      </c>
      <c r="C1309" s="24"/>
      <c r="D1309" s="24">
        <f t="shared" si="41"/>
        <v>93.883584905660371</v>
      </c>
      <c r="E1309" s="21"/>
      <c r="G1309" s="23">
        <v>-0.29854979999999998</v>
      </c>
      <c r="H1309" s="23">
        <v>0.22541629999999999</v>
      </c>
    </row>
    <row r="1310" spans="1:8" x14ac:dyDescent="0.35">
      <c r="A1310" s="23">
        <v>2.5546880000000001E-2</v>
      </c>
      <c r="B1310" s="23">
        <f t="shared" si="40"/>
        <v>0.2318347</v>
      </c>
      <c r="C1310" s="24"/>
      <c r="D1310" s="24">
        <f t="shared" si="41"/>
        <v>96.320408805031448</v>
      </c>
      <c r="E1310" s="21"/>
      <c r="G1310" s="23">
        <v>-0.30629889999999999</v>
      </c>
      <c r="H1310" s="23">
        <v>0.2318347</v>
      </c>
    </row>
    <row r="1311" spans="1:8" x14ac:dyDescent="0.35">
      <c r="A1311" s="23">
        <v>2.5566410000000001E-2</v>
      </c>
      <c r="B1311" s="23">
        <f t="shared" si="40"/>
        <v>0.2367282</v>
      </c>
      <c r="C1311" s="24"/>
      <c r="D1311" s="24">
        <f t="shared" si="41"/>
        <v>97.996635220125782</v>
      </c>
      <c r="E1311" s="21"/>
      <c r="G1311" s="23">
        <v>-0.3116293</v>
      </c>
      <c r="H1311" s="23">
        <v>0.2367282</v>
      </c>
    </row>
    <row r="1312" spans="1:8" x14ac:dyDescent="0.35">
      <c r="A1312" s="23">
        <v>2.5585940000000001E-2</v>
      </c>
      <c r="B1312" s="23">
        <f t="shared" si="40"/>
        <v>0.2402792</v>
      </c>
      <c r="C1312" s="24"/>
      <c r="D1312" s="24">
        <f t="shared" si="41"/>
        <v>99.1027358490566</v>
      </c>
      <c r="E1312" s="21"/>
      <c r="G1312" s="23">
        <v>-0.3151467</v>
      </c>
      <c r="H1312" s="23">
        <v>0.2402792</v>
      </c>
    </row>
    <row r="1313" spans="1:8" x14ac:dyDescent="0.35">
      <c r="A1313" s="23">
        <v>2.5605470000000002E-2</v>
      </c>
      <c r="B1313" s="23">
        <f t="shared" si="40"/>
        <v>0.24438570000000001</v>
      </c>
      <c r="C1313" s="24"/>
      <c r="D1313" s="24">
        <f t="shared" si="41"/>
        <v>100.52210691823899</v>
      </c>
      <c r="E1313" s="21"/>
      <c r="G1313" s="23">
        <v>-0.31966030000000001</v>
      </c>
      <c r="H1313" s="23">
        <v>0.24438570000000001</v>
      </c>
    </row>
    <row r="1314" spans="1:8" x14ac:dyDescent="0.35">
      <c r="A1314" s="23">
        <v>2.5624999999999998E-2</v>
      </c>
      <c r="B1314" s="23">
        <f t="shared" si="40"/>
        <v>0.24802270000000001</v>
      </c>
      <c r="C1314" s="24"/>
      <c r="D1314" s="24">
        <f t="shared" si="41"/>
        <v>101.62669811320754</v>
      </c>
      <c r="E1314" s="21"/>
      <c r="G1314" s="23">
        <v>-0.32317289999999999</v>
      </c>
      <c r="H1314" s="23">
        <v>0.24802270000000001</v>
      </c>
    </row>
    <row r="1315" spans="1:8" x14ac:dyDescent="0.35">
      <c r="A1315" s="23">
        <v>2.5644529999999999E-2</v>
      </c>
      <c r="B1315" s="23">
        <f t="shared" si="40"/>
        <v>0.25010130000000003</v>
      </c>
      <c r="C1315" s="24"/>
      <c r="D1315" s="24">
        <f t="shared" si="41"/>
        <v>102.04040880503143</v>
      </c>
      <c r="E1315" s="21"/>
      <c r="G1315" s="23">
        <v>-0.32448850000000001</v>
      </c>
      <c r="H1315" s="23">
        <v>0.25010130000000003</v>
      </c>
    </row>
    <row r="1316" spans="1:8" x14ac:dyDescent="0.35">
      <c r="A1316" s="23">
        <v>2.5664059999999999E-2</v>
      </c>
      <c r="B1316" s="23">
        <f t="shared" si="40"/>
        <v>0.2512257</v>
      </c>
      <c r="C1316" s="24"/>
      <c r="D1316" s="24">
        <f t="shared" si="41"/>
        <v>102.15588050314466</v>
      </c>
      <c r="E1316" s="21"/>
      <c r="G1316" s="23">
        <v>-0.32485570000000002</v>
      </c>
      <c r="H1316" s="23">
        <v>0.2512257</v>
      </c>
    </row>
    <row r="1317" spans="1:8" x14ac:dyDescent="0.35">
      <c r="A1317" s="23">
        <v>2.5683589999999999E-2</v>
      </c>
      <c r="B1317" s="23">
        <f t="shared" si="40"/>
        <v>0.25139270000000002</v>
      </c>
      <c r="C1317" s="24"/>
      <c r="D1317" s="24">
        <f t="shared" si="41"/>
        <v>101.72902515723271</v>
      </c>
      <c r="E1317" s="21"/>
      <c r="G1317" s="23">
        <v>-0.32349830000000002</v>
      </c>
      <c r="H1317" s="23">
        <v>0.25139270000000002</v>
      </c>
    </row>
    <row r="1318" spans="1:8" x14ac:dyDescent="0.35">
      <c r="A1318" s="23">
        <v>2.5703130000000001E-2</v>
      </c>
      <c r="B1318" s="23">
        <f t="shared" si="40"/>
        <v>0.2506641</v>
      </c>
      <c r="C1318" s="24"/>
      <c r="D1318" s="24">
        <f t="shared" si="41"/>
        <v>100.85971698113207</v>
      </c>
      <c r="E1318" s="21"/>
      <c r="G1318" s="23">
        <v>-0.32073390000000002</v>
      </c>
      <c r="H1318" s="23">
        <v>0.2506641</v>
      </c>
    </row>
    <row r="1319" spans="1:8" x14ac:dyDescent="0.35">
      <c r="A1319" s="23">
        <v>2.5722660000000001E-2</v>
      </c>
      <c r="B1319" s="23">
        <f t="shared" si="40"/>
        <v>0.24945529999999999</v>
      </c>
      <c r="C1319" s="24"/>
      <c r="D1319" s="24">
        <f t="shared" si="41"/>
        <v>99.892987421383637</v>
      </c>
      <c r="E1319" s="21"/>
      <c r="G1319" s="23">
        <v>-0.31765969999999999</v>
      </c>
      <c r="H1319" s="23">
        <v>0.24945529999999999</v>
      </c>
    </row>
    <row r="1320" spans="1:8" x14ac:dyDescent="0.35">
      <c r="A1320" s="23">
        <v>2.5742190000000002E-2</v>
      </c>
      <c r="B1320" s="23">
        <f t="shared" si="40"/>
        <v>0.24842590000000001</v>
      </c>
      <c r="C1320" s="24"/>
      <c r="D1320" s="24">
        <f t="shared" si="41"/>
        <v>98.786729559748437</v>
      </c>
      <c r="E1320" s="21"/>
      <c r="G1320" s="23">
        <v>-0.31414180000000003</v>
      </c>
      <c r="H1320" s="23">
        <v>0.24842590000000001</v>
      </c>
    </row>
    <row r="1321" spans="1:8" x14ac:dyDescent="0.35">
      <c r="A1321" s="23">
        <v>2.5761719999999998E-2</v>
      </c>
      <c r="B1321" s="23">
        <f t="shared" si="40"/>
        <v>0.24695329999999999</v>
      </c>
      <c r="C1321" s="24"/>
      <c r="D1321" s="24">
        <f t="shared" si="41"/>
        <v>97.401981132075477</v>
      </c>
      <c r="E1321" s="21"/>
      <c r="G1321" s="23">
        <v>-0.30973830000000002</v>
      </c>
      <c r="H1321" s="23">
        <v>0.24695329999999999</v>
      </c>
    </row>
    <row r="1322" spans="1:8" x14ac:dyDescent="0.35">
      <c r="A1322" s="23">
        <v>2.5781249999999999E-2</v>
      </c>
      <c r="B1322" s="23">
        <f t="shared" si="40"/>
        <v>0.24335570000000001</v>
      </c>
      <c r="C1322" s="24"/>
      <c r="D1322" s="24">
        <f t="shared" si="41"/>
        <v>95.335125786163502</v>
      </c>
      <c r="E1322" s="21"/>
      <c r="G1322" s="23">
        <v>-0.30316569999999998</v>
      </c>
      <c r="H1322" s="23">
        <v>0.24335570000000001</v>
      </c>
    </row>
    <row r="1323" spans="1:8" x14ac:dyDescent="0.35">
      <c r="A1323" s="23">
        <v>2.5800779999999999E-2</v>
      </c>
      <c r="B1323" s="23">
        <f t="shared" si="40"/>
        <v>0.23828589999999999</v>
      </c>
      <c r="C1323" s="24"/>
      <c r="D1323" s="24">
        <f t="shared" si="41"/>
        <v>92.683490566037733</v>
      </c>
      <c r="E1323" s="21"/>
      <c r="G1323" s="23">
        <v>-0.29473349999999998</v>
      </c>
      <c r="H1323" s="23">
        <v>0.23828589999999999</v>
      </c>
    </row>
    <row r="1324" spans="1:8" x14ac:dyDescent="0.35">
      <c r="A1324" s="23">
        <v>2.5820309999999999E-2</v>
      </c>
      <c r="B1324" s="23">
        <f t="shared" si="40"/>
        <v>0.2329301</v>
      </c>
      <c r="C1324" s="24"/>
      <c r="D1324" s="24">
        <f t="shared" si="41"/>
        <v>89.749088050314469</v>
      </c>
      <c r="E1324" s="21"/>
      <c r="G1324" s="23">
        <v>-0.28540209999999999</v>
      </c>
      <c r="H1324" s="23">
        <v>0.2329301</v>
      </c>
    </row>
    <row r="1325" spans="1:8" x14ac:dyDescent="0.35">
      <c r="A1325" s="23">
        <v>2.5839839999999999E-2</v>
      </c>
      <c r="B1325" s="23">
        <f t="shared" si="40"/>
        <v>0.22716919999999999</v>
      </c>
      <c r="C1325" s="24"/>
      <c r="D1325" s="24">
        <f t="shared" si="41"/>
        <v>86.685471698113204</v>
      </c>
      <c r="E1325" s="21"/>
      <c r="G1325" s="23">
        <v>-0.27565980000000001</v>
      </c>
      <c r="H1325" s="23">
        <v>0.22716919999999999</v>
      </c>
    </row>
    <row r="1326" spans="1:8" x14ac:dyDescent="0.35">
      <c r="A1326" s="23">
        <v>2.5859380000000001E-2</v>
      </c>
      <c r="B1326" s="23">
        <f t="shared" si="40"/>
        <v>0.22067349999999999</v>
      </c>
      <c r="C1326" s="24"/>
      <c r="D1326" s="24">
        <f t="shared" si="41"/>
        <v>83.611823899371075</v>
      </c>
      <c r="E1326" s="21"/>
      <c r="G1326" s="23">
        <v>-0.2658856</v>
      </c>
      <c r="H1326" s="23">
        <v>0.22067349999999999</v>
      </c>
    </row>
    <row r="1327" spans="1:8" x14ac:dyDescent="0.35">
      <c r="A1327" s="23">
        <v>2.5878910000000001E-2</v>
      </c>
      <c r="B1327" s="23">
        <f t="shared" si="40"/>
        <v>0.2135753</v>
      </c>
      <c r="C1327" s="24"/>
      <c r="D1327" s="24">
        <f t="shared" si="41"/>
        <v>80.092327044025168</v>
      </c>
      <c r="E1327" s="21"/>
      <c r="G1327" s="23">
        <v>-0.25469360000000002</v>
      </c>
      <c r="H1327" s="23">
        <v>0.2135753</v>
      </c>
    </row>
    <row r="1328" spans="1:8" x14ac:dyDescent="0.35">
      <c r="A1328" s="23">
        <v>2.5898439999999998E-2</v>
      </c>
      <c r="B1328" s="23">
        <f t="shared" si="40"/>
        <v>0.20594309999999999</v>
      </c>
      <c r="C1328" s="24"/>
      <c r="D1328" s="24">
        <f t="shared" si="41"/>
        <v>76.183113207547166</v>
      </c>
      <c r="E1328" s="21"/>
      <c r="G1328" s="23">
        <v>-0.24226230000000001</v>
      </c>
      <c r="H1328" s="23">
        <v>0.20594309999999999</v>
      </c>
    </row>
    <row r="1329" spans="1:8" x14ac:dyDescent="0.35">
      <c r="A1329" s="23">
        <v>2.5917969999999999E-2</v>
      </c>
      <c r="B1329" s="23">
        <f t="shared" si="40"/>
        <v>0.1969738</v>
      </c>
      <c r="C1329" s="24"/>
      <c r="D1329" s="24">
        <f t="shared" si="41"/>
        <v>71.839716981132071</v>
      </c>
      <c r="E1329" s="21"/>
      <c r="G1329" s="23">
        <v>-0.2284503</v>
      </c>
      <c r="H1329" s="23">
        <v>0.1969738</v>
      </c>
    </row>
    <row r="1330" spans="1:8" x14ac:dyDescent="0.35">
      <c r="A1330" s="23">
        <v>2.5937499999999999E-2</v>
      </c>
      <c r="B1330" s="23">
        <f t="shared" si="40"/>
        <v>0.18721579999999999</v>
      </c>
      <c r="C1330" s="24"/>
      <c r="D1330" s="24">
        <f t="shared" si="41"/>
        <v>66.784559748427668</v>
      </c>
      <c r="E1330" s="21"/>
      <c r="G1330" s="23">
        <v>-0.21237490000000001</v>
      </c>
      <c r="H1330" s="23">
        <v>0.18721579999999999</v>
      </c>
    </row>
    <row r="1331" spans="1:8" x14ac:dyDescent="0.35">
      <c r="A1331" s="23">
        <v>2.5957029999999999E-2</v>
      </c>
      <c r="B1331" s="23">
        <f t="shared" si="40"/>
        <v>0.17647370000000001</v>
      </c>
      <c r="C1331" s="24"/>
      <c r="D1331" s="24">
        <f t="shared" si="41"/>
        <v>62.057012578616344</v>
      </c>
      <c r="E1331" s="21"/>
      <c r="G1331" s="23">
        <v>-0.1973413</v>
      </c>
      <c r="H1331" s="23">
        <v>0.17647370000000001</v>
      </c>
    </row>
    <row r="1332" spans="1:8" x14ac:dyDescent="0.35">
      <c r="A1332" s="23">
        <v>2.5976559999999999E-2</v>
      </c>
      <c r="B1332" s="23">
        <f t="shared" si="40"/>
        <v>0.1656764</v>
      </c>
      <c r="C1332" s="24"/>
      <c r="D1332" s="24">
        <f t="shared" si="41"/>
        <v>57.557327044025158</v>
      </c>
      <c r="E1332" s="21"/>
      <c r="G1332" s="23">
        <v>-0.18303230000000001</v>
      </c>
      <c r="H1332" s="23">
        <v>0.1656764</v>
      </c>
    </row>
    <row r="1333" spans="1:8" x14ac:dyDescent="0.35">
      <c r="A1333" s="23">
        <v>2.5996089999999999E-2</v>
      </c>
      <c r="B1333" s="23">
        <f t="shared" si="40"/>
        <v>0.15567230000000001</v>
      </c>
      <c r="C1333" s="24"/>
      <c r="D1333" s="24">
        <f t="shared" si="41"/>
        <v>52.369905660377363</v>
      </c>
      <c r="E1333" s="21"/>
      <c r="G1333" s="23">
        <v>-0.1665363</v>
      </c>
      <c r="H1333" s="23">
        <v>0.15567230000000001</v>
      </c>
    </row>
    <row r="1334" spans="1:8" x14ac:dyDescent="0.35">
      <c r="A1334" s="23">
        <v>2.6015630000000001E-2</v>
      </c>
      <c r="B1334" s="23">
        <f t="shared" si="40"/>
        <v>0.1444781</v>
      </c>
      <c r="C1334" s="24"/>
      <c r="D1334" s="24">
        <f t="shared" si="41"/>
        <v>47.061037735849055</v>
      </c>
      <c r="E1334" s="21"/>
      <c r="G1334" s="23">
        <v>-0.14965410000000001</v>
      </c>
      <c r="H1334" s="23">
        <v>0.1444781</v>
      </c>
    </row>
    <row r="1335" spans="1:8" x14ac:dyDescent="0.35">
      <c r="A1335" s="23">
        <v>2.6035160000000002E-2</v>
      </c>
      <c r="B1335" s="23">
        <f t="shared" si="40"/>
        <v>0.13164600000000001</v>
      </c>
      <c r="C1335" s="24"/>
      <c r="D1335" s="24">
        <f t="shared" si="41"/>
        <v>41.49858490566038</v>
      </c>
      <c r="E1335" s="21"/>
      <c r="G1335" s="23">
        <v>-0.13196550000000001</v>
      </c>
      <c r="H1335" s="23">
        <v>0.13164600000000001</v>
      </c>
    </row>
    <row r="1336" spans="1:8" x14ac:dyDescent="0.35">
      <c r="A1336" s="23">
        <v>2.6054689999999998E-2</v>
      </c>
      <c r="B1336" s="23">
        <f t="shared" si="40"/>
        <v>0.11680939999999999</v>
      </c>
      <c r="C1336" s="24"/>
      <c r="D1336" s="24">
        <f t="shared" si="41"/>
        <v>35.388018867924529</v>
      </c>
      <c r="E1336" s="21"/>
      <c r="G1336" s="23">
        <v>-0.11253390000000001</v>
      </c>
      <c r="H1336" s="23">
        <v>0.11680939999999999</v>
      </c>
    </row>
    <row r="1337" spans="1:8" x14ac:dyDescent="0.35">
      <c r="A1337" s="23">
        <v>2.6074219999999999E-2</v>
      </c>
      <c r="B1337" s="23">
        <f t="shared" si="40"/>
        <v>0.1026203</v>
      </c>
      <c r="C1337" s="24"/>
      <c r="D1337" s="24">
        <f t="shared" si="41"/>
        <v>29.448632075471696</v>
      </c>
      <c r="E1337" s="21"/>
      <c r="G1337" s="23">
        <v>-9.3646649999999998E-2</v>
      </c>
      <c r="H1337" s="23">
        <v>0.1026203</v>
      </c>
    </row>
    <row r="1338" spans="1:8" x14ac:dyDescent="0.35">
      <c r="A1338" s="23">
        <v>2.6093749999999999E-2</v>
      </c>
      <c r="B1338" s="23">
        <f t="shared" si="40"/>
        <v>9.0999029999999995E-2</v>
      </c>
      <c r="C1338" s="24"/>
      <c r="D1338" s="24">
        <f t="shared" si="41"/>
        <v>23.723852201257863</v>
      </c>
      <c r="E1338" s="21"/>
      <c r="G1338" s="23">
        <v>-7.5441850000000005E-2</v>
      </c>
      <c r="H1338" s="23">
        <v>9.0999029999999995E-2</v>
      </c>
    </row>
    <row r="1339" spans="1:8" x14ac:dyDescent="0.35">
      <c r="A1339" s="23">
        <v>2.6113279999999999E-2</v>
      </c>
      <c r="B1339" s="23">
        <f t="shared" si="40"/>
        <v>7.9317879999999993E-2</v>
      </c>
      <c r="C1339" s="24"/>
      <c r="D1339" s="24">
        <f t="shared" si="41"/>
        <v>18.032386792452829</v>
      </c>
      <c r="E1339" s="21"/>
      <c r="G1339" s="23">
        <v>-5.7342990000000003E-2</v>
      </c>
      <c r="H1339" s="23">
        <v>7.9317879999999993E-2</v>
      </c>
    </row>
    <row r="1340" spans="1:8" x14ac:dyDescent="0.35">
      <c r="A1340" s="23">
        <v>2.6132809999999999E-2</v>
      </c>
      <c r="B1340" s="23">
        <f t="shared" si="40"/>
        <v>6.6680530000000002E-2</v>
      </c>
      <c r="C1340" s="24"/>
      <c r="D1340" s="24">
        <f t="shared" si="41"/>
        <v>11.968886792452828</v>
      </c>
      <c r="E1340" s="21"/>
      <c r="G1340" s="23">
        <v>-3.8061060000000001E-2</v>
      </c>
      <c r="H1340" s="23">
        <v>6.6680530000000002E-2</v>
      </c>
    </row>
    <row r="1341" spans="1:8" x14ac:dyDescent="0.35">
      <c r="A1341" s="23">
        <v>2.615234E-2</v>
      </c>
      <c r="B1341" s="23">
        <f t="shared" si="40"/>
        <v>5.2441309999999998E-2</v>
      </c>
      <c r="C1341" s="24"/>
      <c r="D1341" s="24">
        <f t="shared" si="41"/>
        <v>5.3244528301886795</v>
      </c>
      <c r="E1341" s="21"/>
      <c r="G1341" s="23">
        <v>-1.6931760000000001E-2</v>
      </c>
      <c r="H1341" s="23">
        <v>5.2441309999999998E-2</v>
      </c>
    </row>
    <row r="1342" spans="1:8" x14ac:dyDescent="0.35">
      <c r="A1342" s="23">
        <v>2.6171880000000002E-2</v>
      </c>
      <c r="B1342" s="23">
        <f t="shared" si="40"/>
        <v>3.7857639999999998E-2</v>
      </c>
      <c r="C1342" s="24"/>
      <c r="D1342" s="24">
        <f t="shared" si="41"/>
        <v>-0.87704245283018856</v>
      </c>
      <c r="E1342" s="21"/>
      <c r="G1342" s="23">
        <v>2.7889949999999998E-3</v>
      </c>
      <c r="H1342" s="23">
        <v>3.7857639999999998E-2</v>
      </c>
    </row>
    <row r="1343" spans="1:8" x14ac:dyDescent="0.35">
      <c r="A1343" s="23">
        <v>2.6191409999999998E-2</v>
      </c>
      <c r="B1343" s="23">
        <f t="shared" si="40"/>
        <v>2.42414E-2</v>
      </c>
      <c r="C1343" s="24"/>
      <c r="D1343" s="24">
        <f t="shared" si="41"/>
        <v>-6.9229654088050321</v>
      </c>
      <c r="E1343" s="21"/>
      <c r="G1343" s="23">
        <v>2.2015030000000001E-2</v>
      </c>
      <c r="H1343" s="23">
        <v>2.42414E-2</v>
      </c>
    </row>
    <row r="1344" spans="1:8" x14ac:dyDescent="0.35">
      <c r="A1344" s="23">
        <v>2.6210939999999999E-2</v>
      </c>
      <c r="B1344" s="23">
        <f t="shared" si="40"/>
        <v>7.6770730000000004E-3</v>
      </c>
      <c r="C1344" s="24"/>
      <c r="D1344" s="24">
        <f t="shared" si="41"/>
        <v>-13.57709433962264</v>
      </c>
      <c r="E1344" s="21"/>
      <c r="G1344" s="23">
        <v>4.3175159999999997E-2</v>
      </c>
      <c r="H1344" s="23">
        <v>7.6770730000000004E-3</v>
      </c>
    </row>
    <row r="1345" spans="1:8" x14ac:dyDescent="0.35">
      <c r="A1345" s="23">
        <v>2.6230469999999999E-2</v>
      </c>
      <c r="B1345" s="23">
        <f t="shared" si="40"/>
        <v>-1.0864179999999999E-2</v>
      </c>
      <c r="C1345" s="24"/>
      <c r="D1345" s="24">
        <f t="shared" si="41"/>
        <v>-19.776037735849052</v>
      </c>
      <c r="E1345" s="21"/>
      <c r="G1345" s="23">
        <v>6.2887799999999994E-2</v>
      </c>
      <c r="H1345" s="23">
        <v>-1.0864179999999999E-2</v>
      </c>
    </row>
    <row r="1346" spans="1:8" x14ac:dyDescent="0.35">
      <c r="A1346" s="23">
        <v>2.6249999999999999E-2</v>
      </c>
      <c r="B1346" s="23">
        <f t="shared" ref="B1346:B1409" si="42">H1346</f>
        <v>-2.7188460000000001E-2</v>
      </c>
      <c r="C1346" s="24"/>
      <c r="D1346" s="24">
        <f t="shared" ref="D1346:D1409" si="43">G1346*-1000/3.18</f>
        <v>-25.40346855345912</v>
      </c>
      <c r="E1346" s="21"/>
      <c r="G1346" s="23">
        <v>8.0783030000000006E-2</v>
      </c>
      <c r="H1346" s="23">
        <v>-2.7188460000000001E-2</v>
      </c>
    </row>
    <row r="1347" spans="1:8" x14ac:dyDescent="0.35">
      <c r="A1347" s="23">
        <v>2.6269529999999999E-2</v>
      </c>
      <c r="B1347" s="23">
        <f t="shared" si="42"/>
        <v>-4.507539E-2</v>
      </c>
      <c r="C1347" s="24"/>
      <c r="D1347" s="24">
        <f t="shared" si="43"/>
        <v>-31.273757861635215</v>
      </c>
      <c r="E1347" s="21"/>
      <c r="G1347" s="23">
        <v>9.9450549999999999E-2</v>
      </c>
      <c r="H1347" s="23">
        <v>-4.507539E-2</v>
      </c>
    </row>
    <row r="1348" spans="1:8" x14ac:dyDescent="0.35">
      <c r="A1348" s="23">
        <v>2.628906E-2</v>
      </c>
      <c r="B1348" s="23">
        <f t="shared" si="42"/>
        <v>-6.5803810000000004E-2</v>
      </c>
      <c r="C1348" s="24"/>
      <c r="D1348" s="24">
        <f t="shared" si="43"/>
        <v>-37.101100628930816</v>
      </c>
      <c r="E1348" s="21"/>
      <c r="G1348" s="23">
        <v>0.1179815</v>
      </c>
      <c r="H1348" s="23">
        <v>-6.5803810000000004E-2</v>
      </c>
    </row>
    <row r="1349" spans="1:8" x14ac:dyDescent="0.35">
      <c r="A1349" s="23">
        <v>2.630859E-2</v>
      </c>
      <c r="B1349" s="23">
        <f t="shared" si="42"/>
        <v>-8.5235099999999994E-2</v>
      </c>
      <c r="C1349" s="24"/>
      <c r="D1349" s="24">
        <f t="shared" si="43"/>
        <v>-42.847578616352202</v>
      </c>
      <c r="E1349" s="21"/>
      <c r="G1349" s="23">
        <v>0.1362553</v>
      </c>
      <c r="H1349" s="23">
        <v>-8.5235099999999994E-2</v>
      </c>
    </row>
    <row r="1350" spans="1:8" x14ac:dyDescent="0.35">
      <c r="A1350" s="23">
        <v>2.6328130000000002E-2</v>
      </c>
      <c r="B1350" s="23">
        <f t="shared" si="42"/>
        <v>-0.10373789999999999</v>
      </c>
      <c r="C1350" s="24"/>
      <c r="D1350" s="24">
        <f t="shared" si="43"/>
        <v>-48.560251572327033</v>
      </c>
      <c r="E1350" s="21"/>
      <c r="G1350" s="23">
        <v>0.15442159999999999</v>
      </c>
      <c r="H1350" s="23">
        <v>-0.10373789999999999</v>
      </c>
    </row>
    <row r="1351" spans="1:8" x14ac:dyDescent="0.35">
      <c r="A1351" s="23">
        <v>2.6347659999999998E-2</v>
      </c>
      <c r="B1351" s="23">
        <f t="shared" si="42"/>
        <v>-0.1226144</v>
      </c>
      <c r="C1351" s="24"/>
      <c r="D1351" s="24">
        <f t="shared" si="43"/>
        <v>-53.928553459119492</v>
      </c>
      <c r="E1351" s="21"/>
      <c r="G1351" s="23">
        <v>0.1714928</v>
      </c>
      <c r="H1351" s="23">
        <v>-0.1226144</v>
      </c>
    </row>
    <row r="1352" spans="1:8" x14ac:dyDescent="0.35">
      <c r="A1352" s="23">
        <v>2.6367189999999999E-2</v>
      </c>
      <c r="B1352" s="23">
        <f t="shared" si="42"/>
        <v>-0.14109160000000001</v>
      </c>
      <c r="C1352" s="24"/>
      <c r="D1352" s="24">
        <f t="shared" si="43"/>
        <v>-59.169559748427666</v>
      </c>
      <c r="E1352" s="21"/>
      <c r="G1352" s="23">
        <v>0.1881592</v>
      </c>
      <c r="H1352" s="23">
        <v>-0.14109160000000001</v>
      </c>
    </row>
    <row r="1353" spans="1:8" x14ac:dyDescent="0.35">
      <c r="A1353" s="23">
        <v>2.6386719999999999E-2</v>
      </c>
      <c r="B1353" s="23">
        <f t="shared" si="42"/>
        <v>-0.15750549999999999</v>
      </c>
      <c r="C1353" s="24"/>
      <c r="D1353" s="24">
        <f t="shared" si="43"/>
        <v>-63.996069182389938</v>
      </c>
      <c r="E1353" s="21"/>
      <c r="G1353" s="23">
        <v>0.20350750000000001</v>
      </c>
      <c r="H1353" s="23">
        <v>-0.15750549999999999</v>
      </c>
    </row>
    <row r="1354" spans="1:8" x14ac:dyDescent="0.35">
      <c r="A1354" s="23">
        <v>2.6406249999999999E-2</v>
      </c>
      <c r="B1354" s="23">
        <f t="shared" si="42"/>
        <v>-0.17218990000000001</v>
      </c>
      <c r="C1354" s="24"/>
      <c r="D1354" s="24">
        <f t="shared" si="43"/>
        <v>-68.654025157232709</v>
      </c>
      <c r="E1354" s="21"/>
      <c r="G1354" s="23">
        <v>0.21831980000000001</v>
      </c>
      <c r="H1354" s="23">
        <v>-0.17218990000000001</v>
      </c>
    </row>
    <row r="1355" spans="1:8" x14ac:dyDescent="0.35">
      <c r="A1355" s="23">
        <v>2.6425779999999999E-2</v>
      </c>
      <c r="B1355" s="23">
        <f t="shared" si="42"/>
        <v>-0.18767130000000001</v>
      </c>
      <c r="C1355" s="24"/>
      <c r="D1355" s="24">
        <f t="shared" si="43"/>
        <v>-73.61858490566037</v>
      </c>
      <c r="E1355" s="21"/>
      <c r="G1355" s="23">
        <v>0.23410710000000001</v>
      </c>
      <c r="H1355" s="23">
        <v>-0.18767130000000001</v>
      </c>
    </row>
    <row r="1356" spans="1:8" x14ac:dyDescent="0.35">
      <c r="A1356" s="23">
        <v>2.644531E-2</v>
      </c>
      <c r="B1356" s="23">
        <f t="shared" si="42"/>
        <v>-0.20047770000000001</v>
      </c>
      <c r="C1356" s="24"/>
      <c r="D1356" s="24">
        <f t="shared" si="43"/>
        <v>-77.762893081761007</v>
      </c>
      <c r="E1356" s="21"/>
      <c r="G1356" s="23">
        <v>0.24728600000000001</v>
      </c>
      <c r="H1356" s="23">
        <v>-0.20047770000000001</v>
      </c>
    </row>
    <row r="1357" spans="1:8" x14ac:dyDescent="0.35">
      <c r="A1357" s="23">
        <v>2.646484E-2</v>
      </c>
      <c r="B1357" s="23">
        <f t="shared" si="42"/>
        <v>-0.20983260000000001</v>
      </c>
      <c r="C1357" s="24"/>
      <c r="D1357" s="24">
        <f t="shared" si="43"/>
        <v>-81.327358490566027</v>
      </c>
      <c r="E1357" s="21"/>
      <c r="G1357" s="23">
        <v>0.25862099999999999</v>
      </c>
      <c r="H1357" s="23">
        <v>-0.20983260000000001</v>
      </c>
    </row>
    <row r="1358" spans="1:8" x14ac:dyDescent="0.35">
      <c r="A1358" s="23">
        <v>2.6484379999999998E-2</v>
      </c>
      <c r="B1358" s="23">
        <f t="shared" si="42"/>
        <v>-0.2205889</v>
      </c>
      <c r="C1358" s="24"/>
      <c r="D1358" s="24">
        <f t="shared" si="43"/>
        <v>-85.260691823899379</v>
      </c>
      <c r="E1358" s="21"/>
      <c r="G1358" s="23">
        <v>0.27112900000000001</v>
      </c>
      <c r="H1358" s="23">
        <v>-0.2205889</v>
      </c>
    </row>
    <row r="1359" spans="1:8" x14ac:dyDescent="0.35">
      <c r="A1359" s="23">
        <v>2.6503909999999999E-2</v>
      </c>
      <c r="B1359" s="23">
        <f t="shared" si="42"/>
        <v>-0.23062530000000001</v>
      </c>
      <c r="C1359" s="24"/>
      <c r="D1359" s="24">
        <f t="shared" si="43"/>
        <v>-88.657987421383652</v>
      </c>
      <c r="E1359" s="21"/>
      <c r="G1359" s="23">
        <v>0.28193240000000003</v>
      </c>
      <c r="H1359" s="23">
        <v>-0.23062530000000001</v>
      </c>
    </row>
    <row r="1360" spans="1:8" x14ac:dyDescent="0.35">
      <c r="A1360" s="23">
        <v>2.6523439999999999E-2</v>
      </c>
      <c r="B1360" s="23">
        <f t="shared" si="42"/>
        <v>-0.238207</v>
      </c>
      <c r="C1360" s="24"/>
      <c r="D1360" s="24">
        <f t="shared" si="43"/>
        <v>-91.44845911949686</v>
      </c>
      <c r="E1360" s="21"/>
      <c r="G1360" s="23">
        <v>0.29080610000000001</v>
      </c>
      <c r="H1360" s="23">
        <v>-0.238207</v>
      </c>
    </row>
    <row r="1361" spans="1:8" x14ac:dyDescent="0.35">
      <c r="A1361" s="23">
        <v>2.6542969999999999E-2</v>
      </c>
      <c r="B1361" s="23">
        <f t="shared" si="42"/>
        <v>-0.24583730000000001</v>
      </c>
      <c r="C1361" s="24"/>
      <c r="D1361" s="24">
        <f t="shared" si="43"/>
        <v>-94.243144654088042</v>
      </c>
      <c r="E1361" s="21"/>
      <c r="G1361" s="23">
        <v>0.29969319999999999</v>
      </c>
      <c r="H1361" s="23">
        <v>-0.24583730000000001</v>
      </c>
    </row>
    <row r="1362" spans="1:8" x14ac:dyDescent="0.35">
      <c r="A1362" s="23">
        <v>2.6562499999999999E-2</v>
      </c>
      <c r="B1362" s="23">
        <f t="shared" si="42"/>
        <v>-0.25322529999999999</v>
      </c>
      <c r="C1362" s="24"/>
      <c r="D1362" s="24">
        <f t="shared" si="43"/>
        <v>-96.716698113207542</v>
      </c>
      <c r="E1362" s="21"/>
      <c r="G1362" s="23">
        <v>0.30755909999999997</v>
      </c>
      <c r="H1362" s="23">
        <v>-0.25322529999999999</v>
      </c>
    </row>
    <row r="1363" spans="1:8" x14ac:dyDescent="0.35">
      <c r="A1363" s="23">
        <v>2.658203E-2</v>
      </c>
      <c r="B1363" s="23">
        <f t="shared" si="42"/>
        <v>-0.25917030000000002</v>
      </c>
      <c r="C1363" s="24"/>
      <c r="D1363" s="24">
        <f t="shared" si="43"/>
        <v>-98.766132075471674</v>
      </c>
      <c r="E1363" s="21"/>
      <c r="G1363" s="23">
        <v>0.31407629999999997</v>
      </c>
      <c r="H1363" s="23">
        <v>-0.25917030000000002</v>
      </c>
    </row>
    <row r="1364" spans="1:8" x14ac:dyDescent="0.35">
      <c r="A1364" s="23">
        <v>2.660156E-2</v>
      </c>
      <c r="B1364" s="23">
        <f t="shared" si="42"/>
        <v>-0.2636558</v>
      </c>
      <c r="C1364" s="24"/>
      <c r="D1364" s="24">
        <f t="shared" si="43"/>
        <v>-100.41380503144653</v>
      </c>
      <c r="E1364" s="21"/>
      <c r="G1364" s="23">
        <v>0.31931589999999999</v>
      </c>
      <c r="H1364" s="23">
        <v>-0.2636558</v>
      </c>
    </row>
    <row r="1365" spans="1:8" x14ac:dyDescent="0.35">
      <c r="A1365" s="23">
        <v>2.662109E-2</v>
      </c>
      <c r="B1365" s="23">
        <f t="shared" si="42"/>
        <v>-0.26741779999999998</v>
      </c>
      <c r="C1365" s="24"/>
      <c r="D1365" s="24">
        <f t="shared" si="43"/>
        <v>-101.62534591194967</v>
      </c>
      <c r="E1365" s="21"/>
      <c r="G1365" s="23">
        <v>0.32316859999999997</v>
      </c>
      <c r="H1365" s="23">
        <v>-0.26741779999999998</v>
      </c>
    </row>
    <row r="1366" spans="1:8" x14ac:dyDescent="0.35">
      <c r="A1366" s="23">
        <v>2.6640629999999998E-2</v>
      </c>
      <c r="B1366" s="23">
        <f t="shared" si="42"/>
        <v>-0.27013470000000001</v>
      </c>
      <c r="C1366" s="24"/>
      <c r="D1366" s="24">
        <f t="shared" si="43"/>
        <v>-102.39339622641509</v>
      </c>
      <c r="E1366" s="21"/>
      <c r="G1366" s="23">
        <v>0.32561099999999998</v>
      </c>
      <c r="H1366" s="23">
        <v>-0.27013470000000001</v>
      </c>
    </row>
    <row r="1367" spans="1:8" x14ac:dyDescent="0.35">
      <c r="A1367" s="23">
        <v>2.6660159999999999E-2</v>
      </c>
      <c r="B1367" s="23">
        <f t="shared" si="42"/>
        <v>-0.27093030000000001</v>
      </c>
      <c r="C1367" s="24"/>
      <c r="D1367" s="24">
        <f t="shared" si="43"/>
        <v>-102.61842767295599</v>
      </c>
      <c r="E1367" s="21"/>
      <c r="G1367" s="23">
        <v>0.32632660000000002</v>
      </c>
      <c r="H1367" s="23">
        <v>-0.27093030000000001</v>
      </c>
    </row>
    <row r="1368" spans="1:8" x14ac:dyDescent="0.35">
      <c r="A1368" s="23">
        <v>2.6679689999999999E-2</v>
      </c>
      <c r="B1368" s="23">
        <f t="shared" si="42"/>
        <v>-0.27156130000000001</v>
      </c>
      <c r="C1368" s="24"/>
      <c r="D1368" s="24">
        <f t="shared" si="43"/>
        <v>-102.77182389937106</v>
      </c>
      <c r="E1368" s="21"/>
      <c r="G1368" s="23">
        <v>0.3268144</v>
      </c>
      <c r="H1368" s="23">
        <v>-0.27156130000000001</v>
      </c>
    </row>
    <row r="1369" spans="1:8" x14ac:dyDescent="0.35">
      <c r="A1369" s="23">
        <v>2.6699219999999999E-2</v>
      </c>
      <c r="B1369" s="23">
        <f t="shared" si="42"/>
        <v>-0.27242899999999998</v>
      </c>
      <c r="C1369" s="24"/>
      <c r="D1369" s="24">
        <f t="shared" si="43"/>
        <v>-102.88462264150942</v>
      </c>
      <c r="E1369" s="21"/>
      <c r="G1369" s="23">
        <v>0.32717309999999999</v>
      </c>
      <c r="H1369" s="23">
        <v>-0.27242899999999998</v>
      </c>
    </row>
    <row r="1370" spans="1:8" x14ac:dyDescent="0.35">
      <c r="A1370" s="23">
        <v>2.6718749999999999E-2</v>
      </c>
      <c r="B1370" s="23">
        <f t="shared" si="42"/>
        <v>-0.2711249</v>
      </c>
      <c r="C1370" s="24"/>
      <c r="D1370" s="24">
        <f t="shared" si="43"/>
        <v>-102.26616352201259</v>
      </c>
      <c r="E1370" s="21"/>
      <c r="G1370" s="23">
        <v>0.32520640000000001</v>
      </c>
      <c r="H1370" s="23">
        <v>-0.2711249</v>
      </c>
    </row>
    <row r="1371" spans="1:8" x14ac:dyDescent="0.35">
      <c r="A1371" s="23">
        <v>2.673828E-2</v>
      </c>
      <c r="B1371" s="23">
        <f t="shared" si="42"/>
        <v>-0.26823789999999997</v>
      </c>
      <c r="C1371" s="24"/>
      <c r="D1371" s="24">
        <f t="shared" si="43"/>
        <v>-101.07713836477988</v>
      </c>
      <c r="E1371" s="21"/>
      <c r="G1371" s="23">
        <v>0.32142530000000002</v>
      </c>
      <c r="H1371" s="23">
        <v>-0.26823789999999997</v>
      </c>
    </row>
    <row r="1372" spans="1:8" x14ac:dyDescent="0.35">
      <c r="A1372" s="23">
        <v>2.675781E-2</v>
      </c>
      <c r="B1372" s="23">
        <f t="shared" si="42"/>
        <v>-0.26472519999999999</v>
      </c>
      <c r="C1372" s="24"/>
      <c r="D1372" s="24">
        <f t="shared" si="43"/>
        <v>-99.448207547169801</v>
      </c>
      <c r="E1372" s="21"/>
      <c r="G1372" s="23">
        <v>0.31624530000000001</v>
      </c>
      <c r="H1372" s="23">
        <v>-0.26472519999999999</v>
      </c>
    </row>
    <row r="1373" spans="1:8" x14ac:dyDescent="0.35">
      <c r="A1373" s="23">
        <v>2.677734E-2</v>
      </c>
      <c r="B1373" s="23">
        <f t="shared" si="42"/>
        <v>-0.25970310000000002</v>
      </c>
      <c r="C1373" s="24"/>
      <c r="D1373" s="24">
        <f t="shared" si="43"/>
        <v>-97.213050314465406</v>
      </c>
      <c r="E1373" s="21"/>
      <c r="G1373" s="23">
        <v>0.30913750000000001</v>
      </c>
      <c r="H1373" s="23">
        <v>-0.25970310000000002</v>
      </c>
    </row>
    <row r="1374" spans="1:8" x14ac:dyDescent="0.35">
      <c r="A1374" s="23">
        <v>2.6796879999999999E-2</v>
      </c>
      <c r="B1374" s="23">
        <f t="shared" si="42"/>
        <v>-0.25438319999999998</v>
      </c>
      <c r="C1374" s="24"/>
      <c r="D1374" s="24">
        <f t="shared" si="43"/>
        <v>-94.983930817610059</v>
      </c>
      <c r="E1374" s="21"/>
      <c r="G1374" s="23">
        <v>0.30204890000000001</v>
      </c>
      <c r="H1374" s="23">
        <v>-0.25438319999999998</v>
      </c>
    </row>
    <row r="1375" spans="1:8" x14ac:dyDescent="0.35">
      <c r="A1375" s="23">
        <v>2.6816409999999999E-2</v>
      </c>
      <c r="B1375" s="23">
        <f t="shared" si="42"/>
        <v>-0.24924170000000001</v>
      </c>
      <c r="C1375" s="24"/>
      <c r="D1375" s="24">
        <f t="shared" si="43"/>
        <v>-92.740754716981115</v>
      </c>
      <c r="E1375" s="21"/>
      <c r="G1375" s="23">
        <v>0.2949156</v>
      </c>
      <c r="H1375" s="23">
        <v>-0.24924170000000001</v>
      </c>
    </row>
    <row r="1376" spans="1:8" x14ac:dyDescent="0.35">
      <c r="A1376" s="23">
        <v>2.6835939999999999E-2</v>
      </c>
      <c r="B1376" s="23">
        <f t="shared" si="42"/>
        <v>-0.2427735</v>
      </c>
      <c r="C1376" s="24"/>
      <c r="D1376" s="24">
        <f t="shared" si="43"/>
        <v>-89.897452830188669</v>
      </c>
      <c r="E1376" s="21"/>
      <c r="G1376" s="23">
        <v>0.28587390000000001</v>
      </c>
      <c r="H1376" s="23">
        <v>-0.2427735</v>
      </c>
    </row>
    <row r="1377" spans="1:8" x14ac:dyDescent="0.35">
      <c r="A1377" s="23">
        <v>2.6855469999999999E-2</v>
      </c>
      <c r="B1377" s="23">
        <f t="shared" si="42"/>
        <v>-0.23469010000000001</v>
      </c>
      <c r="C1377" s="24"/>
      <c r="D1377" s="24">
        <f t="shared" si="43"/>
        <v>-86.463050314465406</v>
      </c>
      <c r="E1377" s="21"/>
      <c r="G1377" s="23">
        <v>0.27495249999999999</v>
      </c>
      <c r="H1377" s="23">
        <v>-0.23469010000000001</v>
      </c>
    </row>
    <row r="1378" spans="1:8" x14ac:dyDescent="0.35">
      <c r="A1378" s="23">
        <v>2.6875E-2</v>
      </c>
      <c r="B1378" s="23">
        <f t="shared" si="42"/>
        <v>-0.22500329999999999</v>
      </c>
      <c r="C1378" s="24"/>
      <c r="D1378" s="24">
        <f t="shared" si="43"/>
        <v>-82.423899371069183</v>
      </c>
      <c r="E1378" s="21"/>
      <c r="G1378" s="23">
        <v>0.26210800000000001</v>
      </c>
      <c r="H1378" s="23">
        <v>-0.22500329999999999</v>
      </c>
    </row>
    <row r="1379" spans="1:8" x14ac:dyDescent="0.35">
      <c r="A1379" s="23">
        <v>2.689453E-2</v>
      </c>
      <c r="B1379" s="23">
        <f t="shared" si="42"/>
        <v>-0.2147232</v>
      </c>
      <c r="C1379" s="24"/>
      <c r="D1379" s="24">
        <f t="shared" si="43"/>
        <v>-78.15669811320754</v>
      </c>
      <c r="E1379" s="21"/>
      <c r="G1379" s="23">
        <v>0.24853829999999999</v>
      </c>
      <c r="H1379" s="23">
        <v>-0.2147232</v>
      </c>
    </row>
    <row r="1380" spans="1:8" x14ac:dyDescent="0.35">
      <c r="A1380" s="23">
        <v>2.691406E-2</v>
      </c>
      <c r="B1380" s="23">
        <f t="shared" si="42"/>
        <v>-0.20464270000000001</v>
      </c>
      <c r="C1380" s="24"/>
      <c r="D1380" s="24">
        <f t="shared" si="43"/>
        <v>-73.973113207547172</v>
      </c>
      <c r="E1380" s="21"/>
      <c r="G1380" s="23">
        <v>0.23523450000000001</v>
      </c>
      <c r="H1380" s="23">
        <v>-0.20464270000000001</v>
      </c>
    </row>
    <row r="1381" spans="1:8" x14ac:dyDescent="0.35">
      <c r="A1381" s="23">
        <v>2.693359E-2</v>
      </c>
      <c r="B1381" s="23">
        <f t="shared" si="42"/>
        <v>-0.19367039999999999</v>
      </c>
      <c r="C1381" s="24"/>
      <c r="D1381" s="24">
        <f t="shared" si="43"/>
        <v>-69.460220125786165</v>
      </c>
      <c r="E1381" s="21"/>
      <c r="G1381" s="23">
        <v>0.22088350000000001</v>
      </c>
      <c r="H1381" s="23">
        <v>-0.19367039999999999</v>
      </c>
    </row>
    <row r="1382" spans="1:8" x14ac:dyDescent="0.35">
      <c r="A1382" s="23">
        <v>2.6953129999999999E-2</v>
      </c>
      <c r="B1382" s="23">
        <f t="shared" si="42"/>
        <v>-0.18228349999999999</v>
      </c>
      <c r="C1382" s="24"/>
      <c r="D1382" s="24">
        <f t="shared" si="43"/>
        <v>-64.723584905660374</v>
      </c>
      <c r="E1382" s="21"/>
      <c r="G1382" s="23">
        <v>0.205821</v>
      </c>
      <c r="H1382" s="23">
        <v>-0.18228349999999999</v>
      </c>
    </row>
    <row r="1383" spans="1:8" x14ac:dyDescent="0.35">
      <c r="A1383" s="23">
        <v>2.6972659999999999E-2</v>
      </c>
      <c r="B1383" s="23">
        <f t="shared" si="42"/>
        <v>-0.16986090000000001</v>
      </c>
      <c r="C1383" s="24"/>
      <c r="D1383" s="24">
        <f t="shared" si="43"/>
        <v>-59.545723270440249</v>
      </c>
      <c r="E1383" s="21"/>
      <c r="G1383" s="23">
        <v>0.18935540000000001</v>
      </c>
      <c r="H1383" s="23">
        <v>-0.16986090000000001</v>
      </c>
    </row>
    <row r="1384" spans="1:8" x14ac:dyDescent="0.35">
      <c r="A1384" s="23">
        <v>2.6992189999999999E-2</v>
      </c>
      <c r="B1384" s="23">
        <f t="shared" si="42"/>
        <v>-0.1553387</v>
      </c>
      <c r="C1384" s="24"/>
      <c r="D1384" s="24">
        <f t="shared" si="43"/>
        <v>-53.619339622641505</v>
      </c>
      <c r="E1384" s="21"/>
      <c r="G1384" s="23">
        <v>0.17050950000000001</v>
      </c>
      <c r="H1384" s="23">
        <v>-0.1553387</v>
      </c>
    </row>
    <row r="1385" spans="1:8" x14ac:dyDescent="0.35">
      <c r="A1385" s="23">
        <v>2.7011719999999999E-2</v>
      </c>
      <c r="B1385" s="23">
        <f t="shared" si="42"/>
        <v>-0.14057359999999999</v>
      </c>
      <c r="C1385" s="24"/>
      <c r="D1385" s="24">
        <f t="shared" si="43"/>
        <v>-47.733962264150946</v>
      </c>
      <c r="E1385" s="21"/>
      <c r="G1385" s="23">
        <v>0.15179400000000001</v>
      </c>
      <c r="H1385" s="23">
        <v>-0.14057359999999999</v>
      </c>
    </row>
    <row r="1386" spans="1:8" x14ac:dyDescent="0.35">
      <c r="A1386" s="23">
        <v>2.703125E-2</v>
      </c>
      <c r="B1386" s="23">
        <f t="shared" si="42"/>
        <v>-0.12587000000000001</v>
      </c>
      <c r="C1386" s="24"/>
      <c r="D1386" s="24">
        <f t="shared" si="43"/>
        <v>-41.828364779874207</v>
      </c>
      <c r="E1386" s="21"/>
      <c r="G1386" s="23">
        <v>0.1330142</v>
      </c>
      <c r="H1386" s="23">
        <v>-0.12587000000000001</v>
      </c>
    </row>
    <row r="1387" spans="1:8" x14ac:dyDescent="0.35">
      <c r="A1387" s="23">
        <v>2.705078E-2</v>
      </c>
      <c r="B1387" s="23">
        <f t="shared" si="42"/>
        <v>-0.1105675</v>
      </c>
      <c r="C1387" s="24"/>
      <c r="D1387" s="24">
        <f t="shared" si="43"/>
        <v>-35.708113207547171</v>
      </c>
      <c r="E1387" s="21"/>
      <c r="G1387" s="23">
        <v>0.11355179999999999</v>
      </c>
      <c r="H1387" s="23">
        <v>-0.1105675</v>
      </c>
    </row>
    <row r="1388" spans="1:8" x14ac:dyDescent="0.35">
      <c r="A1388" s="23">
        <v>2.707031E-2</v>
      </c>
      <c r="B1388" s="23">
        <f t="shared" si="42"/>
        <v>-9.5153059999999998E-2</v>
      </c>
      <c r="C1388" s="24"/>
      <c r="D1388" s="24">
        <f t="shared" si="43"/>
        <v>-29.831490566037736</v>
      </c>
      <c r="E1388" s="21"/>
      <c r="G1388" s="23">
        <v>9.486414E-2</v>
      </c>
      <c r="H1388" s="23">
        <v>-9.5153059999999998E-2</v>
      </c>
    </row>
    <row r="1389" spans="1:8" x14ac:dyDescent="0.35">
      <c r="A1389" s="23">
        <v>2.708984E-2</v>
      </c>
      <c r="B1389" s="23">
        <f t="shared" si="42"/>
        <v>-7.9530429999999999E-2</v>
      </c>
      <c r="C1389" s="24"/>
      <c r="D1389" s="24">
        <f t="shared" si="43"/>
        <v>-23.566666666666663</v>
      </c>
      <c r="E1389" s="21"/>
      <c r="G1389" s="23">
        <v>7.4941999999999995E-2</v>
      </c>
      <c r="H1389" s="23">
        <v>-7.9530429999999999E-2</v>
      </c>
    </row>
    <row r="1390" spans="1:8" x14ac:dyDescent="0.35">
      <c r="A1390" s="23">
        <v>2.7109379999999999E-2</v>
      </c>
      <c r="B1390" s="23">
        <f t="shared" si="42"/>
        <v>-6.2923309999999996E-2</v>
      </c>
      <c r="C1390" s="24"/>
      <c r="D1390" s="24">
        <f t="shared" si="43"/>
        <v>-16.834437106918237</v>
      </c>
      <c r="E1390" s="21"/>
      <c r="G1390" s="23">
        <v>5.3533509999999999E-2</v>
      </c>
      <c r="H1390" s="23">
        <v>-6.2923309999999996E-2</v>
      </c>
    </row>
    <row r="1391" spans="1:8" x14ac:dyDescent="0.35">
      <c r="A1391" s="23">
        <v>2.7128909999999999E-2</v>
      </c>
      <c r="B1391" s="23">
        <f t="shared" si="42"/>
        <v>-4.5719240000000001E-2</v>
      </c>
      <c r="C1391" s="24"/>
      <c r="D1391" s="24">
        <f t="shared" si="43"/>
        <v>-10.244663522012578</v>
      </c>
      <c r="E1391" s="21"/>
      <c r="G1391" s="23">
        <v>3.2578030000000001E-2</v>
      </c>
      <c r="H1391" s="23">
        <v>-4.5719240000000001E-2</v>
      </c>
    </row>
    <row r="1392" spans="1:8" x14ac:dyDescent="0.35">
      <c r="A1392" s="23">
        <v>2.7148439999999999E-2</v>
      </c>
      <c r="B1392" s="23">
        <f t="shared" si="42"/>
        <v>-2.9045339999999999E-2</v>
      </c>
      <c r="C1392" s="24"/>
      <c r="D1392" s="24">
        <f t="shared" si="43"/>
        <v>-3.6181163522012572</v>
      </c>
      <c r="E1392" s="21"/>
      <c r="G1392" s="23">
        <v>1.1505609999999999E-2</v>
      </c>
      <c r="H1392" s="23">
        <v>-2.9045339999999999E-2</v>
      </c>
    </row>
    <row r="1393" spans="1:8" x14ac:dyDescent="0.35">
      <c r="A1393" s="23">
        <v>2.716797E-2</v>
      </c>
      <c r="B1393" s="23">
        <f t="shared" si="42"/>
        <v>-1.320442E-2</v>
      </c>
      <c r="C1393" s="24"/>
      <c r="D1393" s="24">
        <f t="shared" si="43"/>
        <v>2.7681056603773584</v>
      </c>
      <c r="E1393" s="21"/>
      <c r="G1393" s="23">
        <v>-8.8025759999999995E-3</v>
      </c>
      <c r="H1393" s="23">
        <v>-1.320442E-2</v>
      </c>
    </row>
    <row r="1394" spans="1:8" x14ac:dyDescent="0.35">
      <c r="A1394" s="23">
        <v>2.71875E-2</v>
      </c>
      <c r="B1394" s="23">
        <f t="shared" si="42"/>
        <v>2.409685E-3</v>
      </c>
      <c r="C1394" s="24"/>
      <c r="D1394" s="24">
        <f t="shared" si="43"/>
        <v>8.9740471698113193</v>
      </c>
      <c r="E1394" s="21"/>
      <c r="G1394" s="23">
        <v>-2.8537469999999999E-2</v>
      </c>
      <c r="H1394" s="23">
        <v>2.409685E-3</v>
      </c>
    </row>
    <row r="1395" spans="1:8" x14ac:dyDescent="0.35">
      <c r="A1395" s="23">
        <v>2.720703E-2</v>
      </c>
      <c r="B1395" s="23">
        <f t="shared" si="42"/>
        <v>1.910135E-2</v>
      </c>
      <c r="C1395" s="24"/>
      <c r="D1395" s="24">
        <f t="shared" si="43"/>
        <v>15.48130503144654</v>
      </c>
      <c r="E1395" s="21"/>
      <c r="G1395" s="23">
        <v>-4.9230549999999998E-2</v>
      </c>
      <c r="H1395" s="23">
        <v>1.910135E-2</v>
      </c>
    </row>
    <row r="1396" spans="1:8" x14ac:dyDescent="0.35">
      <c r="A1396" s="23">
        <v>2.722656E-2</v>
      </c>
      <c r="B1396" s="23">
        <f t="shared" si="42"/>
        <v>3.5750419999999998E-2</v>
      </c>
      <c r="C1396" s="24"/>
      <c r="D1396" s="24">
        <f t="shared" si="43"/>
        <v>21.82383647798742</v>
      </c>
      <c r="E1396" s="21"/>
      <c r="G1396" s="23">
        <v>-6.9399799999999998E-2</v>
      </c>
      <c r="H1396" s="23">
        <v>3.5750419999999998E-2</v>
      </c>
    </row>
    <row r="1397" spans="1:8" x14ac:dyDescent="0.35">
      <c r="A1397" s="23">
        <v>2.7246090000000001E-2</v>
      </c>
      <c r="B1397" s="23">
        <f t="shared" si="42"/>
        <v>5.164088E-2</v>
      </c>
      <c r="C1397" s="24"/>
      <c r="D1397" s="24">
        <f t="shared" si="43"/>
        <v>28.107849056603772</v>
      </c>
      <c r="E1397" s="21"/>
      <c r="G1397" s="23">
        <v>-8.9382959999999997E-2</v>
      </c>
      <c r="H1397" s="23">
        <v>5.164088E-2</v>
      </c>
    </row>
    <row r="1398" spans="1:8" x14ac:dyDescent="0.35">
      <c r="A1398" s="23">
        <v>2.7265629999999999E-2</v>
      </c>
      <c r="B1398" s="23">
        <f t="shared" si="42"/>
        <v>6.8182060000000003E-2</v>
      </c>
      <c r="C1398" s="24"/>
      <c r="D1398" s="24">
        <f t="shared" si="43"/>
        <v>34.52122641509434</v>
      </c>
      <c r="E1398" s="21"/>
      <c r="G1398" s="23">
        <v>-0.1097775</v>
      </c>
      <c r="H1398" s="23">
        <v>6.8182060000000003E-2</v>
      </c>
    </row>
    <row r="1399" spans="1:8" x14ac:dyDescent="0.35">
      <c r="A1399" s="23">
        <v>2.7285159999999999E-2</v>
      </c>
      <c r="B1399" s="23">
        <f t="shared" si="42"/>
        <v>8.3703609999999998E-2</v>
      </c>
      <c r="C1399" s="24"/>
      <c r="D1399" s="24">
        <f t="shared" si="43"/>
        <v>40.378647798742136</v>
      </c>
      <c r="E1399" s="21"/>
      <c r="G1399" s="23">
        <v>-0.12840409999999999</v>
      </c>
      <c r="H1399" s="23">
        <v>8.3703609999999998E-2</v>
      </c>
    </row>
    <row r="1400" spans="1:8" x14ac:dyDescent="0.35">
      <c r="A1400" s="23">
        <v>2.730469E-2</v>
      </c>
      <c r="B1400" s="23">
        <f t="shared" si="42"/>
        <v>9.8281660000000007E-2</v>
      </c>
      <c r="C1400" s="24"/>
      <c r="D1400" s="24">
        <f t="shared" si="43"/>
        <v>46.030503144654091</v>
      </c>
      <c r="E1400" s="21"/>
      <c r="G1400" s="23">
        <v>-0.14637700000000001</v>
      </c>
      <c r="H1400" s="23">
        <v>9.8281660000000007E-2</v>
      </c>
    </row>
    <row r="1401" spans="1:8" x14ac:dyDescent="0.35">
      <c r="A1401" s="23">
        <v>2.732422E-2</v>
      </c>
      <c r="B1401" s="23">
        <f t="shared" si="42"/>
        <v>0.1136326</v>
      </c>
      <c r="C1401" s="24"/>
      <c r="D1401" s="24">
        <f t="shared" si="43"/>
        <v>51.83600628930818</v>
      </c>
      <c r="E1401" s="21"/>
      <c r="G1401" s="23">
        <v>-0.1648385</v>
      </c>
      <c r="H1401" s="23">
        <v>0.1136326</v>
      </c>
    </row>
    <row r="1402" spans="1:8" x14ac:dyDescent="0.35">
      <c r="A1402" s="23">
        <v>2.734375E-2</v>
      </c>
      <c r="B1402" s="23">
        <f t="shared" si="42"/>
        <v>0.12807209999999999</v>
      </c>
      <c r="C1402" s="24"/>
      <c r="D1402" s="24">
        <f t="shared" si="43"/>
        <v>57.150566037735842</v>
      </c>
      <c r="E1402" s="21"/>
      <c r="G1402" s="23">
        <v>-0.18173880000000001</v>
      </c>
      <c r="H1402" s="23">
        <v>0.12807209999999999</v>
      </c>
    </row>
    <row r="1403" spans="1:8" x14ac:dyDescent="0.35">
      <c r="A1403" s="23">
        <v>2.736328E-2</v>
      </c>
      <c r="B1403" s="23">
        <f t="shared" si="42"/>
        <v>0.14124700000000001</v>
      </c>
      <c r="C1403" s="24"/>
      <c r="D1403" s="24">
        <f t="shared" si="43"/>
        <v>62.153176100628926</v>
      </c>
      <c r="E1403" s="21"/>
      <c r="G1403" s="23">
        <v>-0.19764709999999999</v>
      </c>
      <c r="H1403" s="23">
        <v>0.14124700000000001</v>
      </c>
    </row>
    <row r="1404" spans="1:8" x14ac:dyDescent="0.35">
      <c r="A1404" s="23">
        <v>2.738281E-2</v>
      </c>
      <c r="B1404" s="23">
        <f t="shared" si="42"/>
        <v>0.15427730000000001</v>
      </c>
      <c r="C1404" s="24"/>
      <c r="D1404" s="24">
        <f t="shared" si="43"/>
        <v>67.210345911949688</v>
      </c>
      <c r="E1404" s="21"/>
      <c r="G1404" s="23">
        <v>-0.2137289</v>
      </c>
      <c r="H1404" s="23">
        <v>0.15427730000000001</v>
      </c>
    </row>
    <row r="1405" spans="1:8" x14ac:dyDescent="0.35">
      <c r="A1405" s="23">
        <v>2.7402340000000001E-2</v>
      </c>
      <c r="B1405" s="23">
        <f t="shared" si="42"/>
        <v>0.16718330000000001</v>
      </c>
      <c r="C1405" s="24"/>
      <c r="D1405" s="24">
        <f t="shared" si="43"/>
        <v>72.006257861635206</v>
      </c>
      <c r="E1405" s="21"/>
      <c r="G1405" s="23">
        <v>-0.22897989999999999</v>
      </c>
      <c r="H1405" s="23">
        <v>0.16718330000000001</v>
      </c>
    </row>
    <row r="1406" spans="1:8" x14ac:dyDescent="0.35">
      <c r="A1406" s="23">
        <v>2.7421879999999999E-2</v>
      </c>
      <c r="B1406" s="23">
        <f t="shared" si="42"/>
        <v>0.17867069999999999</v>
      </c>
      <c r="C1406" s="24"/>
      <c r="D1406" s="24">
        <f t="shared" si="43"/>
        <v>76.295628930817614</v>
      </c>
      <c r="E1406" s="21"/>
      <c r="G1406" s="23">
        <v>-0.24262010000000001</v>
      </c>
      <c r="H1406" s="23">
        <v>0.17867069999999999</v>
      </c>
    </row>
    <row r="1407" spans="1:8" x14ac:dyDescent="0.35">
      <c r="A1407" s="23">
        <v>2.7441409999999999E-2</v>
      </c>
      <c r="B1407" s="23">
        <f t="shared" si="42"/>
        <v>0.1881536</v>
      </c>
      <c r="C1407" s="24"/>
      <c r="D1407" s="24">
        <f t="shared" si="43"/>
        <v>80.038742138364782</v>
      </c>
      <c r="E1407" s="21"/>
      <c r="G1407" s="23">
        <v>-0.2545232</v>
      </c>
      <c r="H1407" s="23">
        <v>0.1881536</v>
      </c>
    </row>
    <row r="1408" spans="1:8" x14ac:dyDescent="0.35">
      <c r="A1408" s="23">
        <v>2.746094E-2</v>
      </c>
      <c r="B1408" s="23">
        <f t="shared" si="42"/>
        <v>0.19785269999999999</v>
      </c>
      <c r="C1408" s="24"/>
      <c r="D1408" s="24">
        <f t="shared" si="43"/>
        <v>83.659371069182399</v>
      </c>
      <c r="E1408" s="21"/>
      <c r="G1408" s="23">
        <v>-0.26603680000000002</v>
      </c>
      <c r="H1408" s="23">
        <v>0.19785269999999999</v>
      </c>
    </row>
    <row r="1409" spans="1:8" x14ac:dyDescent="0.35">
      <c r="A1409" s="23">
        <v>2.748047E-2</v>
      </c>
      <c r="B1409" s="23">
        <f t="shared" si="42"/>
        <v>0.20768590000000001</v>
      </c>
      <c r="C1409" s="24"/>
      <c r="D1409" s="24">
        <f t="shared" si="43"/>
        <v>87.258805031446542</v>
      </c>
      <c r="E1409" s="21"/>
      <c r="G1409" s="23">
        <v>-0.27748299999999998</v>
      </c>
      <c r="H1409" s="23">
        <v>0.20768590000000001</v>
      </c>
    </row>
    <row r="1410" spans="1:8" x14ac:dyDescent="0.35">
      <c r="A1410" s="23">
        <v>2.75E-2</v>
      </c>
      <c r="B1410" s="23">
        <f t="shared" ref="B1410:B1473" si="44">H1410</f>
        <v>0.2158881</v>
      </c>
      <c r="C1410" s="24"/>
      <c r="D1410" s="24">
        <f t="shared" ref="D1410:D1473" si="45">G1410*-1000/3.18</f>
        <v>90.343836477987409</v>
      </c>
      <c r="E1410" s="21"/>
      <c r="G1410" s="23">
        <v>-0.28729339999999998</v>
      </c>
      <c r="H1410" s="23">
        <v>0.2158881</v>
      </c>
    </row>
    <row r="1411" spans="1:8" x14ac:dyDescent="0.35">
      <c r="A1411" s="23">
        <v>2.751953E-2</v>
      </c>
      <c r="B1411" s="23">
        <f t="shared" si="44"/>
        <v>0.2232798</v>
      </c>
      <c r="C1411" s="24"/>
      <c r="D1411" s="24">
        <f t="shared" si="45"/>
        <v>93.059371069182376</v>
      </c>
      <c r="E1411" s="21"/>
      <c r="G1411" s="23">
        <v>-0.29592879999999999</v>
      </c>
      <c r="H1411" s="23">
        <v>0.2232798</v>
      </c>
    </row>
    <row r="1412" spans="1:8" x14ac:dyDescent="0.35">
      <c r="A1412" s="23">
        <v>2.7539060000000001E-2</v>
      </c>
      <c r="B1412" s="23">
        <f t="shared" si="44"/>
        <v>0.22988620000000001</v>
      </c>
      <c r="C1412" s="24"/>
      <c r="D1412" s="24">
        <f t="shared" si="45"/>
        <v>95.448113207547152</v>
      </c>
      <c r="E1412" s="21"/>
      <c r="G1412" s="23">
        <v>-0.30352499999999999</v>
      </c>
      <c r="H1412" s="23">
        <v>0.22988620000000001</v>
      </c>
    </row>
    <row r="1413" spans="1:8" x14ac:dyDescent="0.35">
      <c r="A1413" s="23">
        <v>2.7558590000000001E-2</v>
      </c>
      <c r="B1413" s="23">
        <f t="shared" si="44"/>
        <v>0.23495659999999999</v>
      </c>
      <c r="C1413" s="24"/>
      <c r="D1413" s="24">
        <f t="shared" si="45"/>
        <v>97.277389937106918</v>
      </c>
      <c r="E1413" s="21"/>
      <c r="G1413" s="23">
        <v>-0.30934210000000001</v>
      </c>
      <c r="H1413" s="23">
        <v>0.23495659999999999</v>
      </c>
    </row>
    <row r="1414" spans="1:8" x14ac:dyDescent="0.35">
      <c r="A1414" s="23">
        <v>2.7578129999999999E-2</v>
      </c>
      <c r="B1414" s="23">
        <f t="shared" si="44"/>
        <v>0.23918629999999999</v>
      </c>
      <c r="C1414" s="24"/>
      <c r="D1414" s="24">
        <f t="shared" si="45"/>
        <v>98.778490566037718</v>
      </c>
      <c r="E1414" s="21"/>
      <c r="G1414" s="23">
        <v>-0.31411559999999999</v>
      </c>
      <c r="H1414" s="23">
        <v>0.23918629999999999</v>
      </c>
    </row>
    <row r="1415" spans="1:8" x14ac:dyDescent="0.35">
      <c r="A1415" s="23">
        <v>2.759766E-2</v>
      </c>
      <c r="B1415" s="23">
        <f t="shared" si="44"/>
        <v>0.2432221</v>
      </c>
      <c r="C1415" s="24"/>
      <c r="D1415" s="24">
        <f t="shared" si="45"/>
        <v>100.14669811320753</v>
      </c>
      <c r="E1415" s="21"/>
      <c r="G1415" s="23">
        <v>-0.31846649999999999</v>
      </c>
      <c r="H1415" s="23">
        <v>0.2432221</v>
      </c>
    </row>
    <row r="1416" spans="1:8" x14ac:dyDescent="0.35">
      <c r="A1416" s="23">
        <v>2.761719E-2</v>
      </c>
      <c r="B1416" s="23">
        <f t="shared" si="44"/>
        <v>0.24722659999999999</v>
      </c>
      <c r="C1416" s="24"/>
      <c r="D1416" s="24">
        <f t="shared" si="45"/>
        <v>101.51977987421382</v>
      </c>
      <c r="E1416" s="21"/>
      <c r="G1416" s="23">
        <v>-0.32283289999999998</v>
      </c>
      <c r="H1416" s="23">
        <v>0.24722659999999999</v>
      </c>
    </row>
    <row r="1417" spans="1:8" x14ac:dyDescent="0.35">
      <c r="A1417" s="23">
        <v>2.763672E-2</v>
      </c>
      <c r="B1417" s="23">
        <f t="shared" si="44"/>
        <v>0.2499633</v>
      </c>
      <c r="C1417" s="24"/>
      <c r="D1417" s="24">
        <f t="shared" si="45"/>
        <v>102.26490566037735</v>
      </c>
      <c r="E1417" s="21"/>
      <c r="G1417" s="23">
        <v>-0.3252024</v>
      </c>
      <c r="H1417" s="23">
        <v>0.2499633</v>
      </c>
    </row>
    <row r="1418" spans="1:8" x14ac:dyDescent="0.35">
      <c r="A1418" s="23">
        <v>2.765625E-2</v>
      </c>
      <c r="B1418" s="23">
        <f t="shared" si="44"/>
        <v>0.25066480000000002</v>
      </c>
      <c r="C1418" s="24"/>
      <c r="D1418" s="24">
        <f t="shared" si="45"/>
        <v>102.07849056603773</v>
      </c>
      <c r="E1418" s="21"/>
      <c r="G1418" s="23">
        <v>-0.3246096</v>
      </c>
      <c r="H1418" s="23">
        <v>0.25066480000000002</v>
      </c>
    </row>
    <row r="1419" spans="1:8" x14ac:dyDescent="0.35">
      <c r="A1419" s="23">
        <v>2.7675780000000001E-2</v>
      </c>
      <c r="B1419" s="23">
        <f t="shared" si="44"/>
        <v>0.25124570000000002</v>
      </c>
      <c r="C1419" s="24"/>
      <c r="D1419" s="24">
        <f t="shared" si="45"/>
        <v>101.88009433962264</v>
      </c>
      <c r="E1419" s="21"/>
      <c r="G1419" s="23">
        <v>-0.32397870000000001</v>
      </c>
      <c r="H1419" s="23">
        <v>0.25124570000000002</v>
      </c>
    </row>
    <row r="1420" spans="1:8" x14ac:dyDescent="0.35">
      <c r="A1420" s="23">
        <v>2.7695310000000001E-2</v>
      </c>
      <c r="B1420" s="23">
        <f t="shared" si="44"/>
        <v>0.25139400000000001</v>
      </c>
      <c r="C1420" s="24"/>
      <c r="D1420" s="24">
        <f t="shared" si="45"/>
        <v>101.43556603773584</v>
      </c>
      <c r="E1420" s="21"/>
      <c r="G1420" s="23">
        <v>-0.32256509999999999</v>
      </c>
      <c r="H1420" s="23">
        <v>0.25139400000000001</v>
      </c>
    </row>
    <row r="1421" spans="1:8" x14ac:dyDescent="0.35">
      <c r="A1421" s="23">
        <v>2.7714840000000001E-2</v>
      </c>
      <c r="B1421" s="23">
        <f t="shared" si="44"/>
        <v>0.24999379999999999</v>
      </c>
      <c r="C1421" s="24"/>
      <c r="D1421" s="24">
        <f t="shared" si="45"/>
        <v>100.39779874213838</v>
      </c>
      <c r="E1421" s="21"/>
      <c r="G1421" s="23">
        <v>-0.31926500000000002</v>
      </c>
      <c r="H1421" s="23">
        <v>0.24999379999999999</v>
      </c>
    </row>
    <row r="1422" spans="1:8" x14ac:dyDescent="0.35">
      <c r="A1422" s="23">
        <v>2.7734379999999999E-2</v>
      </c>
      <c r="B1422" s="23">
        <f t="shared" si="44"/>
        <v>0.2491014</v>
      </c>
      <c r="C1422" s="24"/>
      <c r="D1422" s="24">
        <f t="shared" si="45"/>
        <v>99.420597484276712</v>
      </c>
      <c r="E1422" s="21"/>
      <c r="G1422" s="23">
        <v>-0.31615749999999998</v>
      </c>
      <c r="H1422" s="23">
        <v>0.2491014</v>
      </c>
    </row>
    <row r="1423" spans="1:8" x14ac:dyDescent="0.35">
      <c r="A1423" s="23">
        <v>2.775391E-2</v>
      </c>
      <c r="B1423" s="23">
        <f t="shared" si="44"/>
        <v>0.2483736</v>
      </c>
      <c r="C1423" s="24"/>
      <c r="D1423" s="24">
        <f t="shared" si="45"/>
        <v>98.21465408805031</v>
      </c>
      <c r="E1423" s="21"/>
      <c r="G1423" s="23">
        <v>-0.31232260000000001</v>
      </c>
      <c r="H1423" s="23">
        <v>0.2483736</v>
      </c>
    </row>
    <row r="1424" spans="1:8" x14ac:dyDescent="0.35">
      <c r="A1424" s="23">
        <v>2.777344E-2</v>
      </c>
      <c r="B1424" s="23">
        <f t="shared" si="44"/>
        <v>0.24515500000000001</v>
      </c>
      <c r="C1424" s="24"/>
      <c r="D1424" s="24">
        <f t="shared" si="45"/>
        <v>96.283427672955952</v>
      </c>
      <c r="E1424" s="21"/>
      <c r="G1424" s="23">
        <v>-0.30618129999999999</v>
      </c>
      <c r="H1424" s="23">
        <v>0.24515500000000001</v>
      </c>
    </row>
    <row r="1425" spans="1:8" x14ac:dyDescent="0.35">
      <c r="A1425" s="23">
        <v>2.779297E-2</v>
      </c>
      <c r="B1425" s="23">
        <f t="shared" si="44"/>
        <v>0.24052870000000001</v>
      </c>
      <c r="C1425" s="24"/>
      <c r="D1425" s="24">
        <f t="shared" si="45"/>
        <v>93.894874213836488</v>
      </c>
      <c r="E1425" s="21"/>
      <c r="G1425" s="23">
        <v>-0.29858570000000001</v>
      </c>
      <c r="H1425" s="23">
        <v>0.24052870000000001</v>
      </c>
    </row>
    <row r="1426" spans="1:8" x14ac:dyDescent="0.35">
      <c r="A1426" s="23">
        <v>2.78125E-2</v>
      </c>
      <c r="B1426" s="23">
        <f t="shared" si="44"/>
        <v>0.2353162</v>
      </c>
      <c r="C1426" s="24"/>
      <c r="D1426" s="24">
        <f t="shared" si="45"/>
        <v>91.131446540880503</v>
      </c>
      <c r="E1426" s="21"/>
      <c r="G1426" s="23">
        <v>-0.289798</v>
      </c>
      <c r="H1426" s="23">
        <v>0.2353162</v>
      </c>
    </row>
    <row r="1427" spans="1:8" x14ac:dyDescent="0.35">
      <c r="A1427" s="23">
        <v>2.7832030000000001E-2</v>
      </c>
      <c r="B1427" s="23">
        <f t="shared" si="44"/>
        <v>0.2292119</v>
      </c>
      <c r="C1427" s="24"/>
      <c r="D1427" s="24">
        <f t="shared" si="45"/>
        <v>88.09072327044025</v>
      </c>
      <c r="E1427" s="21"/>
      <c r="G1427" s="23">
        <v>-0.2801285</v>
      </c>
      <c r="H1427" s="23">
        <v>0.2292119</v>
      </c>
    </row>
    <row r="1428" spans="1:8" x14ac:dyDescent="0.35">
      <c r="A1428" s="23">
        <v>2.7851560000000001E-2</v>
      </c>
      <c r="B1428" s="23">
        <f t="shared" si="44"/>
        <v>0.2236176</v>
      </c>
      <c r="C1428" s="24"/>
      <c r="D1428" s="24">
        <f t="shared" si="45"/>
        <v>85.024654088050312</v>
      </c>
      <c r="E1428" s="21"/>
      <c r="G1428" s="23">
        <v>-0.27037840000000002</v>
      </c>
      <c r="H1428" s="23">
        <v>0.2236176</v>
      </c>
    </row>
    <row r="1429" spans="1:8" x14ac:dyDescent="0.35">
      <c r="A1429" s="23">
        <v>2.7871090000000001E-2</v>
      </c>
      <c r="B1429" s="23">
        <f t="shared" si="44"/>
        <v>0.2171438</v>
      </c>
      <c r="C1429" s="24"/>
      <c r="D1429" s="24">
        <f t="shared" si="45"/>
        <v>81.661603773584915</v>
      </c>
      <c r="E1429" s="21"/>
      <c r="G1429" s="23">
        <v>-0.25968390000000002</v>
      </c>
      <c r="H1429" s="23">
        <v>0.2171438</v>
      </c>
    </row>
    <row r="1430" spans="1:8" x14ac:dyDescent="0.35">
      <c r="A1430" s="23">
        <v>2.789063E-2</v>
      </c>
      <c r="B1430" s="23">
        <f t="shared" si="44"/>
        <v>0.20940220000000001</v>
      </c>
      <c r="C1430" s="24"/>
      <c r="D1430" s="24">
        <f t="shared" si="45"/>
        <v>77.988805031446532</v>
      </c>
      <c r="E1430" s="21"/>
      <c r="G1430" s="23">
        <v>-0.24800440000000001</v>
      </c>
      <c r="H1430" s="23">
        <v>0.20940220000000001</v>
      </c>
    </row>
    <row r="1431" spans="1:8" x14ac:dyDescent="0.35">
      <c r="A1431" s="23">
        <v>2.791016E-2</v>
      </c>
      <c r="B1431" s="23">
        <f t="shared" si="44"/>
        <v>0.20125580000000001</v>
      </c>
      <c r="C1431" s="24"/>
      <c r="D1431" s="24">
        <f t="shared" si="45"/>
        <v>73.844088050314468</v>
      </c>
      <c r="E1431" s="21"/>
      <c r="G1431" s="23">
        <v>-0.23482420000000001</v>
      </c>
      <c r="H1431" s="23">
        <v>0.20125580000000001</v>
      </c>
    </row>
    <row r="1432" spans="1:8" x14ac:dyDescent="0.35">
      <c r="A1432" s="23">
        <v>2.792969E-2</v>
      </c>
      <c r="B1432" s="23">
        <f t="shared" si="44"/>
        <v>0.19212870000000001</v>
      </c>
      <c r="C1432" s="24"/>
      <c r="D1432" s="24">
        <f t="shared" si="45"/>
        <v>68.944182389937112</v>
      </c>
      <c r="E1432" s="21"/>
      <c r="G1432" s="23">
        <v>-0.21924250000000001</v>
      </c>
      <c r="H1432" s="23">
        <v>0.19212870000000001</v>
      </c>
    </row>
    <row r="1433" spans="1:8" x14ac:dyDescent="0.35">
      <c r="A1433" s="23">
        <v>2.794922E-2</v>
      </c>
      <c r="B1433" s="23">
        <f t="shared" si="44"/>
        <v>0.1820648</v>
      </c>
      <c r="C1433" s="24"/>
      <c r="D1433" s="24">
        <f t="shared" si="45"/>
        <v>64.316446540880492</v>
      </c>
      <c r="E1433" s="21"/>
      <c r="G1433" s="23">
        <v>-0.20452629999999999</v>
      </c>
      <c r="H1433" s="23">
        <v>0.1820648</v>
      </c>
    </row>
    <row r="1434" spans="1:8" x14ac:dyDescent="0.35">
      <c r="A1434" s="23">
        <v>2.7968750000000001E-2</v>
      </c>
      <c r="B1434" s="23">
        <f t="shared" si="44"/>
        <v>0.17058760000000001</v>
      </c>
      <c r="C1434" s="24"/>
      <c r="D1434" s="24">
        <f t="shared" si="45"/>
        <v>59.7475786163522</v>
      </c>
      <c r="E1434" s="21"/>
      <c r="G1434" s="23">
        <v>-0.18999730000000001</v>
      </c>
      <c r="H1434" s="23">
        <v>0.17058760000000001</v>
      </c>
    </row>
    <row r="1435" spans="1:8" x14ac:dyDescent="0.35">
      <c r="A1435" s="23">
        <v>2.7988280000000001E-2</v>
      </c>
      <c r="B1435" s="23">
        <f t="shared" si="44"/>
        <v>0.1593638</v>
      </c>
      <c r="C1435" s="24"/>
      <c r="D1435" s="24">
        <f t="shared" si="45"/>
        <v>54.592421383647796</v>
      </c>
      <c r="E1435" s="21"/>
      <c r="G1435" s="23">
        <v>-0.17360390000000001</v>
      </c>
      <c r="H1435" s="23">
        <v>0.1593638</v>
      </c>
    </row>
    <row r="1436" spans="1:8" x14ac:dyDescent="0.35">
      <c r="A1436" s="23">
        <v>2.8007810000000001E-2</v>
      </c>
      <c r="B1436" s="23">
        <f t="shared" si="44"/>
        <v>0.14887790000000001</v>
      </c>
      <c r="C1436" s="24"/>
      <c r="D1436" s="24">
        <f t="shared" si="45"/>
        <v>49.437547169811317</v>
      </c>
      <c r="E1436" s="21"/>
      <c r="G1436" s="23">
        <v>-0.1572114</v>
      </c>
      <c r="H1436" s="23">
        <v>0.14887790000000001</v>
      </c>
    </row>
    <row r="1437" spans="1:8" x14ac:dyDescent="0.35">
      <c r="A1437" s="23">
        <v>2.8027340000000001E-2</v>
      </c>
      <c r="B1437" s="23">
        <f t="shared" si="44"/>
        <v>0.13671639999999999</v>
      </c>
      <c r="C1437" s="24"/>
      <c r="D1437" s="24">
        <f t="shared" si="45"/>
        <v>43.813427672955967</v>
      </c>
      <c r="E1437" s="21"/>
      <c r="G1437" s="23">
        <v>-0.1393267</v>
      </c>
      <c r="H1437" s="23">
        <v>0.13671639999999999</v>
      </c>
    </row>
    <row r="1438" spans="1:8" x14ac:dyDescent="0.35">
      <c r="A1438" s="23">
        <v>2.8046870000000002E-2</v>
      </c>
      <c r="B1438" s="23">
        <f t="shared" si="44"/>
        <v>0.1237939</v>
      </c>
      <c r="C1438" s="24"/>
      <c r="D1438" s="24">
        <f t="shared" si="45"/>
        <v>37.852610062893085</v>
      </c>
      <c r="E1438" s="21"/>
      <c r="G1438" s="23">
        <v>-0.1203713</v>
      </c>
      <c r="H1438" s="23">
        <v>0.1237939</v>
      </c>
    </row>
    <row r="1439" spans="1:8" x14ac:dyDescent="0.35">
      <c r="A1439" s="23">
        <v>2.806641E-2</v>
      </c>
      <c r="B1439" s="23">
        <f t="shared" si="44"/>
        <v>0.11021359999999999</v>
      </c>
      <c r="C1439" s="24"/>
      <c r="D1439" s="24">
        <f t="shared" si="45"/>
        <v>32.053553459119499</v>
      </c>
      <c r="E1439" s="21"/>
      <c r="G1439" s="23">
        <v>-0.1019303</v>
      </c>
      <c r="H1439" s="23">
        <v>0.11021359999999999</v>
      </c>
    </row>
    <row r="1440" spans="1:8" x14ac:dyDescent="0.35">
      <c r="A1440" s="23">
        <v>2.808594E-2</v>
      </c>
      <c r="B1440" s="23">
        <f t="shared" si="44"/>
        <v>9.659305E-2</v>
      </c>
      <c r="C1440" s="24"/>
      <c r="D1440" s="24">
        <f t="shared" si="45"/>
        <v>26.239298742138367</v>
      </c>
      <c r="E1440" s="21"/>
      <c r="G1440" s="23">
        <v>-8.3440970000000003E-2</v>
      </c>
      <c r="H1440" s="23">
        <v>9.659305E-2</v>
      </c>
    </row>
    <row r="1441" spans="1:8" x14ac:dyDescent="0.35">
      <c r="A1441" s="23">
        <v>2.810547E-2</v>
      </c>
      <c r="B1441" s="23">
        <f t="shared" si="44"/>
        <v>8.5014580000000006E-2</v>
      </c>
      <c r="C1441" s="24"/>
      <c r="D1441" s="24">
        <f t="shared" si="45"/>
        <v>20.569808176100629</v>
      </c>
      <c r="E1441" s="21"/>
      <c r="G1441" s="23">
        <v>-6.5411990000000003E-2</v>
      </c>
      <c r="H1441" s="23">
        <v>8.5014580000000006E-2</v>
      </c>
    </row>
    <row r="1442" spans="1:8" x14ac:dyDescent="0.35">
      <c r="A1442" s="23">
        <v>2.8125000000000001E-2</v>
      </c>
      <c r="B1442" s="23">
        <f t="shared" si="44"/>
        <v>7.2466810000000006E-2</v>
      </c>
      <c r="C1442" s="24"/>
      <c r="D1442" s="24">
        <f t="shared" si="45"/>
        <v>14.450572327044023</v>
      </c>
      <c r="E1442" s="21"/>
      <c r="G1442" s="23">
        <v>-4.5952819999999998E-2</v>
      </c>
      <c r="H1442" s="23">
        <v>7.2466810000000006E-2</v>
      </c>
    </row>
    <row r="1443" spans="1:8" x14ac:dyDescent="0.35">
      <c r="A1443" s="23">
        <v>2.8144530000000001E-2</v>
      </c>
      <c r="B1443" s="23">
        <f t="shared" si="44"/>
        <v>5.794858E-2</v>
      </c>
      <c r="C1443" s="24"/>
      <c r="D1443" s="24">
        <f t="shared" si="45"/>
        <v>7.9679308176100623</v>
      </c>
      <c r="E1443" s="21"/>
      <c r="G1443" s="23">
        <v>-2.5338019999999999E-2</v>
      </c>
      <c r="H1443" s="23">
        <v>5.794858E-2</v>
      </c>
    </row>
    <row r="1444" spans="1:8" x14ac:dyDescent="0.35">
      <c r="A1444" s="23">
        <v>2.8164060000000001E-2</v>
      </c>
      <c r="B1444" s="23">
        <f t="shared" si="44"/>
        <v>4.5186839999999999E-2</v>
      </c>
      <c r="C1444" s="24"/>
      <c r="D1444" s="24">
        <f t="shared" si="45"/>
        <v>1.7388226415094341</v>
      </c>
      <c r="E1444" s="21"/>
      <c r="G1444" s="23">
        <v>-5.5294560000000003E-3</v>
      </c>
      <c r="H1444" s="23">
        <v>4.5186839999999999E-2</v>
      </c>
    </row>
    <row r="1445" spans="1:8" x14ac:dyDescent="0.35">
      <c r="A1445" s="23">
        <v>2.8183590000000001E-2</v>
      </c>
      <c r="B1445" s="23">
        <f t="shared" si="44"/>
        <v>3.1365289999999997E-2</v>
      </c>
      <c r="C1445" s="24"/>
      <c r="D1445" s="24">
        <f t="shared" si="45"/>
        <v>-4.4297893081761011</v>
      </c>
      <c r="E1445" s="21"/>
      <c r="G1445" s="23">
        <v>1.408673E-2</v>
      </c>
      <c r="H1445" s="23">
        <v>3.1365289999999997E-2</v>
      </c>
    </row>
    <row r="1446" spans="1:8" x14ac:dyDescent="0.35">
      <c r="A1446" s="23">
        <v>2.8203120000000002E-2</v>
      </c>
      <c r="B1446" s="23">
        <f t="shared" si="44"/>
        <v>1.379241E-2</v>
      </c>
      <c r="C1446" s="24"/>
      <c r="D1446" s="24">
        <f t="shared" si="45"/>
        <v>-10.59680188679245</v>
      </c>
      <c r="E1446" s="21"/>
      <c r="G1446" s="23">
        <v>3.3697829999999998E-2</v>
      </c>
      <c r="H1446" s="23">
        <v>1.379241E-2</v>
      </c>
    </row>
    <row r="1447" spans="1:8" x14ac:dyDescent="0.35">
      <c r="A1447" s="23">
        <v>2.822266E-2</v>
      </c>
      <c r="B1447" s="23">
        <f t="shared" si="44"/>
        <v>-3.2726819999999998E-3</v>
      </c>
      <c r="C1447" s="24"/>
      <c r="D1447" s="24">
        <f t="shared" si="45"/>
        <v>-16.949676100628928</v>
      </c>
      <c r="E1447" s="21"/>
      <c r="G1447" s="23">
        <v>5.3899969999999998E-2</v>
      </c>
      <c r="H1447" s="23">
        <v>-3.2726819999999998E-3</v>
      </c>
    </row>
    <row r="1448" spans="1:8" x14ac:dyDescent="0.35">
      <c r="A1448" s="23">
        <v>2.824219E-2</v>
      </c>
      <c r="B1448" s="23">
        <f t="shared" si="44"/>
        <v>-2.0960619999999999E-2</v>
      </c>
      <c r="C1448" s="24"/>
      <c r="D1448" s="24">
        <f t="shared" si="45"/>
        <v>-23.208163522012576</v>
      </c>
      <c r="E1448" s="21"/>
      <c r="G1448" s="23">
        <v>7.380196E-2</v>
      </c>
      <c r="H1448" s="23">
        <v>-2.0960619999999999E-2</v>
      </c>
    </row>
    <row r="1449" spans="1:8" x14ac:dyDescent="0.35">
      <c r="A1449" s="23">
        <v>2.8261720000000001E-2</v>
      </c>
      <c r="B1449" s="23">
        <f t="shared" si="44"/>
        <v>-3.8857080000000002E-2</v>
      </c>
      <c r="C1449" s="24"/>
      <c r="D1449" s="24">
        <f t="shared" si="45"/>
        <v>-28.920974842767293</v>
      </c>
      <c r="E1449" s="21"/>
      <c r="G1449" s="23">
        <v>9.19687E-2</v>
      </c>
      <c r="H1449" s="23">
        <v>-3.8857080000000002E-2</v>
      </c>
    </row>
    <row r="1450" spans="1:8" x14ac:dyDescent="0.35">
      <c r="A1450" s="23">
        <v>2.8281250000000001E-2</v>
      </c>
      <c r="B1450" s="23">
        <f t="shared" si="44"/>
        <v>-5.6875050000000003E-2</v>
      </c>
      <c r="C1450" s="24"/>
      <c r="D1450" s="24">
        <f t="shared" si="45"/>
        <v>-34.599308176100628</v>
      </c>
      <c r="E1450" s="21"/>
      <c r="G1450" s="23">
        <v>0.11002580000000001</v>
      </c>
      <c r="H1450" s="23">
        <v>-5.6875050000000003E-2</v>
      </c>
    </row>
    <row r="1451" spans="1:8" x14ac:dyDescent="0.35">
      <c r="A1451" s="23">
        <v>2.8300780000000001E-2</v>
      </c>
      <c r="B1451" s="23">
        <f t="shared" si="44"/>
        <v>-7.7767610000000001E-2</v>
      </c>
      <c r="C1451" s="24"/>
      <c r="D1451" s="24">
        <f t="shared" si="45"/>
        <v>-40.526540880503148</v>
      </c>
      <c r="E1451" s="21"/>
      <c r="G1451" s="23">
        <v>0.1288744</v>
      </c>
      <c r="H1451" s="23">
        <v>-7.7767610000000001E-2</v>
      </c>
    </row>
    <row r="1452" spans="1:8" x14ac:dyDescent="0.35">
      <c r="A1452" s="23">
        <v>2.8320310000000001E-2</v>
      </c>
      <c r="B1452" s="23">
        <f t="shared" si="44"/>
        <v>-9.6727060000000004E-2</v>
      </c>
      <c r="C1452" s="24"/>
      <c r="D1452" s="24">
        <f t="shared" si="45"/>
        <v>-46.166037735849052</v>
      </c>
      <c r="E1452" s="21"/>
      <c r="G1452" s="23">
        <v>0.14680799999999999</v>
      </c>
      <c r="H1452" s="23">
        <v>-9.6727060000000004E-2</v>
      </c>
    </row>
    <row r="1453" spans="1:8" x14ac:dyDescent="0.35">
      <c r="A1453" s="23">
        <v>2.8339840000000002E-2</v>
      </c>
      <c r="B1453" s="23">
        <f t="shared" si="44"/>
        <v>-0.115277</v>
      </c>
      <c r="C1453" s="24"/>
      <c r="D1453" s="24">
        <f t="shared" si="45"/>
        <v>-51.627955974842763</v>
      </c>
      <c r="E1453" s="21"/>
      <c r="G1453" s="23">
        <v>0.16417689999999999</v>
      </c>
      <c r="H1453" s="23">
        <v>-0.115277</v>
      </c>
    </row>
    <row r="1454" spans="1:8" x14ac:dyDescent="0.35">
      <c r="A1454" s="23">
        <v>2.8359369999999998E-2</v>
      </c>
      <c r="B1454" s="23">
        <f t="shared" si="44"/>
        <v>-0.1343848</v>
      </c>
      <c r="C1454" s="24"/>
      <c r="D1454" s="24">
        <f t="shared" si="45"/>
        <v>-57.165880503144649</v>
      </c>
      <c r="E1454" s="21"/>
      <c r="G1454" s="23">
        <v>0.18178749999999999</v>
      </c>
      <c r="H1454" s="23">
        <v>-0.1343848</v>
      </c>
    </row>
    <row r="1455" spans="1:8" x14ac:dyDescent="0.35">
      <c r="A1455" s="23">
        <v>2.837891E-2</v>
      </c>
      <c r="B1455" s="23">
        <f t="shared" si="44"/>
        <v>-0.15024480000000001</v>
      </c>
      <c r="C1455" s="24"/>
      <c r="D1455" s="24">
        <f t="shared" si="45"/>
        <v>-62.024150943396222</v>
      </c>
      <c r="E1455" s="21"/>
      <c r="G1455" s="23">
        <v>0.19723679999999999</v>
      </c>
      <c r="H1455" s="23">
        <v>-0.15024480000000001</v>
      </c>
    </row>
    <row r="1456" spans="1:8" x14ac:dyDescent="0.35">
      <c r="A1456" s="23">
        <v>2.839844E-2</v>
      </c>
      <c r="B1456" s="23">
        <f t="shared" si="44"/>
        <v>-0.1660344</v>
      </c>
      <c r="C1456" s="24"/>
      <c r="D1456" s="24">
        <f t="shared" si="45"/>
        <v>-66.611006289308179</v>
      </c>
      <c r="E1456" s="21"/>
      <c r="G1456" s="23">
        <v>0.21182300000000001</v>
      </c>
      <c r="H1456" s="23">
        <v>-0.1660344</v>
      </c>
    </row>
    <row r="1457" spans="1:8" x14ac:dyDescent="0.35">
      <c r="A1457" s="23">
        <v>2.8417970000000001E-2</v>
      </c>
      <c r="B1457" s="23">
        <f t="shared" si="44"/>
        <v>-0.18154010000000001</v>
      </c>
      <c r="C1457" s="24"/>
      <c r="D1457" s="24">
        <f t="shared" si="45"/>
        <v>-71.521823899371071</v>
      </c>
      <c r="E1457" s="21"/>
      <c r="G1457" s="23">
        <v>0.22743940000000001</v>
      </c>
      <c r="H1457" s="23">
        <v>-0.18154010000000001</v>
      </c>
    </row>
    <row r="1458" spans="1:8" x14ac:dyDescent="0.35">
      <c r="A1458" s="23">
        <v>2.8437500000000001E-2</v>
      </c>
      <c r="B1458" s="23">
        <f t="shared" si="44"/>
        <v>-0.1950132</v>
      </c>
      <c r="C1458" s="24"/>
      <c r="D1458" s="24">
        <f t="shared" si="45"/>
        <v>-75.978301886792451</v>
      </c>
      <c r="E1458" s="21"/>
      <c r="G1458" s="23">
        <v>0.24161099999999999</v>
      </c>
      <c r="H1458" s="23">
        <v>-0.1950132</v>
      </c>
    </row>
    <row r="1459" spans="1:8" x14ac:dyDescent="0.35">
      <c r="A1459" s="23">
        <v>2.8457030000000001E-2</v>
      </c>
      <c r="B1459" s="23">
        <f t="shared" si="44"/>
        <v>-0.2065864</v>
      </c>
      <c r="C1459" s="24"/>
      <c r="D1459" s="24">
        <f t="shared" si="45"/>
        <v>-79.915566037735857</v>
      </c>
      <c r="E1459" s="21"/>
      <c r="G1459" s="23">
        <v>0.25413150000000001</v>
      </c>
      <c r="H1459" s="23">
        <v>-0.2065864</v>
      </c>
    </row>
    <row r="1460" spans="1:8" x14ac:dyDescent="0.35">
      <c r="A1460" s="23">
        <v>2.8476560000000001E-2</v>
      </c>
      <c r="B1460" s="23">
        <f t="shared" si="44"/>
        <v>-0.2166826</v>
      </c>
      <c r="C1460" s="24"/>
      <c r="D1460" s="24">
        <f t="shared" si="45"/>
        <v>-83.73465408805032</v>
      </c>
      <c r="E1460" s="21"/>
      <c r="G1460" s="23">
        <v>0.26627620000000002</v>
      </c>
      <c r="H1460" s="23">
        <v>-0.2166826</v>
      </c>
    </row>
    <row r="1461" spans="1:8" x14ac:dyDescent="0.35">
      <c r="A1461" s="23">
        <v>2.8496090000000002E-2</v>
      </c>
      <c r="B1461" s="23">
        <f t="shared" si="44"/>
        <v>-0.22711000000000001</v>
      </c>
      <c r="C1461" s="24"/>
      <c r="D1461" s="24">
        <f t="shared" si="45"/>
        <v>-87.384465408805013</v>
      </c>
      <c r="E1461" s="21"/>
      <c r="G1461" s="23">
        <v>0.27788259999999998</v>
      </c>
      <c r="H1461" s="23">
        <v>-0.22711000000000001</v>
      </c>
    </row>
    <row r="1462" spans="1:8" x14ac:dyDescent="0.35">
      <c r="A1462" s="23">
        <v>2.8515619999999998E-2</v>
      </c>
      <c r="B1462" s="23">
        <f t="shared" si="44"/>
        <v>-0.23571890000000001</v>
      </c>
      <c r="C1462" s="24"/>
      <c r="D1462" s="24">
        <f t="shared" si="45"/>
        <v>-90.460660377358479</v>
      </c>
      <c r="E1462" s="21"/>
      <c r="G1462" s="23">
        <v>0.2876649</v>
      </c>
      <c r="H1462" s="23">
        <v>-0.23571890000000001</v>
      </c>
    </row>
    <row r="1463" spans="1:8" x14ac:dyDescent="0.35">
      <c r="A1463" s="23">
        <v>2.853516E-2</v>
      </c>
      <c r="B1463" s="23">
        <f t="shared" si="44"/>
        <v>-0.2424827</v>
      </c>
      <c r="C1463" s="24"/>
      <c r="D1463" s="24">
        <f t="shared" si="45"/>
        <v>-92.922484276729563</v>
      </c>
      <c r="E1463" s="21"/>
      <c r="G1463" s="23">
        <v>0.29549350000000002</v>
      </c>
      <c r="H1463" s="23">
        <v>-0.2424827</v>
      </c>
    </row>
    <row r="1464" spans="1:8" x14ac:dyDescent="0.35">
      <c r="A1464" s="23">
        <v>2.8554690000000001E-2</v>
      </c>
      <c r="B1464" s="23">
        <f t="shared" si="44"/>
        <v>-0.24959339999999999</v>
      </c>
      <c r="C1464" s="24"/>
      <c r="D1464" s="24">
        <f t="shared" si="45"/>
        <v>-95.445849056603777</v>
      </c>
      <c r="E1464" s="21"/>
      <c r="G1464" s="23">
        <v>0.3035178</v>
      </c>
      <c r="H1464" s="23">
        <v>-0.24959339999999999</v>
      </c>
    </row>
    <row r="1465" spans="1:8" x14ac:dyDescent="0.35">
      <c r="A1465" s="23">
        <v>2.8574220000000001E-2</v>
      </c>
      <c r="B1465" s="23">
        <f t="shared" si="44"/>
        <v>-0.25643670000000002</v>
      </c>
      <c r="C1465" s="24"/>
      <c r="D1465" s="24">
        <f t="shared" si="45"/>
        <v>-97.955345911949678</v>
      </c>
      <c r="E1465" s="21"/>
      <c r="G1465" s="23">
        <v>0.311498</v>
      </c>
      <c r="H1465" s="23">
        <v>-0.25643670000000002</v>
      </c>
    </row>
    <row r="1466" spans="1:8" x14ac:dyDescent="0.35">
      <c r="A1466" s="23">
        <v>2.8593750000000001E-2</v>
      </c>
      <c r="B1466" s="23">
        <f t="shared" si="44"/>
        <v>-0.26215280000000002</v>
      </c>
      <c r="C1466" s="24"/>
      <c r="D1466" s="24">
        <f t="shared" si="45"/>
        <v>-99.857484276729565</v>
      </c>
      <c r="E1466" s="21"/>
      <c r="G1466" s="23">
        <v>0.31754680000000002</v>
      </c>
      <c r="H1466" s="23">
        <v>-0.26215280000000002</v>
      </c>
    </row>
    <row r="1467" spans="1:8" x14ac:dyDescent="0.35">
      <c r="A1467" s="23">
        <v>2.8613280000000001E-2</v>
      </c>
      <c r="B1467" s="23">
        <f t="shared" si="44"/>
        <v>-0.26619789999999999</v>
      </c>
      <c r="C1467" s="24"/>
      <c r="D1467" s="24">
        <f t="shared" si="45"/>
        <v>-101.3009748427673</v>
      </c>
      <c r="E1467" s="21"/>
      <c r="G1467" s="23">
        <v>0.32213710000000001</v>
      </c>
      <c r="H1467" s="23">
        <v>-0.26619789999999999</v>
      </c>
    </row>
    <row r="1468" spans="1:8" x14ac:dyDescent="0.35">
      <c r="A1468" s="23">
        <v>2.8632810000000002E-2</v>
      </c>
      <c r="B1468" s="23">
        <f t="shared" si="44"/>
        <v>-0.26920100000000002</v>
      </c>
      <c r="C1468" s="24"/>
      <c r="D1468" s="24">
        <f t="shared" si="45"/>
        <v>-102.28150943396226</v>
      </c>
      <c r="E1468" s="21"/>
      <c r="G1468" s="23">
        <v>0.32525520000000002</v>
      </c>
      <c r="H1468" s="23">
        <v>-0.26920100000000002</v>
      </c>
    </row>
    <row r="1469" spans="1:8" x14ac:dyDescent="0.35">
      <c r="A1469" s="23">
        <v>2.8652339999999998E-2</v>
      </c>
      <c r="B1469" s="23">
        <f t="shared" si="44"/>
        <v>-0.27082030000000001</v>
      </c>
      <c r="C1469" s="24"/>
      <c r="D1469" s="24">
        <f t="shared" si="45"/>
        <v>-102.55204402515723</v>
      </c>
      <c r="E1469" s="21"/>
      <c r="G1469" s="23">
        <v>0.3261155</v>
      </c>
      <c r="H1469" s="23">
        <v>-0.27082030000000001</v>
      </c>
    </row>
    <row r="1470" spans="1:8" x14ac:dyDescent="0.35">
      <c r="A1470" s="23">
        <v>2.8671869999999999E-2</v>
      </c>
      <c r="B1470" s="23">
        <f t="shared" si="44"/>
        <v>-0.27108959999999999</v>
      </c>
      <c r="C1470" s="24"/>
      <c r="D1470" s="24">
        <f t="shared" si="45"/>
        <v>-102.61383647798742</v>
      </c>
      <c r="E1470" s="21"/>
      <c r="G1470" s="23">
        <v>0.32631199999999999</v>
      </c>
      <c r="H1470" s="23">
        <v>-0.27108959999999999</v>
      </c>
    </row>
    <row r="1471" spans="1:8" x14ac:dyDescent="0.35">
      <c r="A1471" s="23">
        <v>2.8691410000000001E-2</v>
      </c>
      <c r="B1471" s="23">
        <f t="shared" si="44"/>
        <v>-0.27160689999999998</v>
      </c>
      <c r="C1471" s="24"/>
      <c r="D1471" s="24">
        <f t="shared" si="45"/>
        <v>-102.72103773584907</v>
      </c>
      <c r="E1471" s="21"/>
      <c r="G1471" s="23">
        <v>0.32665290000000002</v>
      </c>
      <c r="H1471" s="23">
        <v>-0.27160689999999998</v>
      </c>
    </row>
    <row r="1472" spans="1:8" x14ac:dyDescent="0.35">
      <c r="A1472" s="23">
        <v>2.8710940000000001E-2</v>
      </c>
      <c r="B1472" s="23">
        <f t="shared" si="44"/>
        <v>-0.27164719999999998</v>
      </c>
      <c r="C1472" s="24"/>
      <c r="D1472" s="24">
        <f t="shared" si="45"/>
        <v>-102.55091194968553</v>
      </c>
      <c r="E1472" s="21"/>
      <c r="G1472" s="23">
        <v>0.32611190000000001</v>
      </c>
      <c r="H1472" s="23">
        <v>-0.27164719999999998</v>
      </c>
    </row>
    <row r="1473" spans="1:8" x14ac:dyDescent="0.35">
      <c r="A1473" s="23">
        <v>2.8730470000000001E-2</v>
      </c>
      <c r="B1473" s="23">
        <f t="shared" si="44"/>
        <v>-0.26970460000000002</v>
      </c>
      <c r="C1473" s="24"/>
      <c r="D1473" s="24">
        <f t="shared" si="45"/>
        <v>-101.67974842767296</v>
      </c>
      <c r="E1473" s="21"/>
      <c r="G1473" s="23">
        <v>0.32334160000000001</v>
      </c>
      <c r="H1473" s="23">
        <v>-0.26970460000000002</v>
      </c>
    </row>
    <row r="1474" spans="1:8" x14ac:dyDescent="0.35">
      <c r="A1474" s="23">
        <v>2.8750000000000001E-2</v>
      </c>
      <c r="B1474" s="23">
        <f t="shared" ref="B1474:B1537" si="46">H1474</f>
        <v>-0.265762</v>
      </c>
      <c r="C1474" s="24"/>
      <c r="D1474" s="24">
        <f t="shared" ref="D1474:D1537" si="47">G1474*-1000/3.18</f>
        <v>-99.9843396226415</v>
      </c>
      <c r="E1474" s="21"/>
      <c r="G1474" s="23">
        <v>0.31795020000000002</v>
      </c>
      <c r="H1474" s="23">
        <v>-0.265762</v>
      </c>
    </row>
    <row r="1475" spans="1:8" x14ac:dyDescent="0.35">
      <c r="A1475" s="23">
        <v>2.8769530000000001E-2</v>
      </c>
      <c r="B1475" s="23">
        <f t="shared" si="46"/>
        <v>-0.26142710000000002</v>
      </c>
      <c r="C1475" s="24"/>
      <c r="D1475" s="24">
        <f t="shared" si="47"/>
        <v>-98.121257861635215</v>
      </c>
      <c r="E1475" s="21"/>
      <c r="G1475" s="23">
        <v>0.31202560000000001</v>
      </c>
      <c r="H1475" s="23">
        <v>-0.26142710000000002</v>
      </c>
    </row>
    <row r="1476" spans="1:8" x14ac:dyDescent="0.35">
      <c r="A1476" s="23">
        <v>2.8789060000000002E-2</v>
      </c>
      <c r="B1476" s="23">
        <f t="shared" si="46"/>
        <v>-0.2568009</v>
      </c>
      <c r="C1476" s="24"/>
      <c r="D1476" s="24">
        <f t="shared" si="47"/>
        <v>-96.027610062893089</v>
      </c>
      <c r="E1476" s="21"/>
      <c r="G1476" s="23">
        <v>0.30536780000000002</v>
      </c>
      <c r="H1476" s="23">
        <v>-0.2568009</v>
      </c>
    </row>
    <row r="1477" spans="1:8" x14ac:dyDescent="0.35">
      <c r="A1477" s="23">
        <v>2.8808589999999999E-2</v>
      </c>
      <c r="B1477" s="23">
        <f t="shared" si="46"/>
        <v>-0.25090469999999998</v>
      </c>
      <c r="C1477" s="24"/>
      <c r="D1477" s="24">
        <f t="shared" si="47"/>
        <v>-93.507987421383632</v>
      </c>
      <c r="E1477" s="21"/>
      <c r="G1477" s="23">
        <v>0.29735539999999999</v>
      </c>
      <c r="H1477" s="23">
        <v>-0.25090469999999998</v>
      </c>
    </row>
    <row r="1478" spans="1:8" x14ac:dyDescent="0.35">
      <c r="A1478" s="23">
        <v>2.8828119999999999E-2</v>
      </c>
      <c r="B1478" s="23">
        <f t="shared" si="46"/>
        <v>-0.2450543</v>
      </c>
      <c r="C1478" s="24"/>
      <c r="D1478" s="24">
        <f t="shared" si="47"/>
        <v>-90.990471698113197</v>
      </c>
      <c r="E1478" s="21"/>
      <c r="G1478" s="23">
        <v>0.28934969999999999</v>
      </c>
      <c r="H1478" s="23">
        <v>-0.2450543</v>
      </c>
    </row>
    <row r="1479" spans="1:8" x14ac:dyDescent="0.35">
      <c r="A1479" s="23">
        <v>2.8847660000000001E-2</v>
      </c>
      <c r="B1479" s="23">
        <f t="shared" si="46"/>
        <v>-0.23815729999999999</v>
      </c>
      <c r="C1479" s="24"/>
      <c r="D1479" s="24">
        <f t="shared" si="47"/>
        <v>-87.885943396226395</v>
      </c>
      <c r="E1479" s="21"/>
      <c r="G1479" s="23">
        <v>0.27947729999999998</v>
      </c>
      <c r="H1479" s="23">
        <v>-0.23815729999999999</v>
      </c>
    </row>
    <row r="1480" spans="1:8" x14ac:dyDescent="0.35">
      <c r="A1480" s="23">
        <v>2.8867190000000001E-2</v>
      </c>
      <c r="B1480" s="23">
        <f t="shared" si="46"/>
        <v>-0.22888449999999999</v>
      </c>
      <c r="C1480" s="24"/>
      <c r="D1480" s="24">
        <f t="shared" si="47"/>
        <v>-84.075440251572317</v>
      </c>
      <c r="E1480" s="21"/>
      <c r="G1480" s="23">
        <v>0.26735989999999998</v>
      </c>
      <c r="H1480" s="23">
        <v>-0.22888449999999999</v>
      </c>
    </row>
    <row r="1481" spans="1:8" x14ac:dyDescent="0.35">
      <c r="A1481" s="23">
        <v>2.8886720000000001E-2</v>
      </c>
      <c r="B1481" s="23">
        <f t="shared" si="46"/>
        <v>-0.2192152</v>
      </c>
      <c r="C1481" s="24"/>
      <c r="D1481" s="24">
        <f t="shared" si="47"/>
        <v>-80.101918238993719</v>
      </c>
      <c r="E1481" s="21"/>
      <c r="G1481" s="23">
        <v>0.25472410000000001</v>
      </c>
      <c r="H1481" s="23">
        <v>-0.2192152</v>
      </c>
    </row>
    <row r="1482" spans="1:8" x14ac:dyDescent="0.35">
      <c r="A1482" s="23">
        <v>2.8906250000000001E-2</v>
      </c>
      <c r="B1482" s="23">
        <f t="shared" si="46"/>
        <v>-0.20916480000000001</v>
      </c>
      <c r="C1482" s="24"/>
      <c r="D1482" s="24">
        <f t="shared" si="47"/>
        <v>-75.692578616352208</v>
      </c>
      <c r="E1482" s="21"/>
      <c r="G1482" s="23">
        <v>0.24070240000000001</v>
      </c>
      <c r="H1482" s="23">
        <v>-0.20916480000000001</v>
      </c>
    </row>
    <row r="1483" spans="1:8" x14ac:dyDescent="0.35">
      <c r="A1483" s="23">
        <v>2.8925780000000002E-2</v>
      </c>
      <c r="B1483" s="23">
        <f t="shared" si="46"/>
        <v>-0.198273</v>
      </c>
      <c r="C1483" s="24"/>
      <c r="D1483" s="24">
        <f t="shared" si="47"/>
        <v>-71.210251572327039</v>
      </c>
      <c r="E1483" s="21"/>
      <c r="G1483" s="23">
        <v>0.2264486</v>
      </c>
      <c r="H1483" s="23">
        <v>-0.198273</v>
      </c>
    </row>
    <row r="1484" spans="1:8" x14ac:dyDescent="0.35">
      <c r="A1484" s="23">
        <v>2.8945309999999998E-2</v>
      </c>
      <c r="B1484" s="23">
        <f t="shared" si="46"/>
        <v>-0.18685979999999999</v>
      </c>
      <c r="C1484" s="24"/>
      <c r="D1484" s="24">
        <f t="shared" si="47"/>
        <v>-66.747987421383641</v>
      </c>
      <c r="E1484" s="21"/>
      <c r="G1484" s="23">
        <v>0.21225859999999999</v>
      </c>
      <c r="H1484" s="23">
        <v>-0.18685979999999999</v>
      </c>
    </row>
    <row r="1485" spans="1:8" x14ac:dyDescent="0.35">
      <c r="A1485" s="23">
        <v>2.8964839999999999E-2</v>
      </c>
      <c r="B1485" s="23">
        <f t="shared" si="46"/>
        <v>-0.1745553</v>
      </c>
      <c r="C1485" s="24"/>
      <c r="D1485" s="24">
        <f t="shared" si="47"/>
        <v>-61.516226415094337</v>
      </c>
      <c r="E1485" s="21"/>
      <c r="G1485" s="23">
        <v>0.19562160000000001</v>
      </c>
      <c r="H1485" s="23">
        <v>-0.1745553</v>
      </c>
    </row>
    <row r="1486" spans="1:8" x14ac:dyDescent="0.35">
      <c r="A1486" s="23">
        <v>2.8984369999999999E-2</v>
      </c>
      <c r="B1486" s="23">
        <f t="shared" si="46"/>
        <v>-0.16143279999999999</v>
      </c>
      <c r="C1486" s="24"/>
      <c r="D1486" s="24">
        <f t="shared" si="47"/>
        <v>-56.014056603773582</v>
      </c>
      <c r="E1486" s="21"/>
      <c r="G1486" s="23">
        <v>0.1781247</v>
      </c>
      <c r="H1486" s="23">
        <v>-0.16143279999999999</v>
      </c>
    </row>
    <row r="1487" spans="1:8" x14ac:dyDescent="0.35">
      <c r="A1487" s="23">
        <v>2.9003910000000001E-2</v>
      </c>
      <c r="B1487" s="23">
        <f t="shared" si="46"/>
        <v>-0.1470899</v>
      </c>
      <c r="C1487" s="24"/>
      <c r="D1487" s="24">
        <f t="shared" si="47"/>
        <v>-50.366383647798742</v>
      </c>
      <c r="E1487" s="21"/>
      <c r="G1487" s="23">
        <v>0.1601651</v>
      </c>
      <c r="H1487" s="23">
        <v>-0.1470899</v>
      </c>
    </row>
    <row r="1488" spans="1:8" x14ac:dyDescent="0.35">
      <c r="A1488" s="23">
        <v>2.9023440000000001E-2</v>
      </c>
      <c r="B1488" s="23">
        <f t="shared" si="46"/>
        <v>-0.1317034</v>
      </c>
      <c r="C1488" s="24"/>
      <c r="D1488" s="24">
        <f t="shared" si="47"/>
        <v>-44.176383647798737</v>
      </c>
      <c r="E1488" s="21"/>
      <c r="G1488" s="23">
        <v>0.14048089999999999</v>
      </c>
      <c r="H1488" s="23">
        <v>-0.1317034</v>
      </c>
    </row>
    <row r="1489" spans="1:8" x14ac:dyDescent="0.35">
      <c r="A1489" s="23">
        <v>2.9042970000000001E-2</v>
      </c>
      <c r="B1489" s="23">
        <f t="shared" si="46"/>
        <v>-0.1165954</v>
      </c>
      <c r="C1489" s="24"/>
      <c r="D1489" s="24">
        <f t="shared" si="47"/>
        <v>-38.212138364779875</v>
      </c>
      <c r="E1489" s="21"/>
      <c r="G1489" s="23">
        <v>0.1215146</v>
      </c>
      <c r="H1489" s="23">
        <v>-0.1165954</v>
      </c>
    </row>
    <row r="1490" spans="1:8" x14ac:dyDescent="0.35">
      <c r="A1490" s="23">
        <v>2.9062500000000002E-2</v>
      </c>
      <c r="B1490" s="23">
        <f t="shared" si="46"/>
        <v>-0.10129580000000001</v>
      </c>
      <c r="C1490" s="24"/>
      <c r="D1490" s="24">
        <f t="shared" si="47"/>
        <v>-32.216635220125781</v>
      </c>
      <c r="E1490" s="21"/>
      <c r="G1490" s="23">
        <v>0.1024489</v>
      </c>
      <c r="H1490" s="23">
        <v>-0.10129580000000001</v>
      </c>
    </row>
    <row r="1491" spans="1:8" x14ac:dyDescent="0.35">
      <c r="A1491" s="23">
        <v>2.9082029999999998E-2</v>
      </c>
      <c r="B1491" s="23">
        <f t="shared" si="46"/>
        <v>-8.5239720000000005E-2</v>
      </c>
      <c r="C1491" s="24"/>
      <c r="D1491" s="24">
        <f t="shared" si="47"/>
        <v>-25.855798742138365</v>
      </c>
      <c r="E1491" s="21"/>
      <c r="G1491" s="23">
        <v>8.2221440000000007E-2</v>
      </c>
      <c r="H1491" s="23">
        <v>-8.5239720000000005E-2</v>
      </c>
    </row>
    <row r="1492" spans="1:8" x14ac:dyDescent="0.35">
      <c r="A1492" s="23">
        <v>2.9101559999999999E-2</v>
      </c>
      <c r="B1492" s="23">
        <f t="shared" si="46"/>
        <v>-6.9295140000000005E-2</v>
      </c>
      <c r="C1492" s="24"/>
      <c r="D1492" s="24">
        <f t="shared" si="47"/>
        <v>-19.553613207547169</v>
      </c>
      <c r="E1492" s="21"/>
      <c r="G1492" s="23">
        <v>6.2180489999999998E-2</v>
      </c>
      <c r="H1492" s="23">
        <v>-6.9295140000000005E-2</v>
      </c>
    </row>
    <row r="1493" spans="1:8" x14ac:dyDescent="0.35">
      <c r="A1493" s="23">
        <v>2.9121089999999999E-2</v>
      </c>
      <c r="B1493" s="23">
        <f t="shared" si="46"/>
        <v>-5.272276E-2</v>
      </c>
      <c r="C1493" s="24"/>
      <c r="D1493" s="24">
        <f t="shared" si="47"/>
        <v>-12.87554716981132</v>
      </c>
      <c r="E1493" s="21"/>
      <c r="G1493" s="23">
        <v>4.094424E-2</v>
      </c>
      <c r="H1493" s="23">
        <v>-5.272276E-2</v>
      </c>
    </row>
    <row r="1494" spans="1:8" x14ac:dyDescent="0.35">
      <c r="A1494" s="23">
        <v>2.9140619999999999E-2</v>
      </c>
      <c r="B1494" s="23">
        <f t="shared" si="46"/>
        <v>-3.5924699999999997E-2</v>
      </c>
      <c r="C1494" s="24"/>
      <c r="D1494" s="24">
        <f t="shared" si="47"/>
        <v>-6.2448679245283012</v>
      </c>
      <c r="E1494" s="21"/>
      <c r="G1494" s="23">
        <v>1.985868E-2</v>
      </c>
      <c r="H1494" s="23">
        <v>-3.5924699999999997E-2</v>
      </c>
    </row>
    <row r="1495" spans="1:8" x14ac:dyDescent="0.35">
      <c r="A1495" s="23">
        <v>2.9160160000000001E-2</v>
      </c>
      <c r="B1495" s="23">
        <f t="shared" si="46"/>
        <v>-2.011104E-2</v>
      </c>
      <c r="C1495" s="24"/>
      <c r="D1495" s="24">
        <f t="shared" si="47"/>
        <v>-3.9229685534591191E-2</v>
      </c>
      <c r="E1495" s="21"/>
      <c r="G1495" s="23">
        <v>1.247504E-4</v>
      </c>
      <c r="H1495" s="23">
        <v>-2.011104E-2</v>
      </c>
    </row>
    <row r="1496" spans="1:8" x14ac:dyDescent="0.35">
      <c r="A1496" s="23">
        <v>2.9179690000000001E-2</v>
      </c>
      <c r="B1496" s="23">
        <f t="shared" si="46"/>
        <v>-3.9606470000000003E-3</v>
      </c>
      <c r="C1496" s="24"/>
      <c r="D1496" s="24">
        <f t="shared" si="47"/>
        <v>6.4926981132075463</v>
      </c>
      <c r="E1496" s="21"/>
      <c r="G1496" s="23">
        <v>-2.064678E-2</v>
      </c>
      <c r="H1496" s="23">
        <v>-3.9606470000000003E-3</v>
      </c>
    </row>
    <row r="1497" spans="1:8" x14ac:dyDescent="0.35">
      <c r="A1497" s="23">
        <v>2.9199220000000001E-2</v>
      </c>
      <c r="B1497" s="23">
        <f t="shared" si="46"/>
        <v>1.258052E-2</v>
      </c>
      <c r="C1497" s="24"/>
      <c r="D1497" s="24">
        <f t="shared" si="47"/>
        <v>13.019628930817609</v>
      </c>
      <c r="E1497" s="21"/>
      <c r="G1497" s="23">
        <v>-4.1402420000000002E-2</v>
      </c>
      <c r="H1497" s="23">
        <v>1.258052E-2</v>
      </c>
    </row>
    <row r="1498" spans="1:8" x14ac:dyDescent="0.35">
      <c r="A1498" s="23">
        <v>2.9218750000000002E-2</v>
      </c>
      <c r="B1498" s="23">
        <f t="shared" si="46"/>
        <v>2.8890510000000001E-2</v>
      </c>
      <c r="C1498" s="24"/>
      <c r="D1498" s="24">
        <f t="shared" si="47"/>
        <v>19.254440251572323</v>
      </c>
      <c r="E1498" s="21"/>
      <c r="G1498" s="23">
        <v>-6.1229119999999998E-2</v>
      </c>
      <c r="H1498" s="23">
        <v>2.8890510000000001E-2</v>
      </c>
    </row>
    <row r="1499" spans="1:8" x14ac:dyDescent="0.35">
      <c r="A1499" s="23">
        <v>2.9238279999999998E-2</v>
      </c>
      <c r="B1499" s="23">
        <f t="shared" si="46"/>
        <v>4.5510120000000001E-2</v>
      </c>
      <c r="C1499" s="24"/>
      <c r="D1499" s="24">
        <f t="shared" si="47"/>
        <v>25.683009433962262</v>
      </c>
      <c r="E1499" s="21"/>
      <c r="G1499" s="23">
        <v>-8.1671969999999997E-2</v>
      </c>
      <c r="H1499" s="23">
        <v>4.5510120000000001E-2</v>
      </c>
    </row>
    <row r="1500" spans="1:8" x14ac:dyDescent="0.35">
      <c r="A1500" s="23">
        <v>2.9257809999999999E-2</v>
      </c>
      <c r="B1500" s="23">
        <f t="shared" si="46"/>
        <v>6.1593549999999997E-2</v>
      </c>
      <c r="C1500" s="24"/>
      <c r="D1500" s="24">
        <f t="shared" si="47"/>
        <v>31.872012578616349</v>
      </c>
      <c r="E1500" s="21"/>
      <c r="G1500" s="23">
        <v>-0.101353</v>
      </c>
      <c r="H1500" s="23">
        <v>6.1593549999999997E-2</v>
      </c>
    </row>
    <row r="1501" spans="1:8" x14ac:dyDescent="0.35">
      <c r="A1501" s="23">
        <v>2.9277339999999999E-2</v>
      </c>
      <c r="B1501" s="23">
        <f t="shared" si="46"/>
        <v>7.7076000000000006E-2</v>
      </c>
      <c r="C1501" s="24"/>
      <c r="D1501" s="24">
        <f t="shared" si="47"/>
        <v>37.773207547169804</v>
      </c>
      <c r="E1501" s="21"/>
      <c r="G1501" s="23">
        <v>-0.1201188</v>
      </c>
      <c r="H1501" s="23">
        <v>7.7076000000000006E-2</v>
      </c>
    </row>
    <row r="1502" spans="1:8" x14ac:dyDescent="0.35">
      <c r="A1502" s="23">
        <v>2.9296880000000001E-2</v>
      </c>
      <c r="B1502" s="23">
        <f t="shared" si="46"/>
        <v>9.2797640000000001E-2</v>
      </c>
      <c r="C1502" s="24"/>
      <c r="D1502" s="24">
        <f t="shared" si="47"/>
        <v>43.829465408805028</v>
      </c>
      <c r="E1502" s="21"/>
      <c r="G1502" s="23">
        <v>-0.13937769999999999</v>
      </c>
      <c r="H1502" s="23">
        <v>9.2797640000000001E-2</v>
      </c>
    </row>
    <row r="1503" spans="1:8" x14ac:dyDescent="0.35">
      <c r="A1503" s="23">
        <v>2.9316410000000001E-2</v>
      </c>
      <c r="B1503" s="23">
        <f t="shared" si="46"/>
        <v>0.10791190000000001</v>
      </c>
      <c r="C1503" s="24"/>
      <c r="D1503" s="24">
        <f t="shared" si="47"/>
        <v>49.493930817610057</v>
      </c>
      <c r="E1503" s="21"/>
      <c r="G1503" s="23">
        <v>-0.15739069999999999</v>
      </c>
      <c r="H1503" s="23">
        <v>0.10791190000000001</v>
      </c>
    </row>
    <row r="1504" spans="1:8" x14ac:dyDescent="0.35">
      <c r="A1504" s="23">
        <v>2.9335940000000001E-2</v>
      </c>
      <c r="B1504" s="23">
        <f t="shared" si="46"/>
        <v>0.1223984</v>
      </c>
      <c r="C1504" s="24"/>
      <c r="D1504" s="24">
        <f t="shared" si="47"/>
        <v>54.900345911949685</v>
      </c>
      <c r="E1504" s="21"/>
      <c r="G1504" s="23">
        <v>-0.17458309999999999</v>
      </c>
      <c r="H1504" s="23">
        <v>0.1223984</v>
      </c>
    </row>
    <row r="1505" spans="1:8" x14ac:dyDescent="0.35">
      <c r="A1505" s="23">
        <v>2.9355470000000002E-2</v>
      </c>
      <c r="B1505" s="23">
        <f t="shared" si="46"/>
        <v>0.1362102</v>
      </c>
      <c r="C1505" s="24"/>
      <c r="D1505" s="24">
        <f t="shared" si="47"/>
        <v>60.187672955974847</v>
      </c>
      <c r="E1505" s="21"/>
      <c r="G1505" s="23">
        <v>-0.19139680000000001</v>
      </c>
      <c r="H1505" s="23">
        <v>0.1362102</v>
      </c>
    </row>
    <row r="1506" spans="1:8" x14ac:dyDescent="0.35">
      <c r="A1506" s="23">
        <v>2.9374999999999998E-2</v>
      </c>
      <c r="B1506" s="23">
        <f t="shared" si="46"/>
        <v>0.14879729999999999</v>
      </c>
      <c r="C1506" s="24"/>
      <c r="D1506" s="24">
        <f t="shared" si="47"/>
        <v>64.977169811320749</v>
      </c>
      <c r="E1506" s="21"/>
      <c r="G1506" s="23">
        <v>-0.20662739999999999</v>
      </c>
      <c r="H1506" s="23">
        <v>0.14879729999999999</v>
      </c>
    </row>
    <row r="1507" spans="1:8" x14ac:dyDescent="0.35">
      <c r="A1507" s="23">
        <v>2.9394529999999999E-2</v>
      </c>
      <c r="B1507" s="23">
        <f t="shared" si="46"/>
        <v>0.16168779999999999</v>
      </c>
      <c r="C1507" s="24"/>
      <c r="D1507" s="24">
        <f t="shared" si="47"/>
        <v>69.912641509433968</v>
      </c>
      <c r="E1507" s="21"/>
      <c r="G1507" s="23">
        <v>-0.2223222</v>
      </c>
      <c r="H1507" s="23">
        <v>0.16168779999999999</v>
      </c>
    </row>
    <row r="1508" spans="1:8" x14ac:dyDescent="0.35">
      <c r="A1508" s="23">
        <v>2.9414059999999999E-2</v>
      </c>
      <c r="B1508" s="23">
        <f t="shared" si="46"/>
        <v>0.17411799999999999</v>
      </c>
      <c r="C1508" s="24"/>
      <c r="D1508" s="24">
        <f t="shared" si="47"/>
        <v>74.583144654088059</v>
      </c>
      <c r="E1508" s="21"/>
      <c r="G1508" s="23">
        <v>-0.23717440000000001</v>
      </c>
      <c r="H1508" s="23">
        <v>0.17411799999999999</v>
      </c>
    </row>
    <row r="1509" spans="1:8" x14ac:dyDescent="0.35">
      <c r="A1509" s="23">
        <v>2.9433589999999999E-2</v>
      </c>
      <c r="B1509" s="23">
        <f t="shared" si="46"/>
        <v>0.18458959999999999</v>
      </c>
      <c r="C1509" s="24"/>
      <c r="D1509" s="24">
        <f t="shared" si="47"/>
        <v>78.495849056603774</v>
      </c>
      <c r="E1509" s="21"/>
      <c r="G1509" s="23">
        <v>-0.2496168</v>
      </c>
      <c r="H1509" s="23">
        <v>0.18458959999999999</v>
      </c>
    </row>
    <row r="1510" spans="1:8" x14ac:dyDescent="0.35">
      <c r="A1510" s="23">
        <v>2.9453130000000001E-2</v>
      </c>
      <c r="B1510" s="23">
        <f t="shared" si="46"/>
        <v>0.19452739999999999</v>
      </c>
      <c r="C1510" s="24"/>
      <c r="D1510" s="24">
        <f t="shared" si="47"/>
        <v>82.30295597484276</v>
      </c>
      <c r="E1510" s="21"/>
      <c r="G1510" s="23">
        <v>-0.26172339999999999</v>
      </c>
      <c r="H1510" s="23">
        <v>0.19452739999999999</v>
      </c>
    </row>
    <row r="1511" spans="1:8" x14ac:dyDescent="0.35">
      <c r="A1511" s="23">
        <v>2.9472660000000001E-2</v>
      </c>
      <c r="B1511" s="23">
        <f t="shared" si="46"/>
        <v>0.20376</v>
      </c>
      <c r="C1511" s="24"/>
      <c r="D1511" s="24">
        <f t="shared" si="47"/>
        <v>85.789119496855335</v>
      </c>
      <c r="E1511" s="21"/>
      <c r="G1511" s="23">
        <v>-0.27280939999999998</v>
      </c>
      <c r="H1511" s="23">
        <v>0.20376</v>
      </c>
    </row>
    <row r="1512" spans="1:8" x14ac:dyDescent="0.35">
      <c r="A1512" s="23">
        <v>2.9492190000000001E-2</v>
      </c>
      <c r="B1512" s="23">
        <f t="shared" si="46"/>
        <v>0.2121382</v>
      </c>
      <c r="C1512" s="24"/>
      <c r="D1512" s="24">
        <f t="shared" si="47"/>
        <v>88.933427672955986</v>
      </c>
      <c r="E1512" s="21"/>
      <c r="G1512" s="23">
        <v>-0.28280830000000001</v>
      </c>
      <c r="H1512" s="23">
        <v>0.2121382</v>
      </c>
    </row>
    <row r="1513" spans="1:8" x14ac:dyDescent="0.35">
      <c r="A1513" s="23">
        <v>2.9511720000000002E-2</v>
      </c>
      <c r="B1513" s="23">
        <f t="shared" si="46"/>
        <v>0.22016379999999999</v>
      </c>
      <c r="C1513" s="24"/>
      <c r="D1513" s="24">
        <f t="shared" si="47"/>
        <v>91.942830188679238</v>
      </c>
      <c r="E1513" s="21"/>
      <c r="G1513" s="23">
        <v>-0.29237819999999998</v>
      </c>
      <c r="H1513" s="23">
        <v>0.22016379999999999</v>
      </c>
    </row>
    <row r="1514" spans="1:8" x14ac:dyDescent="0.35">
      <c r="A1514" s="23">
        <v>2.9531249999999998E-2</v>
      </c>
      <c r="B1514" s="23">
        <f t="shared" si="46"/>
        <v>0.22679379999999999</v>
      </c>
      <c r="C1514" s="24"/>
      <c r="D1514" s="24">
        <f t="shared" si="47"/>
        <v>94.421698113207555</v>
      </c>
      <c r="E1514" s="21"/>
      <c r="G1514" s="23">
        <v>-0.300261</v>
      </c>
      <c r="H1514" s="23">
        <v>0.22679379999999999</v>
      </c>
    </row>
    <row r="1515" spans="1:8" x14ac:dyDescent="0.35">
      <c r="A1515" s="23">
        <v>2.9550779999999999E-2</v>
      </c>
      <c r="B1515" s="23">
        <f t="shared" si="46"/>
        <v>0.23230780000000001</v>
      </c>
      <c r="C1515" s="24"/>
      <c r="D1515" s="24">
        <f t="shared" si="47"/>
        <v>96.440880503144655</v>
      </c>
      <c r="E1515" s="21"/>
      <c r="G1515" s="23">
        <v>-0.30668200000000001</v>
      </c>
      <c r="H1515" s="23">
        <v>0.23230780000000001</v>
      </c>
    </row>
    <row r="1516" spans="1:8" x14ac:dyDescent="0.35">
      <c r="A1516" s="23">
        <v>2.9570309999999999E-2</v>
      </c>
      <c r="B1516" s="23">
        <f t="shared" si="46"/>
        <v>0.23734350000000001</v>
      </c>
      <c r="C1516" s="24"/>
      <c r="D1516" s="24">
        <f t="shared" si="47"/>
        <v>98.227138364779876</v>
      </c>
      <c r="E1516" s="21"/>
      <c r="G1516" s="23">
        <v>-0.31236229999999998</v>
      </c>
      <c r="H1516" s="23">
        <v>0.23734350000000001</v>
      </c>
    </row>
    <row r="1517" spans="1:8" x14ac:dyDescent="0.35">
      <c r="A1517" s="23">
        <v>2.9589839999999999E-2</v>
      </c>
      <c r="B1517" s="23">
        <f t="shared" si="46"/>
        <v>0.24142620000000001</v>
      </c>
      <c r="C1517" s="24"/>
      <c r="D1517" s="24">
        <f t="shared" si="47"/>
        <v>99.56078616352201</v>
      </c>
      <c r="E1517" s="21"/>
      <c r="G1517" s="23">
        <v>-0.31660329999999998</v>
      </c>
      <c r="H1517" s="23">
        <v>0.24142620000000001</v>
      </c>
    </row>
    <row r="1518" spans="1:8" x14ac:dyDescent="0.35">
      <c r="A1518" s="23">
        <v>2.9609380000000001E-2</v>
      </c>
      <c r="B1518" s="23">
        <f t="shared" si="46"/>
        <v>0.24499290000000001</v>
      </c>
      <c r="C1518" s="24"/>
      <c r="D1518" s="24">
        <f t="shared" si="47"/>
        <v>100.72669811320755</v>
      </c>
      <c r="E1518" s="21"/>
      <c r="G1518" s="23">
        <v>-0.32031090000000001</v>
      </c>
      <c r="H1518" s="23">
        <v>0.24499290000000001</v>
      </c>
    </row>
    <row r="1519" spans="1:8" x14ac:dyDescent="0.35">
      <c r="A1519" s="23">
        <v>2.9628910000000001E-2</v>
      </c>
      <c r="B1519" s="23">
        <f t="shared" si="46"/>
        <v>0.2481806</v>
      </c>
      <c r="C1519" s="24"/>
      <c r="D1519" s="24">
        <f t="shared" si="47"/>
        <v>101.7541823899371</v>
      </c>
      <c r="E1519" s="21"/>
      <c r="G1519" s="23">
        <v>-0.32357829999999999</v>
      </c>
      <c r="H1519" s="23">
        <v>0.2481806</v>
      </c>
    </row>
    <row r="1520" spans="1:8" x14ac:dyDescent="0.35">
      <c r="A1520" s="23">
        <v>2.9648440000000002E-2</v>
      </c>
      <c r="B1520" s="23">
        <f t="shared" si="46"/>
        <v>0.24995909999999999</v>
      </c>
      <c r="C1520" s="24"/>
      <c r="D1520" s="24">
        <f t="shared" si="47"/>
        <v>101.99292452830187</v>
      </c>
      <c r="E1520" s="21"/>
      <c r="G1520" s="23">
        <v>-0.3243375</v>
      </c>
      <c r="H1520" s="23">
        <v>0.24995909999999999</v>
      </c>
    </row>
    <row r="1521" spans="1:8" x14ac:dyDescent="0.35">
      <c r="A1521" s="23">
        <v>2.9667969999999998E-2</v>
      </c>
      <c r="B1521" s="23">
        <f t="shared" si="46"/>
        <v>0.25057170000000001</v>
      </c>
      <c r="C1521" s="24"/>
      <c r="D1521" s="24">
        <f t="shared" si="47"/>
        <v>101.90949685534589</v>
      </c>
      <c r="E1521" s="21"/>
      <c r="G1521" s="23">
        <v>-0.32407219999999998</v>
      </c>
      <c r="H1521" s="23">
        <v>0.25057170000000001</v>
      </c>
    </row>
    <row r="1522" spans="1:8" x14ac:dyDescent="0.35">
      <c r="A1522" s="23">
        <v>2.9687499999999999E-2</v>
      </c>
      <c r="B1522" s="23">
        <f t="shared" si="46"/>
        <v>0.25081550000000002</v>
      </c>
      <c r="C1522" s="24"/>
      <c r="D1522" s="24">
        <f t="shared" si="47"/>
        <v>101.64808176100628</v>
      </c>
      <c r="E1522" s="21"/>
      <c r="G1522" s="23">
        <v>-0.3232409</v>
      </c>
      <c r="H1522" s="23">
        <v>0.25081550000000002</v>
      </c>
    </row>
    <row r="1523" spans="1:8" x14ac:dyDescent="0.35">
      <c r="A1523" s="23">
        <v>2.9707029999999999E-2</v>
      </c>
      <c r="B1523" s="23">
        <f t="shared" si="46"/>
        <v>0.25034440000000002</v>
      </c>
      <c r="C1523" s="24"/>
      <c r="D1523" s="24">
        <f t="shared" si="47"/>
        <v>100.77474842767296</v>
      </c>
      <c r="E1523" s="21"/>
      <c r="G1523" s="23">
        <v>-0.32046370000000002</v>
      </c>
      <c r="H1523" s="23">
        <v>0.25034440000000002</v>
      </c>
    </row>
    <row r="1524" spans="1:8" x14ac:dyDescent="0.35">
      <c r="A1524" s="23">
        <v>2.9726559999999999E-2</v>
      </c>
      <c r="B1524" s="23">
        <f t="shared" si="46"/>
        <v>0.24908230000000001</v>
      </c>
      <c r="C1524" s="24"/>
      <c r="D1524" s="24">
        <f t="shared" si="47"/>
        <v>99.71547169811322</v>
      </c>
      <c r="E1524" s="21"/>
      <c r="G1524" s="23">
        <v>-0.31709520000000002</v>
      </c>
      <c r="H1524" s="23">
        <v>0.24908230000000001</v>
      </c>
    </row>
    <row r="1525" spans="1:8" x14ac:dyDescent="0.35">
      <c r="A1525" s="23">
        <v>2.9746089999999999E-2</v>
      </c>
      <c r="B1525" s="23">
        <f t="shared" si="46"/>
        <v>0.24748400000000001</v>
      </c>
      <c r="C1525" s="24"/>
      <c r="D1525" s="24">
        <f t="shared" si="47"/>
        <v>98.474496855345919</v>
      </c>
      <c r="E1525" s="21"/>
      <c r="G1525" s="23">
        <v>-0.31314890000000001</v>
      </c>
      <c r="H1525" s="23">
        <v>0.24748400000000001</v>
      </c>
    </row>
    <row r="1526" spans="1:8" x14ac:dyDescent="0.35">
      <c r="A1526" s="23">
        <v>2.9765630000000001E-2</v>
      </c>
      <c r="B1526" s="23">
        <f t="shared" si="46"/>
        <v>0.2452424</v>
      </c>
      <c r="C1526" s="24"/>
      <c r="D1526" s="24">
        <f t="shared" si="47"/>
        <v>96.867075471698115</v>
      </c>
      <c r="E1526" s="21"/>
      <c r="G1526" s="23">
        <v>-0.30803730000000001</v>
      </c>
      <c r="H1526" s="23">
        <v>0.2452424</v>
      </c>
    </row>
    <row r="1527" spans="1:8" x14ac:dyDescent="0.35">
      <c r="A1527" s="23">
        <v>2.9785160000000001E-2</v>
      </c>
      <c r="B1527" s="23">
        <f t="shared" si="46"/>
        <v>0.2420629</v>
      </c>
      <c r="C1527" s="24"/>
      <c r="D1527" s="24">
        <f t="shared" si="47"/>
        <v>94.756666666666646</v>
      </c>
      <c r="E1527" s="21"/>
      <c r="G1527" s="23">
        <v>-0.30132619999999999</v>
      </c>
      <c r="H1527" s="23">
        <v>0.2420629</v>
      </c>
    </row>
    <row r="1528" spans="1:8" x14ac:dyDescent="0.35">
      <c r="A1528" s="23">
        <v>2.9804689999999998E-2</v>
      </c>
      <c r="B1528" s="23">
        <f t="shared" si="46"/>
        <v>0.23765169999999999</v>
      </c>
      <c r="C1528" s="24"/>
      <c r="D1528" s="24">
        <f t="shared" si="47"/>
        <v>92.108396226415081</v>
      </c>
      <c r="E1528" s="21"/>
      <c r="G1528" s="23">
        <v>-0.29290470000000002</v>
      </c>
      <c r="H1528" s="23">
        <v>0.23765169999999999</v>
      </c>
    </row>
    <row r="1529" spans="1:8" x14ac:dyDescent="0.35">
      <c r="A1529" s="23">
        <v>2.9824219999999999E-2</v>
      </c>
      <c r="B1529" s="23">
        <f t="shared" si="46"/>
        <v>0.23188110000000001</v>
      </c>
      <c r="C1529" s="24"/>
      <c r="D1529" s="24">
        <f t="shared" si="47"/>
        <v>89.233207547169798</v>
      </c>
      <c r="E1529" s="21"/>
      <c r="G1529" s="23">
        <v>-0.2837616</v>
      </c>
      <c r="H1529" s="23">
        <v>0.23188110000000001</v>
      </c>
    </row>
    <row r="1530" spans="1:8" x14ac:dyDescent="0.35">
      <c r="A1530" s="23">
        <v>2.9843749999999999E-2</v>
      </c>
      <c r="B1530" s="23">
        <f t="shared" si="46"/>
        <v>0.22523209999999999</v>
      </c>
      <c r="C1530" s="24"/>
      <c r="D1530" s="24">
        <f t="shared" si="47"/>
        <v>86.120094339622639</v>
      </c>
      <c r="E1530" s="21"/>
      <c r="G1530" s="23">
        <v>-0.27386189999999999</v>
      </c>
      <c r="H1530" s="23">
        <v>0.22523209999999999</v>
      </c>
    </row>
    <row r="1531" spans="1:8" x14ac:dyDescent="0.35">
      <c r="A1531" s="23">
        <v>2.9863279999999999E-2</v>
      </c>
      <c r="B1531" s="23">
        <f t="shared" si="46"/>
        <v>0.2185455</v>
      </c>
      <c r="C1531" s="24"/>
      <c r="D1531" s="24">
        <f t="shared" si="47"/>
        <v>82.852861635220123</v>
      </c>
      <c r="E1531" s="21"/>
      <c r="G1531" s="23">
        <v>-0.26347209999999999</v>
      </c>
      <c r="H1531" s="23">
        <v>0.2185455</v>
      </c>
    </row>
    <row r="1532" spans="1:8" x14ac:dyDescent="0.35">
      <c r="A1532" s="23">
        <v>2.9882809999999999E-2</v>
      </c>
      <c r="B1532" s="23">
        <f t="shared" si="46"/>
        <v>0.2123456</v>
      </c>
      <c r="C1532" s="24"/>
      <c r="D1532" s="24">
        <f t="shared" si="47"/>
        <v>79.334968553459106</v>
      </c>
      <c r="E1532" s="21"/>
      <c r="G1532" s="23">
        <v>-0.25228519999999999</v>
      </c>
      <c r="H1532" s="23">
        <v>0.2123456</v>
      </c>
    </row>
    <row r="1533" spans="1:8" x14ac:dyDescent="0.35">
      <c r="A1533" s="23">
        <v>2.9902339999999999E-2</v>
      </c>
      <c r="B1533" s="23">
        <f t="shared" si="46"/>
        <v>0.20478499999999999</v>
      </c>
      <c r="C1533" s="24"/>
      <c r="D1533" s="24">
        <f t="shared" si="47"/>
        <v>75.3161320754717</v>
      </c>
      <c r="E1533" s="21"/>
      <c r="G1533" s="23">
        <v>-0.2395053</v>
      </c>
      <c r="H1533" s="23">
        <v>0.20478499999999999</v>
      </c>
    </row>
    <row r="1534" spans="1:8" x14ac:dyDescent="0.35">
      <c r="A1534" s="23">
        <v>2.9921880000000001E-2</v>
      </c>
      <c r="B1534" s="23">
        <f t="shared" si="46"/>
        <v>0.194938</v>
      </c>
      <c r="C1534" s="24"/>
      <c r="D1534" s="24">
        <f t="shared" si="47"/>
        <v>70.802798742138364</v>
      </c>
      <c r="E1534" s="21"/>
      <c r="G1534" s="23">
        <v>-0.22515289999999999</v>
      </c>
      <c r="H1534" s="23">
        <v>0.194938</v>
      </c>
    </row>
    <row r="1535" spans="1:8" x14ac:dyDescent="0.35">
      <c r="A1535" s="23">
        <v>2.9941410000000002E-2</v>
      </c>
      <c r="B1535" s="23">
        <f t="shared" si="46"/>
        <v>0.18390000000000001</v>
      </c>
      <c r="C1535" s="24"/>
      <c r="D1535" s="24">
        <f t="shared" si="47"/>
        <v>65.921320754716987</v>
      </c>
      <c r="E1535" s="21"/>
      <c r="G1535" s="23">
        <v>-0.20962980000000001</v>
      </c>
      <c r="H1535" s="23">
        <v>0.18390000000000001</v>
      </c>
    </row>
    <row r="1536" spans="1:8" x14ac:dyDescent="0.35">
      <c r="A1536" s="23">
        <v>2.9960939999999998E-2</v>
      </c>
      <c r="B1536" s="23">
        <f t="shared" si="46"/>
        <v>0.17334069999999999</v>
      </c>
      <c r="C1536" s="24"/>
      <c r="D1536" s="24">
        <f t="shared" si="47"/>
        <v>61.204245283018864</v>
      </c>
      <c r="E1536" s="21"/>
      <c r="G1536" s="23">
        <v>-0.19462950000000001</v>
      </c>
      <c r="H1536" s="23">
        <v>0.17334069999999999</v>
      </c>
    </row>
    <row r="1537" spans="1:8" x14ac:dyDescent="0.35">
      <c r="A1537" s="23">
        <v>2.9980469999999999E-2</v>
      </c>
      <c r="B1537" s="23">
        <f t="shared" si="46"/>
        <v>0.163551</v>
      </c>
      <c r="C1537" s="24"/>
      <c r="D1537" s="24">
        <f t="shared" si="47"/>
        <v>56.524245283018864</v>
      </c>
      <c r="E1537" s="21"/>
      <c r="G1537" s="23">
        <v>-0.17974709999999999</v>
      </c>
      <c r="H1537" s="23">
        <v>0.163551</v>
      </c>
    </row>
    <row r="1538" spans="1:8" x14ac:dyDescent="0.35">
      <c r="A1538" s="23">
        <v>0.03</v>
      </c>
      <c r="B1538" s="23">
        <f t="shared" ref="B1538:B1601" si="48">H1538</f>
        <v>0.15250620000000001</v>
      </c>
      <c r="C1538" s="24"/>
      <c r="D1538" s="24">
        <f t="shared" ref="D1538:D1601" si="49">G1538*-1000/3.18</f>
        <v>51.323805031446547</v>
      </c>
      <c r="E1538" s="21"/>
      <c r="G1538" s="23">
        <v>-0.16320970000000001</v>
      </c>
      <c r="H1538" s="23">
        <v>0.15250620000000001</v>
      </c>
    </row>
    <row r="1539" spans="1:8" x14ac:dyDescent="0.35">
      <c r="A1539" s="23">
        <v>3.0019529999999999E-2</v>
      </c>
      <c r="B1539" s="23">
        <f t="shared" si="48"/>
        <v>0.14155770000000001</v>
      </c>
      <c r="C1539" s="24"/>
      <c r="D1539" s="24">
        <f t="shared" si="49"/>
        <v>45.898710691823894</v>
      </c>
      <c r="E1539" s="21"/>
      <c r="G1539" s="23">
        <v>-0.1459579</v>
      </c>
      <c r="H1539" s="23">
        <v>0.14155770000000001</v>
      </c>
    </row>
    <row r="1540" spans="1:8" x14ac:dyDescent="0.35">
      <c r="A1540" s="23">
        <v>3.0039059999999999E-2</v>
      </c>
      <c r="B1540" s="23">
        <f t="shared" si="48"/>
        <v>0.12890480000000001</v>
      </c>
      <c r="C1540" s="24"/>
      <c r="D1540" s="24">
        <f t="shared" si="49"/>
        <v>40.253396226415092</v>
      </c>
      <c r="E1540" s="21"/>
      <c r="G1540" s="23">
        <v>-0.1280058</v>
      </c>
      <c r="H1540" s="23">
        <v>0.12890480000000001</v>
      </c>
    </row>
    <row r="1541" spans="1:8" x14ac:dyDescent="0.35">
      <c r="A1541" s="23">
        <v>3.005859E-2</v>
      </c>
      <c r="B1541" s="23">
        <f t="shared" si="48"/>
        <v>0.11427660000000001</v>
      </c>
      <c r="C1541" s="24"/>
      <c r="D1541" s="24">
        <f t="shared" si="49"/>
        <v>34.136100628930819</v>
      </c>
      <c r="E1541" s="21"/>
      <c r="G1541" s="23">
        <v>-0.1085528</v>
      </c>
      <c r="H1541" s="23">
        <v>0.11427660000000001</v>
      </c>
    </row>
    <row r="1542" spans="1:8" x14ac:dyDescent="0.35">
      <c r="A1542" s="23">
        <v>3.0078130000000002E-2</v>
      </c>
      <c r="B1542" s="23">
        <f t="shared" si="48"/>
        <v>0.1024577</v>
      </c>
      <c r="C1542" s="24"/>
      <c r="D1542" s="24">
        <f t="shared" si="49"/>
        <v>28.272075471698113</v>
      </c>
      <c r="E1542" s="21"/>
      <c r="G1542" s="23">
        <v>-8.9905200000000005E-2</v>
      </c>
      <c r="H1542" s="23">
        <v>0.1024577</v>
      </c>
    </row>
    <row r="1543" spans="1:8" x14ac:dyDescent="0.35">
      <c r="A1543" s="23">
        <v>3.0097659999999998E-2</v>
      </c>
      <c r="B1543" s="23">
        <f t="shared" si="48"/>
        <v>9.0094590000000002E-2</v>
      </c>
      <c r="C1543" s="24"/>
      <c r="D1543" s="24">
        <f t="shared" si="49"/>
        <v>22.73543396226415</v>
      </c>
      <c r="E1543" s="21"/>
      <c r="G1543" s="23">
        <v>-7.2298680000000004E-2</v>
      </c>
      <c r="H1543" s="23">
        <v>9.0094590000000002E-2</v>
      </c>
    </row>
    <row r="1544" spans="1:8" x14ac:dyDescent="0.35">
      <c r="A1544" s="23">
        <v>3.0117189999999999E-2</v>
      </c>
      <c r="B1544" s="23">
        <f t="shared" si="48"/>
        <v>7.6829239999999993E-2</v>
      </c>
      <c r="C1544" s="24"/>
      <c r="D1544" s="24">
        <f t="shared" si="49"/>
        <v>16.712694968553457</v>
      </c>
      <c r="E1544" s="21"/>
      <c r="G1544" s="23">
        <v>-5.3146369999999998E-2</v>
      </c>
      <c r="H1544" s="23">
        <v>7.6829239999999993E-2</v>
      </c>
    </row>
    <row r="1545" spans="1:8" x14ac:dyDescent="0.35">
      <c r="A1545" s="23">
        <v>3.0136719999999999E-2</v>
      </c>
      <c r="B1545" s="23">
        <f t="shared" si="48"/>
        <v>6.3869019999999999E-2</v>
      </c>
      <c r="C1545" s="24"/>
      <c r="D1545" s="24">
        <f t="shared" si="49"/>
        <v>10.455959119496855</v>
      </c>
      <c r="E1545" s="21"/>
      <c r="G1545" s="23">
        <v>-3.324995E-2</v>
      </c>
      <c r="H1545" s="23">
        <v>6.3869019999999999E-2</v>
      </c>
    </row>
    <row r="1546" spans="1:8" x14ac:dyDescent="0.35">
      <c r="A1546" s="23">
        <v>3.0156249999999999E-2</v>
      </c>
      <c r="B1546" s="23">
        <f t="shared" si="48"/>
        <v>4.9245780000000003E-2</v>
      </c>
      <c r="C1546" s="24"/>
      <c r="D1546" s="24">
        <f t="shared" si="49"/>
        <v>4.1915283018867919</v>
      </c>
      <c r="E1546" s="21"/>
      <c r="G1546" s="23">
        <v>-1.332906E-2</v>
      </c>
      <c r="H1546" s="23">
        <v>4.9245780000000003E-2</v>
      </c>
    </row>
    <row r="1547" spans="1:8" x14ac:dyDescent="0.35">
      <c r="A1547" s="23">
        <v>3.0175779999999999E-2</v>
      </c>
      <c r="B1547" s="23">
        <f t="shared" si="48"/>
        <v>3.506596E-2</v>
      </c>
      <c r="C1547" s="24"/>
      <c r="D1547" s="24">
        <f t="shared" si="49"/>
        <v>-2.1221534591194966</v>
      </c>
      <c r="E1547" s="21"/>
      <c r="G1547" s="23">
        <v>6.7484479999999998E-3</v>
      </c>
      <c r="H1547" s="23">
        <v>3.506596E-2</v>
      </c>
    </row>
    <row r="1548" spans="1:8" x14ac:dyDescent="0.35">
      <c r="A1548" s="23">
        <v>3.019531E-2</v>
      </c>
      <c r="B1548" s="23">
        <f t="shared" si="48"/>
        <v>2.0020320000000001E-2</v>
      </c>
      <c r="C1548" s="24"/>
      <c r="D1548" s="24">
        <f t="shared" si="49"/>
        <v>-8.2166509433962265</v>
      </c>
      <c r="E1548" s="21"/>
      <c r="G1548" s="23">
        <v>2.6128950000000001E-2</v>
      </c>
      <c r="H1548" s="23">
        <v>2.0020320000000001E-2</v>
      </c>
    </row>
    <row r="1549" spans="1:8" x14ac:dyDescent="0.35">
      <c r="A1549" s="23">
        <v>3.021484E-2</v>
      </c>
      <c r="B1549" s="23">
        <f t="shared" si="48"/>
        <v>3.3637049999999998E-3</v>
      </c>
      <c r="C1549" s="24"/>
      <c r="D1549" s="24">
        <f t="shared" si="49"/>
        <v>-14.593179245283018</v>
      </c>
      <c r="E1549" s="21"/>
      <c r="G1549" s="23">
        <v>4.6406309999999999E-2</v>
      </c>
      <c r="H1549" s="23">
        <v>3.3637049999999998E-3</v>
      </c>
    </row>
    <row r="1550" spans="1:8" x14ac:dyDescent="0.35">
      <c r="A1550" s="23">
        <v>3.0234380000000002E-2</v>
      </c>
      <c r="B1550" s="23">
        <f t="shared" si="48"/>
        <v>-1.3003539999999999E-2</v>
      </c>
      <c r="C1550" s="24"/>
      <c r="D1550" s="24">
        <f t="shared" si="49"/>
        <v>-20.992298742138363</v>
      </c>
      <c r="E1550" s="21"/>
      <c r="G1550" s="23">
        <v>6.6755510000000004E-2</v>
      </c>
      <c r="H1550" s="23">
        <v>-1.3003539999999999E-2</v>
      </c>
    </row>
    <row r="1551" spans="1:8" x14ac:dyDescent="0.35">
      <c r="A1551" s="23">
        <v>3.0253909999999998E-2</v>
      </c>
      <c r="B1551" s="23">
        <f t="shared" si="48"/>
        <v>-3.1168620000000001E-2</v>
      </c>
      <c r="C1551" s="24"/>
      <c r="D1551" s="24">
        <f t="shared" si="49"/>
        <v>-26.624172955974842</v>
      </c>
      <c r="E1551" s="21"/>
      <c r="G1551" s="23">
        <v>8.4664870000000003E-2</v>
      </c>
      <c r="H1551" s="23">
        <v>-3.1168620000000001E-2</v>
      </c>
    </row>
    <row r="1552" spans="1:8" x14ac:dyDescent="0.35">
      <c r="A1552" s="23">
        <v>3.0273439999999999E-2</v>
      </c>
      <c r="B1552" s="23">
        <f t="shared" si="48"/>
        <v>-5.0859950000000001E-2</v>
      </c>
      <c r="C1552" s="24"/>
      <c r="D1552" s="24">
        <f t="shared" si="49"/>
        <v>-32.350408805031449</v>
      </c>
      <c r="E1552" s="21"/>
      <c r="G1552" s="23">
        <v>0.1028743</v>
      </c>
      <c r="H1552" s="23">
        <v>-5.0859950000000001E-2</v>
      </c>
    </row>
    <row r="1553" spans="1:8" x14ac:dyDescent="0.35">
      <c r="A1553" s="23">
        <v>3.0292969999999999E-2</v>
      </c>
      <c r="B1553" s="23">
        <f t="shared" si="48"/>
        <v>-6.9590719999999995E-2</v>
      </c>
      <c r="C1553" s="24"/>
      <c r="D1553" s="24">
        <f t="shared" si="49"/>
        <v>-38.335786163522009</v>
      </c>
      <c r="E1553" s="21"/>
      <c r="G1553" s="23">
        <v>0.1219078</v>
      </c>
      <c r="H1553" s="23">
        <v>-6.9590719999999995E-2</v>
      </c>
    </row>
    <row r="1554" spans="1:8" x14ac:dyDescent="0.35">
      <c r="A1554" s="23">
        <v>3.0312499999999999E-2</v>
      </c>
      <c r="B1554" s="23">
        <f t="shared" si="48"/>
        <v>-8.8649569999999997E-2</v>
      </c>
      <c r="C1554" s="24"/>
      <c r="D1554" s="24">
        <f t="shared" si="49"/>
        <v>-43.933238993710688</v>
      </c>
      <c r="E1554" s="21"/>
      <c r="G1554" s="23">
        <v>0.13970769999999999</v>
      </c>
      <c r="H1554" s="23">
        <v>-8.8649569999999997E-2</v>
      </c>
    </row>
    <row r="1555" spans="1:8" x14ac:dyDescent="0.35">
      <c r="A1555" s="23">
        <v>3.0332029999999999E-2</v>
      </c>
      <c r="B1555" s="23">
        <f t="shared" si="48"/>
        <v>-0.10839269999999999</v>
      </c>
      <c r="C1555" s="24"/>
      <c r="D1555" s="24">
        <f t="shared" si="49"/>
        <v>-49.603553459119489</v>
      </c>
      <c r="E1555" s="21"/>
      <c r="G1555" s="23">
        <v>0.1577393</v>
      </c>
      <c r="H1555" s="23">
        <v>-0.10839269999999999</v>
      </c>
    </row>
    <row r="1556" spans="1:8" x14ac:dyDescent="0.35">
      <c r="A1556" s="23">
        <v>3.035156E-2</v>
      </c>
      <c r="B1556" s="23">
        <f t="shared" si="48"/>
        <v>-0.126499</v>
      </c>
      <c r="C1556" s="24"/>
      <c r="D1556" s="24">
        <f t="shared" si="49"/>
        <v>-55.128522012578621</v>
      </c>
      <c r="E1556" s="21"/>
      <c r="G1556" s="23">
        <v>0.17530870000000001</v>
      </c>
      <c r="H1556" s="23">
        <v>-0.126499</v>
      </c>
    </row>
    <row r="1557" spans="1:8" x14ac:dyDescent="0.35">
      <c r="A1557" s="23">
        <v>3.037109E-2</v>
      </c>
      <c r="B1557" s="23">
        <f t="shared" si="48"/>
        <v>-0.1435197</v>
      </c>
      <c r="C1557" s="24"/>
      <c r="D1557" s="24">
        <f t="shared" si="49"/>
        <v>-60.128427672955972</v>
      </c>
      <c r="E1557" s="21"/>
      <c r="G1557" s="23">
        <v>0.1912084</v>
      </c>
      <c r="H1557" s="23">
        <v>-0.1435197</v>
      </c>
    </row>
    <row r="1558" spans="1:8" x14ac:dyDescent="0.35">
      <c r="A1558" s="23">
        <v>3.0390629999999998E-2</v>
      </c>
      <c r="B1558" s="23">
        <f t="shared" si="48"/>
        <v>-0.1601233</v>
      </c>
      <c r="C1558" s="24"/>
      <c r="D1558" s="24">
        <f t="shared" si="49"/>
        <v>-64.966635220125781</v>
      </c>
      <c r="E1558" s="21"/>
      <c r="G1558" s="23">
        <v>0.2065939</v>
      </c>
      <c r="H1558" s="23">
        <v>-0.1601233</v>
      </c>
    </row>
    <row r="1559" spans="1:8" x14ac:dyDescent="0.35">
      <c r="A1559" s="23">
        <v>3.0410159999999999E-2</v>
      </c>
      <c r="B1559" s="23">
        <f t="shared" si="48"/>
        <v>-0.17554049999999999</v>
      </c>
      <c r="C1559" s="24"/>
      <c r="D1559" s="24">
        <f t="shared" si="49"/>
        <v>-69.70264150943396</v>
      </c>
      <c r="E1559" s="21"/>
      <c r="G1559" s="23">
        <v>0.2216544</v>
      </c>
      <c r="H1559" s="23">
        <v>-0.17554049999999999</v>
      </c>
    </row>
    <row r="1560" spans="1:8" x14ac:dyDescent="0.35">
      <c r="A1560" s="23">
        <v>3.0429689999999999E-2</v>
      </c>
      <c r="B1560" s="23">
        <f t="shared" si="48"/>
        <v>-0.19034490000000001</v>
      </c>
      <c r="C1560" s="24"/>
      <c r="D1560" s="24">
        <f t="shared" si="49"/>
        <v>-74.462547169811316</v>
      </c>
      <c r="E1560" s="21"/>
      <c r="G1560" s="23">
        <v>0.2367909</v>
      </c>
      <c r="H1560" s="23">
        <v>-0.19034490000000001</v>
      </c>
    </row>
    <row r="1561" spans="1:8" x14ac:dyDescent="0.35">
      <c r="A1561" s="23">
        <v>3.0449219999999999E-2</v>
      </c>
      <c r="B1561" s="23">
        <f t="shared" si="48"/>
        <v>-0.20282330000000001</v>
      </c>
      <c r="C1561" s="24"/>
      <c r="D1561" s="24">
        <f t="shared" si="49"/>
        <v>-78.706603773584888</v>
      </c>
      <c r="E1561" s="21"/>
      <c r="G1561" s="23">
        <v>0.25028699999999998</v>
      </c>
      <c r="H1561" s="23">
        <v>-0.20282330000000001</v>
      </c>
    </row>
    <row r="1562" spans="1:8" x14ac:dyDescent="0.35">
      <c r="A1562" s="23">
        <v>3.0468749999999999E-2</v>
      </c>
      <c r="B1562" s="23">
        <f t="shared" si="48"/>
        <v>-0.21288099999999999</v>
      </c>
      <c r="C1562" s="24"/>
      <c r="D1562" s="24">
        <f t="shared" si="49"/>
        <v>-82.179779874213835</v>
      </c>
      <c r="E1562" s="21"/>
      <c r="G1562" s="23">
        <v>0.2613317</v>
      </c>
      <c r="H1562" s="23">
        <v>-0.21288099999999999</v>
      </c>
    </row>
    <row r="1563" spans="1:8" x14ac:dyDescent="0.35">
      <c r="A1563" s="23">
        <v>3.048828E-2</v>
      </c>
      <c r="B1563" s="23">
        <f t="shared" si="48"/>
        <v>-0.22311449999999999</v>
      </c>
      <c r="C1563" s="24"/>
      <c r="D1563" s="24">
        <f t="shared" si="49"/>
        <v>-85.969088050314468</v>
      </c>
      <c r="E1563" s="21"/>
      <c r="G1563" s="23">
        <v>0.27338170000000001</v>
      </c>
      <c r="H1563" s="23">
        <v>-0.22311449999999999</v>
      </c>
    </row>
    <row r="1564" spans="1:8" x14ac:dyDescent="0.35">
      <c r="A1564" s="23">
        <v>3.050781E-2</v>
      </c>
      <c r="B1564" s="23">
        <f t="shared" si="48"/>
        <v>-0.2326289</v>
      </c>
      <c r="C1564" s="24"/>
      <c r="D1564" s="24">
        <f t="shared" si="49"/>
        <v>-89.510283018867938</v>
      </c>
      <c r="E1564" s="21"/>
      <c r="G1564" s="23">
        <v>0.28464270000000003</v>
      </c>
      <c r="H1564" s="23">
        <v>-0.2326289</v>
      </c>
    </row>
    <row r="1565" spans="1:8" x14ac:dyDescent="0.35">
      <c r="A1565" s="23">
        <v>3.052734E-2</v>
      </c>
      <c r="B1565" s="23">
        <f t="shared" si="48"/>
        <v>-0.24020630000000001</v>
      </c>
      <c r="C1565" s="24"/>
      <c r="D1565" s="24">
        <f t="shared" si="49"/>
        <v>-92.01251572327044</v>
      </c>
      <c r="E1565" s="21"/>
      <c r="G1565" s="23">
        <v>0.29259980000000002</v>
      </c>
      <c r="H1565" s="23">
        <v>-0.24020630000000001</v>
      </c>
    </row>
    <row r="1566" spans="1:8" x14ac:dyDescent="0.35">
      <c r="A1566" s="23">
        <v>3.0546879999999998E-2</v>
      </c>
      <c r="B1566" s="23">
        <f t="shared" si="48"/>
        <v>-0.2472627</v>
      </c>
      <c r="C1566" s="24"/>
      <c r="D1566" s="24">
        <f t="shared" si="49"/>
        <v>-94.585849056603777</v>
      </c>
      <c r="E1566" s="21"/>
      <c r="G1566" s="23">
        <v>0.30078300000000002</v>
      </c>
      <c r="H1566" s="23">
        <v>-0.2472627</v>
      </c>
    </row>
    <row r="1567" spans="1:8" x14ac:dyDescent="0.35">
      <c r="A1567" s="23">
        <v>3.0566409999999999E-2</v>
      </c>
      <c r="B1567" s="23">
        <f t="shared" si="48"/>
        <v>-0.25444420000000001</v>
      </c>
      <c r="C1567" s="24"/>
      <c r="D1567" s="24">
        <f t="shared" si="49"/>
        <v>-97.204433962264147</v>
      </c>
      <c r="E1567" s="21"/>
      <c r="G1567" s="23">
        <v>0.3091101</v>
      </c>
      <c r="H1567" s="23">
        <v>-0.25444420000000001</v>
      </c>
    </row>
    <row r="1568" spans="1:8" x14ac:dyDescent="0.35">
      <c r="A1568" s="23">
        <v>3.0585939999999999E-2</v>
      </c>
      <c r="B1568" s="23">
        <f t="shared" si="48"/>
        <v>-0.2605999</v>
      </c>
      <c r="C1568" s="24"/>
      <c r="D1568" s="24">
        <f t="shared" si="49"/>
        <v>-99.2932075471698</v>
      </c>
      <c r="E1568" s="21"/>
      <c r="G1568" s="23">
        <v>0.31575239999999999</v>
      </c>
      <c r="H1568" s="23">
        <v>-0.2605999</v>
      </c>
    </row>
    <row r="1569" spans="1:8" x14ac:dyDescent="0.35">
      <c r="A1569" s="23">
        <v>3.0605469999999999E-2</v>
      </c>
      <c r="B1569" s="23">
        <f t="shared" si="48"/>
        <v>-0.26511249999999997</v>
      </c>
      <c r="C1569" s="24"/>
      <c r="D1569" s="24">
        <f t="shared" si="49"/>
        <v>-101.00084905660377</v>
      </c>
      <c r="E1569" s="21"/>
      <c r="G1569" s="23">
        <v>0.32118269999999999</v>
      </c>
      <c r="H1569" s="23">
        <v>-0.26511249999999997</v>
      </c>
    </row>
    <row r="1570" spans="1:8" x14ac:dyDescent="0.35">
      <c r="A1570" s="23">
        <v>3.0624999999999999E-2</v>
      </c>
      <c r="B1570" s="23">
        <f t="shared" si="48"/>
        <v>-0.26813969999999998</v>
      </c>
      <c r="C1570" s="24"/>
      <c r="D1570" s="24">
        <f t="shared" si="49"/>
        <v>-102.02022012578617</v>
      </c>
      <c r="E1570" s="21"/>
      <c r="G1570" s="23">
        <v>0.3244243</v>
      </c>
      <c r="H1570" s="23">
        <v>-0.26813969999999998</v>
      </c>
    </row>
    <row r="1571" spans="1:8" x14ac:dyDescent="0.35">
      <c r="A1571" s="23">
        <v>3.064453E-2</v>
      </c>
      <c r="B1571" s="23">
        <f t="shared" si="48"/>
        <v>-0.27021479999999998</v>
      </c>
      <c r="C1571" s="24"/>
      <c r="D1571" s="24">
        <f t="shared" si="49"/>
        <v>-102.56962264150943</v>
      </c>
      <c r="E1571" s="21"/>
      <c r="G1571" s="23">
        <v>0.3261714</v>
      </c>
      <c r="H1571" s="23">
        <v>-0.27021479999999998</v>
      </c>
    </row>
    <row r="1572" spans="1:8" x14ac:dyDescent="0.35">
      <c r="A1572" s="23">
        <v>3.066406E-2</v>
      </c>
      <c r="B1572" s="23">
        <f t="shared" si="48"/>
        <v>-0.27124989999999999</v>
      </c>
      <c r="C1572" s="24"/>
      <c r="D1572" s="24">
        <f t="shared" si="49"/>
        <v>-102.8233962264151</v>
      </c>
      <c r="E1572" s="21"/>
      <c r="G1572" s="23">
        <v>0.3269784</v>
      </c>
      <c r="H1572" s="23">
        <v>-0.27124989999999999</v>
      </c>
    </row>
    <row r="1573" spans="1:8" x14ac:dyDescent="0.35">
      <c r="A1573" s="23">
        <v>3.068359E-2</v>
      </c>
      <c r="B1573" s="23">
        <f t="shared" si="48"/>
        <v>-0.2712618</v>
      </c>
      <c r="C1573" s="24"/>
      <c r="D1573" s="24">
        <f t="shared" si="49"/>
        <v>-102.727106918239</v>
      </c>
      <c r="E1573" s="21"/>
      <c r="G1573" s="23">
        <v>0.32667220000000002</v>
      </c>
      <c r="H1573" s="23">
        <v>-0.2712618</v>
      </c>
    </row>
    <row r="1574" spans="1:8" x14ac:dyDescent="0.35">
      <c r="A1574" s="23">
        <v>3.0703129999999999E-2</v>
      </c>
      <c r="B1574" s="23">
        <f t="shared" si="48"/>
        <v>-0.27189580000000002</v>
      </c>
      <c r="C1574" s="24"/>
      <c r="D1574" s="24">
        <f t="shared" si="49"/>
        <v>-102.80201257861634</v>
      </c>
      <c r="E1574" s="21"/>
      <c r="G1574" s="23">
        <v>0.32691039999999999</v>
      </c>
      <c r="H1574" s="23">
        <v>-0.27189580000000002</v>
      </c>
    </row>
    <row r="1575" spans="1:8" x14ac:dyDescent="0.35">
      <c r="A1575" s="23">
        <v>3.0722659999999999E-2</v>
      </c>
      <c r="B1575" s="23">
        <f t="shared" si="48"/>
        <v>-0.27149990000000002</v>
      </c>
      <c r="C1575" s="24"/>
      <c r="D1575" s="24">
        <f t="shared" si="49"/>
        <v>-102.33537735849058</v>
      </c>
      <c r="E1575" s="21"/>
      <c r="G1575" s="23">
        <v>0.32542650000000001</v>
      </c>
      <c r="H1575" s="23">
        <v>-0.27149990000000002</v>
      </c>
    </row>
    <row r="1576" spans="1:8" x14ac:dyDescent="0.35">
      <c r="A1576" s="23">
        <v>3.0742189999999999E-2</v>
      </c>
      <c r="B1576" s="23">
        <f t="shared" si="48"/>
        <v>-0.26773200000000003</v>
      </c>
      <c r="C1576" s="24"/>
      <c r="D1576" s="24">
        <f t="shared" si="49"/>
        <v>-100.77776729559747</v>
      </c>
      <c r="E1576" s="21"/>
      <c r="G1576" s="23">
        <v>0.32047330000000002</v>
      </c>
      <c r="H1576" s="23">
        <v>-0.26773200000000003</v>
      </c>
    </row>
    <row r="1577" spans="1:8" x14ac:dyDescent="0.35">
      <c r="A1577" s="23">
        <v>3.0761719999999999E-2</v>
      </c>
      <c r="B1577" s="23">
        <f t="shared" si="48"/>
        <v>-0.26339020000000002</v>
      </c>
      <c r="C1577" s="24"/>
      <c r="D1577" s="24">
        <f t="shared" si="49"/>
        <v>-99.02544025157232</v>
      </c>
      <c r="E1577" s="21"/>
      <c r="G1577" s="23">
        <v>0.31490089999999998</v>
      </c>
      <c r="H1577" s="23">
        <v>-0.26339020000000002</v>
      </c>
    </row>
    <row r="1578" spans="1:8" x14ac:dyDescent="0.35">
      <c r="A1578" s="23">
        <v>3.078125E-2</v>
      </c>
      <c r="B1578" s="23">
        <f t="shared" si="48"/>
        <v>-0.25930189999999997</v>
      </c>
      <c r="C1578" s="24"/>
      <c r="D1578" s="24">
        <f t="shared" si="49"/>
        <v>-97.047893081761003</v>
      </c>
      <c r="E1578" s="21"/>
      <c r="G1578" s="23">
        <v>0.30861230000000001</v>
      </c>
      <c r="H1578" s="23">
        <v>-0.25930189999999997</v>
      </c>
    </row>
    <row r="1579" spans="1:8" x14ac:dyDescent="0.35">
      <c r="A1579" s="23">
        <v>3.080078E-2</v>
      </c>
      <c r="B1579" s="23">
        <f t="shared" si="48"/>
        <v>-0.2536465</v>
      </c>
      <c r="C1579" s="24"/>
      <c r="D1579" s="24">
        <f t="shared" si="49"/>
        <v>-94.593176100628938</v>
      </c>
      <c r="E1579" s="21"/>
      <c r="G1579" s="23">
        <v>0.30080630000000003</v>
      </c>
      <c r="H1579" s="23">
        <v>-0.2536465</v>
      </c>
    </row>
    <row r="1580" spans="1:8" x14ac:dyDescent="0.35">
      <c r="A1580" s="23">
        <v>3.082031E-2</v>
      </c>
      <c r="B1580" s="23">
        <f t="shared" si="48"/>
        <v>-0.2475678</v>
      </c>
      <c r="C1580" s="24"/>
      <c r="D1580" s="24">
        <f t="shared" si="49"/>
        <v>-92.127358490566024</v>
      </c>
      <c r="E1580" s="21"/>
      <c r="G1580" s="23">
        <v>0.29296499999999998</v>
      </c>
      <c r="H1580" s="23">
        <v>-0.2475678</v>
      </c>
    </row>
    <row r="1581" spans="1:8" x14ac:dyDescent="0.35">
      <c r="A1581" s="23">
        <v>3.083984E-2</v>
      </c>
      <c r="B1581" s="23">
        <f t="shared" si="48"/>
        <v>-0.24132619999999999</v>
      </c>
      <c r="C1581" s="24"/>
      <c r="D1581" s="24">
        <f t="shared" si="49"/>
        <v>-89.39751572327043</v>
      </c>
      <c r="E1581" s="21"/>
      <c r="G1581" s="23">
        <v>0.28428409999999998</v>
      </c>
      <c r="H1581" s="23">
        <v>-0.24132619999999999</v>
      </c>
    </row>
    <row r="1582" spans="1:8" x14ac:dyDescent="0.35">
      <c r="A1582" s="23">
        <v>3.0859379999999999E-2</v>
      </c>
      <c r="B1582" s="23">
        <f t="shared" si="48"/>
        <v>-0.2333838</v>
      </c>
      <c r="C1582" s="24"/>
      <c r="D1582" s="24">
        <f t="shared" si="49"/>
        <v>-85.869371069182378</v>
      </c>
      <c r="E1582" s="21"/>
      <c r="G1582" s="23">
        <v>0.27306459999999999</v>
      </c>
      <c r="H1582" s="23">
        <v>-0.2333838</v>
      </c>
    </row>
    <row r="1583" spans="1:8" x14ac:dyDescent="0.35">
      <c r="A1583" s="23">
        <v>3.0878909999999999E-2</v>
      </c>
      <c r="B1583" s="23">
        <f t="shared" si="48"/>
        <v>-0.2236939</v>
      </c>
      <c r="C1583" s="24"/>
      <c r="D1583" s="24">
        <f t="shared" si="49"/>
        <v>-81.737358490566038</v>
      </c>
      <c r="E1583" s="21"/>
      <c r="G1583" s="23">
        <v>0.25992480000000001</v>
      </c>
      <c r="H1583" s="23">
        <v>-0.2236939</v>
      </c>
    </row>
    <row r="1584" spans="1:8" x14ac:dyDescent="0.35">
      <c r="A1584" s="23">
        <v>3.0898439999999999E-2</v>
      </c>
      <c r="B1584" s="23">
        <f t="shared" si="48"/>
        <v>-0.213057</v>
      </c>
      <c r="C1584" s="24"/>
      <c r="D1584" s="24">
        <f t="shared" si="49"/>
        <v>-77.419999999999987</v>
      </c>
      <c r="E1584" s="21"/>
      <c r="G1584" s="23">
        <v>0.24619559999999999</v>
      </c>
      <c r="H1584" s="23">
        <v>-0.213057</v>
      </c>
    </row>
    <row r="1585" spans="1:8" x14ac:dyDescent="0.35">
      <c r="A1585" s="23">
        <v>3.0917969999999999E-2</v>
      </c>
      <c r="B1585" s="23">
        <f t="shared" si="48"/>
        <v>-0.20270150000000001</v>
      </c>
      <c r="C1585" s="24"/>
      <c r="D1585" s="24">
        <f t="shared" si="49"/>
        <v>-73.132201257861624</v>
      </c>
      <c r="E1585" s="21"/>
      <c r="G1585" s="23">
        <v>0.2325604</v>
      </c>
      <c r="H1585" s="23">
        <v>-0.20270150000000001</v>
      </c>
    </row>
    <row r="1586" spans="1:8" x14ac:dyDescent="0.35">
      <c r="A1586" s="23">
        <v>3.09375E-2</v>
      </c>
      <c r="B1586" s="23">
        <f t="shared" si="48"/>
        <v>-0.19230820000000001</v>
      </c>
      <c r="C1586" s="24"/>
      <c r="D1586" s="24">
        <f t="shared" si="49"/>
        <v>-68.706257861635223</v>
      </c>
      <c r="E1586" s="21"/>
      <c r="G1586" s="23">
        <v>0.21848590000000001</v>
      </c>
      <c r="H1586" s="23">
        <v>-0.19230820000000001</v>
      </c>
    </row>
    <row r="1587" spans="1:8" x14ac:dyDescent="0.35">
      <c r="A1587" s="23">
        <v>3.095703E-2</v>
      </c>
      <c r="B1587" s="23">
        <f t="shared" si="48"/>
        <v>-0.18015619999999999</v>
      </c>
      <c r="C1587" s="24"/>
      <c r="D1587" s="24">
        <f t="shared" si="49"/>
        <v>-63.766163522012576</v>
      </c>
      <c r="E1587" s="21"/>
      <c r="G1587" s="23">
        <v>0.2027764</v>
      </c>
      <c r="H1587" s="23">
        <v>-0.18015619999999999</v>
      </c>
    </row>
    <row r="1588" spans="1:8" x14ac:dyDescent="0.35">
      <c r="A1588" s="23">
        <v>3.097656E-2</v>
      </c>
      <c r="B1588" s="23">
        <f t="shared" si="48"/>
        <v>-0.1669735</v>
      </c>
      <c r="C1588" s="24"/>
      <c r="D1588" s="24">
        <f t="shared" si="49"/>
        <v>-58.393270440251577</v>
      </c>
      <c r="E1588" s="21"/>
      <c r="G1588" s="23">
        <v>0.18569060000000001</v>
      </c>
      <c r="H1588" s="23">
        <v>-0.1669735</v>
      </c>
    </row>
    <row r="1589" spans="1:8" x14ac:dyDescent="0.35">
      <c r="A1589" s="23">
        <v>3.099609E-2</v>
      </c>
      <c r="B1589" s="23">
        <f t="shared" si="48"/>
        <v>-0.15296969999999999</v>
      </c>
      <c r="C1589" s="24"/>
      <c r="D1589" s="24">
        <f t="shared" si="49"/>
        <v>-52.736132075471701</v>
      </c>
      <c r="E1589" s="21"/>
      <c r="G1589" s="23">
        <v>0.16770090000000001</v>
      </c>
      <c r="H1589" s="23">
        <v>-0.15296969999999999</v>
      </c>
    </row>
    <row r="1590" spans="1:8" x14ac:dyDescent="0.35">
      <c r="A1590" s="23">
        <v>3.1015629999999999E-2</v>
      </c>
      <c r="B1590" s="23">
        <f t="shared" si="48"/>
        <v>-0.13785169999999999</v>
      </c>
      <c r="C1590" s="24"/>
      <c r="D1590" s="24">
        <f t="shared" si="49"/>
        <v>-46.739496855345905</v>
      </c>
      <c r="E1590" s="21"/>
      <c r="G1590" s="23">
        <v>0.1486316</v>
      </c>
      <c r="H1590" s="23">
        <v>-0.13785169999999999</v>
      </c>
    </row>
    <row r="1591" spans="1:8" x14ac:dyDescent="0.35">
      <c r="A1591" s="23">
        <v>3.1035159999999999E-2</v>
      </c>
      <c r="B1591" s="23">
        <f t="shared" si="48"/>
        <v>-0.1230107</v>
      </c>
      <c r="C1591" s="24"/>
      <c r="D1591" s="24">
        <f t="shared" si="49"/>
        <v>-40.615974842767287</v>
      </c>
      <c r="E1591" s="21"/>
      <c r="G1591" s="23">
        <v>0.12915879999999999</v>
      </c>
      <c r="H1591" s="23">
        <v>-0.1230107</v>
      </c>
    </row>
    <row r="1592" spans="1:8" x14ac:dyDescent="0.35">
      <c r="A1592" s="23">
        <v>3.1054689999999999E-2</v>
      </c>
      <c r="B1592" s="23">
        <f t="shared" si="48"/>
        <v>-0.1079966</v>
      </c>
      <c r="C1592" s="24"/>
      <c r="D1592" s="24">
        <f t="shared" si="49"/>
        <v>-34.594056603773588</v>
      </c>
      <c r="E1592" s="21"/>
      <c r="G1592" s="23">
        <v>0.1100091</v>
      </c>
      <c r="H1592" s="23">
        <v>-0.1079966</v>
      </c>
    </row>
    <row r="1593" spans="1:8" x14ac:dyDescent="0.35">
      <c r="A1593" s="23">
        <v>3.107422E-2</v>
      </c>
      <c r="B1593" s="23">
        <f t="shared" si="48"/>
        <v>-9.265582E-2</v>
      </c>
      <c r="C1593" s="24"/>
      <c r="D1593" s="24">
        <f t="shared" si="49"/>
        <v>-28.575537735849057</v>
      </c>
      <c r="E1593" s="21"/>
      <c r="G1593" s="23">
        <v>9.0870210000000007E-2</v>
      </c>
      <c r="H1593" s="23">
        <v>-9.265582E-2</v>
      </c>
    </row>
    <row r="1594" spans="1:8" x14ac:dyDescent="0.35">
      <c r="A1594" s="23">
        <v>3.109375E-2</v>
      </c>
      <c r="B1594" s="23">
        <f t="shared" si="48"/>
        <v>-7.6723440000000004E-2</v>
      </c>
      <c r="C1594" s="24"/>
      <c r="D1594" s="24">
        <f t="shared" si="49"/>
        <v>-22.172748427672957</v>
      </c>
      <c r="E1594" s="21"/>
      <c r="G1594" s="23">
        <v>7.0509340000000004E-2</v>
      </c>
      <c r="H1594" s="23">
        <v>-7.6723440000000004E-2</v>
      </c>
    </row>
    <row r="1595" spans="1:8" x14ac:dyDescent="0.35">
      <c r="A1595" s="23">
        <v>3.111328E-2</v>
      </c>
      <c r="B1595" s="23">
        <f t="shared" si="48"/>
        <v>-6.0098749999999999E-2</v>
      </c>
      <c r="C1595" s="24"/>
      <c r="D1595" s="24">
        <f t="shared" si="49"/>
        <v>-15.609644654088051</v>
      </c>
      <c r="E1595" s="21"/>
      <c r="G1595" s="23">
        <v>4.9638670000000003E-2</v>
      </c>
      <c r="H1595" s="23">
        <v>-6.0098749999999999E-2</v>
      </c>
    </row>
    <row r="1596" spans="1:8" x14ac:dyDescent="0.35">
      <c r="A1596" s="23">
        <v>3.113281E-2</v>
      </c>
      <c r="B1596" s="23">
        <f t="shared" si="48"/>
        <v>-4.3936250000000003E-2</v>
      </c>
      <c r="C1596" s="24"/>
      <c r="D1596" s="24">
        <f t="shared" si="49"/>
        <v>-9.1488018867924517</v>
      </c>
      <c r="E1596" s="21"/>
      <c r="G1596" s="23">
        <v>2.9093190000000001E-2</v>
      </c>
      <c r="H1596" s="23">
        <v>-4.3936250000000003E-2</v>
      </c>
    </row>
    <row r="1597" spans="1:8" x14ac:dyDescent="0.35">
      <c r="A1597" s="23">
        <v>3.1152340000000001E-2</v>
      </c>
      <c r="B1597" s="23">
        <f t="shared" si="48"/>
        <v>-2.687413E-2</v>
      </c>
      <c r="C1597" s="24"/>
      <c r="D1597" s="24">
        <f t="shared" si="49"/>
        <v>-2.3918776729559745</v>
      </c>
      <c r="E1597" s="21"/>
      <c r="G1597" s="23">
        <v>7.6061710000000001E-3</v>
      </c>
      <c r="H1597" s="23">
        <v>-2.687413E-2</v>
      </c>
    </row>
    <row r="1598" spans="1:8" x14ac:dyDescent="0.35">
      <c r="A1598" s="23">
        <v>3.1171879999999999E-2</v>
      </c>
      <c r="B1598" s="23">
        <f t="shared" si="48"/>
        <v>-1.0079289999999999E-2</v>
      </c>
      <c r="C1598" s="24"/>
      <c r="D1598" s="24">
        <f t="shared" si="49"/>
        <v>4.1052515723270435</v>
      </c>
      <c r="E1598" s="21"/>
      <c r="G1598" s="23">
        <v>-1.3054700000000001E-2</v>
      </c>
      <c r="H1598" s="23">
        <v>-1.0079289999999999E-2</v>
      </c>
    </row>
    <row r="1599" spans="1:8" x14ac:dyDescent="0.35">
      <c r="A1599" s="23">
        <v>3.1191409999999999E-2</v>
      </c>
      <c r="B1599" s="23">
        <f t="shared" si="48"/>
        <v>5.2940770000000003E-3</v>
      </c>
      <c r="C1599" s="24"/>
      <c r="D1599" s="24">
        <f t="shared" si="49"/>
        <v>10.216968553459118</v>
      </c>
      <c r="E1599" s="21"/>
      <c r="G1599" s="23">
        <v>-3.2489959999999998E-2</v>
      </c>
      <c r="H1599" s="23">
        <v>5.2940770000000003E-3</v>
      </c>
    </row>
    <row r="1600" spans="1:8" x14ac:dyDescent="0.35">
      <c r="A1600" s="23">
        <v>3.121094E-2</v>
      </c>
      <c r="B1600" s="23">
        <f t="shared" si="48"/>
        <v>2.1604450000000001E-2</v>
      </c>
      <c r="C1600" s="24"/>
      <c r="D1600" s="24">
        <f t="shared" si="49"/>
        <v>16.678761006289307</v>
      </c>
      <c r="E1600" s="21"/>
      <c r="G1600" s="23">
        <v>-5.3038460000000003E-2</v>
      </c>
      <c r="H1600" s="23">
        <v>2.1604450000000001E-2</v>
      </c>
    </row>
    <row r="1601" spans="1:8" x14ac:dyDescent="0.35">
      <c r="A1601" s="23">
        <v>3.123047E-2</v>
      </c>
      <c r="B1601" s="23">
        <f t="shared" si="48"/>
        <v>3.8473649999999998E-2</v>
      </c>
      <c r="C1601" s="24"/>
      <c r="D1601" s="24">
        <f t="shared" si="49"/>
        <v>23.098405660377356</v>
      </c>
      <c r="E1601" s="21"/>
      <c r="G1601" s="23">
        <v>-7.345293E-2</v>
      </c>
      <c r="H1601" s="23">
        <v>3.8473649999999998E-2</v>
      </c>
    </row>
    <row r="1602" spans="1:8" x14ac:dyDescent="0.35">
      <c r="A1602" s="23">
        <v>3.125E-2</v>
      </c>
      <c r="B1602" s="23">
        <f t="shared" ref="B1602:B1665" si="50">H1602</f>
        <v>5.5100530000000002E-2</v>
      </c>
      <c r="C1602" s="24"/>
      <c r="D1602" s="24">
        <f t="shared" ref="D1602:D1665" si="51">G1602*-1000/3.18</f>
        <v>29.383496855345911</v>
      </c>
      <c r="E1602" s="21"/>
      <c r="G1602" s="23">
        <v>-9.3439519999999998E-2</v>
      </c>
      <c r="H1602" s="23">
        <v>5.5100530000000002E-2</v>
      </c>
    </row>
    <row r="1603" spans="1:8" x14ac:dyDescent="0.35">
      <c r="A1603" s="23">
        <v>3.1269529999999997E-2</v>
      </c>
      <c r="B1603" s="23">
        <f t="shared" si="50"/>
        <v>7.1139809999999998E-2</v>
      </c>
      <c r="C1603" s="24"/>
      <c r="D1603" s="24">
        <f t="shared" si="51"/>
        <v>35.598207547169814</v>
      </c>
      <c r="E1603" s="21"/>
      <c r="G1603" s="23">
        <v>-0.11320230000000001</v>
      </c>
      <c r="H1603" s="23">
        <v>7.1139809999999998E-2</v>
      </c>
    </row>
    <row r="1604" spans="1:8" x14ac:dyDescent="0.35">
      <c r="A1604" s="23">
        <v>3.128906E-2</v>
      </c>
      <c r="B1604" s="23">
        <f t="shared" si="50"/>
        <v>8.646152E-2</v>
      </c>
      <c r="C1604" s="24"/>
      <c r="D1604" s="24">
        <f t="shared" si="51"/>
        <v>41.463396226415092</v>
      </c>
      <c r="E1604" s="21"/>
      <c r="G1604" s="23">
        <v>-0.13185359999999999</v>
      </c>
      <c r="H1604" s="23">
        <v>8.646152E-2</v>
      </c>
    </row>
    <row r="1605" spans="1:8" x14ac:dyDescent="0.35">
      <c r="A1605" s="23">
        <v>3.1308589999999997E-2</v>
      </c>
      <c r="B1605" s="23">
        <f t="shared" si="50"/>
        <v>0.1020223</v>
      </c>
      <c r="C1605" s="24"/>
      <c r="D1605" s="24">
        <f t="shared" si="51"/>
        <v>47.302547169811319</v>
      </c>
      <c r="E1605" s="21"/>
      <c r="G1605" s="23">
        <v>-0.1504221</v>
      </c>
      <c r="H1605" s="23">
        <v>0.1020223</v>
      </c>
    </row>
    <row r="1606" spans="1:8" x14ac:dyDescent="0.35">
      <c r="A1606" s="23">
        <v>3.1328120000000001E-2</v>
      </c>
      <c r="B1606" s="23">
        <f t="shared" si="50"/>
        <v>0.1165925</v>
      </c>
      <c r="C1606" s="24"/>
      <c r="D1606" s="24">
        <f t="shared" si="51"/>
        <v>52.857798742138364</v>
      </c>
      <c r="E1606" s="21"/>
      <c r="G1606" s="23">
        <v>-0.16808780000000001</v>
      </c>
      <c r="H1606" s="23">
        <v>0.1165925</v>
      </c>
    </row>
    <row r="1607" spans="1:8" x14ac:dyDescent="0.35">
      <c r="A1607" s="23">
        <v>3.1347659999999999E-2</v>
      </c>
      <c r="B1607" s="23">
        <f t="shared" si="50"/>
        <v>0.12986919999999999</v>
      </c>
      <c r="C1607" s="24"/>
      <c r="D1607" s="24">
        <f t="shared" si="51"/>
        <v>57.940125786163527</v>
      </c>
      <c r="E1607" s="21"/>
      <c r="G1607" s="23">
        <v>-0.18424960000000001</v>
      </c>
      <c r="H1607" s="23">
        <v>0.12986919999999999</v>
      </c>
    </row>
    <row r="1608" spans="1:8" x14ac:dyDescent="0.35">
      <c r="A1608" s="23">
        <v>3.1367190000000003E-2</v>
      </c>
      <c r="B1608" s="23">
        <f t="shared" si="50"/>
        <v>0.1436665</v>
      </c>
      <c r="C1608" s="24"/>
      <c r="D1608" s="24">
        <f t="shared" si="51"/>
        <v>63.156886792452823</v>
      </c>
      <c r="E1608" s="21"/>
      <c r="G1608" s="23">
        <v>-0.20083889999999999</v>
      </c>
      <c r="H1608" s="23">
        <v>0.1436665</v>
      </c>
    </row>
    <row r="1609" spans="1:8" x14ac:dyDescent="0.35">
      <c r="A1609" s="23">
        <v>3.138672E-2</v>
      </c>
      <c r="B1609" s="23">
        <f t="shared" si="50"/>
        <v>0.15702840000000001</v>
      </c>
      <c r="C1609" s="24"/>
      <c r="D1609" s="24">
        <f t="shared" si="51"/>
        <v>68.172138364779869</v>
      </c>
      <c r="E1609" s="21"/>
      <c r="G1609" s="23">
        <v>-0.21678739999999999</v>
      </c>
      <c r="H1609" s="23">
        <v>0.15702840000000001</v>
      </c>
    </row>
    <row r="1610" spans="1:8" x14ac:dyDescent="0.35">
      <c r="A1610" s="23">
        <v>3.1406249999999997E-2</v>
      </c>
      <c r="B1610" s="23">
        <f t="shared" si="50"/>
        <v>0.16894519999999999</v>
      </c>
      <c r="C1610" s="24"/>
      <c r="D1610" s="24">
        <f t="shared" si="51"/>
        <v>72.704371069182386</v>
      </c>
      <c r="E1610" s="21"/>
      <c r="G1610" s="23">
        <v>-0.23119990000000001</v>
      </c>
      <c r="H1610" s="23">
        <v>0.16894519999999999</v>
      </c>
    </row>
    <row r="1611" spans="1:8" x14ac:dyDescent="0.35">
      <c r="A1611" s="23">
        <v>3.142578E-2</v>
      </c>
      <c r="B1611" s="23">
        <f t="shared" si="50"/>
        <v>0.1805166</v>
      </c>
      <c r="C1611" s="24"/>
      <c r="D1611" s="24">
        <f t="shared" si="51"/>
        <v>77.165597484276731</v>
      </c>
      <c r="E1611" s="21"/>
      <c r="G1611" s="23">
        <v>-0.24538660000000001</v>
      </c>
      <c r="H1611" s="23">
        <v>0.1805166</v>
      </c>
    </row>
    <row r="1612" spans="1:8" x14ac:dyDescent="0.35">
      <c r="A1612" s="23">
        <v>3.1445309999999997E-2</v>
      </c>
      <c r="B1612" s="23">
        <f t="shared" si="50"/>
        <v>0.19078030000000001</v>
      </c>
      <c r="C1612" s="24"/>
      <c r="D1612" s="24">
        <f t="shared" si="51"/>
        <v>80.964119496855346</v>
      </c>
      <c r="E1612" s="21"/>
      <c r="G1612" s="23">
        <v>-0.25746590000000003</v>
      </c>
      <c r="H1612" s="23">
        <v>0.19078030000000001</v>
      </c>
    </row>
    <row r="1613" spans="1:8" x14ac:dyDescent="0.35">
      <c r="A1613" s="23">
        <v>3.1464840000000001E-2</v>
      </c>
      <c r="B1613" s="23">
        <f t="shared" si="50"/>
        <v>0.19949339999999999</v>
      </c>
      <c r="C1613" s="24"/>
      <c r="D1613" s="24">
        <f t="shared" si="51"/>
        <v>84.195408805031448</v>
      </c>
      <c r="E1613" s="21"/>
      <c r="G1613" s="23">
        <v>-0.26774140000000002</v>
      </c>
      <c r="H1613" s="23">
        <v>0.19949339999999999</v>
      </c>
    </row>
    <row r="1614" spans="1:8" x14ac:dyDescent="0.35">
      <c r="A1614" s="23">
        <v>3.1484379999999999E-2</v>
      </c>
      <c r="B1614" s="23">
        <f t="shared" si="50"/>
        <v>0.2086374</v>
      </c>
      <c r="C1614" s="24"/>
      <c r="D1614" s="24">
        <f t="shared" si="51"/>
        <v>87.708805031446531</v>
      </c>
      <c r="E1614" s="21"/>
      <c r="G1614" s="23">
        <v>-0.278914</v>
      </c>
      <c r="H1614" s="23">
        <v>0.2086374</v>
      </c>
    </row>
    <row r="1615" spans="1:8" x14ac:dyDescent="0.35">
      <c r="A1615" s="23">
        <v>3.1503910000000003E-2</v>
      </c>
      <c r="B1615" s="23">
        <f t="shared" si="50"/>
        <v>0.2174828</v>
      </c>
      <c r="C1615" s="24"/>
      <c r="D1615" s="24">
        <f t="shared" si="51"/>
        <v>90.93371069182389</v>
      </c>
      <c r="E1615" s="21"/>
      <c r="G1615" s="23">
        <v>-0.28916920000000002</v>
      </c>
      <c r="H1615" s="23">
        <v>0.2174828</v>
      </c>
    </row>
    <row r="1616" spans="1:8" x14ac:dyDescent="0.35">
      <c r="A1616" s="23">
        <v>3.152344E-2</v>
      </c>
      <c r="B1616" s="23">
        <f t="shared" si="50"/>
        <v>0.2246853</v>
      </c>
      <c r="C1616" s="24"/>
      <c r="D1616" s="24">
        <f t="shared" si="51"/>
        <v>93.597641509433956</v>
      </c>
      <c r="E1616" s="21"/>
      <c r="G1616" s="23">
        <v>-0.29764049999999997</v>
      </c>
      <c r="H1616" s="23">
        <v>0.2246853</v>
      </c>
    </row>
    <row r="1617" spans="1:8" x14ac:dyDescent="0.35">
      <c r="A1617" s="23">
        <v>3.1542969999999997E-2</v>
      </c>
      <c r="B1617" s="23">
        <f t="shared" si="50"/>
        <v>0.23050870000000001</v>
      </c>
      <c r="C1617" s="24"/>
      <c r="D1617" s="24">
        <f t="shared" si="51"/>
        <v>95.845471698113215</v>
      </c>
      <c r="E1617" s="21"/>
      <c r="G1617" s="23">
        <v>-0.30478860000000002</v>
      </c>
      <c r="H1617" s="23">
        <v>0.23050870000000001</v>
      </c>
    </row>
    <row r="1618" spans="1:8" x14ac:dyDescent="0.35">
      <c r="A1618" s="23">
        <v>3.15625E-2</v>
      </c>
      <c r="B1618" s="23">
        <f t="shared" si="50"/>
        <v>0.23532</v>
      </c>
      <c r="C1618" s="24"/>
      <c r="D1618" s="24">
        <f t="shared" si="51"/>
        <v>97.477484276729541</v>
      </c>
      <c r="E1618" s="21"/>
      <c r="G1618" s="23">
        <v>-0.30997839999999999</v>
      </c>
      <c r="H1618" s="23">
        <v>0.23532</v>
      </c>
    </row>
    <row r="1619" spans="1:8" x14ac:dyDescent="0.35">
      <c r="A1619" s="23">
        <v>3.1582029999999997E-2</v>
      </c>
      <c r="B1619" s="23">
        <f t="shared" si="50"/>
        <v>0.23960010000000001</v>
      </c>
      <c r="C1619" s="24"/>
      <c r="D1619" s="24">
        <f t="shared" si="51"/>
        <v>98.943364779874202</v>
      </c>
      <c r="E1619" s="21"/>
      <c r="G1619" s="23">
        <v>-0.31463989999999997</v>
      </c>
      <c r="H1619" s="23">
        <v>0.23960010000000001</v>
      </c>
    </row>
    <row r="1620" spans="1:8" x14ac:dyDescent="0.35">
      <c r="A1620" s="23">
        <v>3.1601560000000001E-2</v>
      </c>
      <c r="B1620" s="23">
        <f t="shared" si="50"/>
        <v>0.2433997</v>
      </c>
      <c r="C1620" s="24"/>
      <c r="D1620" s="24">
        <f t="shared" si="51"/>
        <v>100.33339622641509</v>
      </c>
      <c r="E1620" s="21"/>
      <c r="G1620" s="23">
        <v>-0.31906020000000002</v>
      </c>
      <c r="H1620" s="23">
        <v>0.2433997</v>
      </c>
    </row>
    <row r="1621" spans="1:8" x14ac:dyDescent="0.35">
      <c r="A1621" s="23">
        <v>3.1621089999999998E-2</v>
      </c>
      <c r="B1621" s="23">
        <f t="shared" si="50"/>
        <v>0.24691250000000001</v>
      </c>
      <c r="C1621" s="24"/>
      <c r="D1621" s="24">
        <f t="shared" si="51"/>
        <v>101.40965408805032</v>
      </c>
      <c r="E1621" s="21"/>
      <c r="G1621" s="23">
        <v>-0.32248270000000001</v>
      </c>
      <c r="H1621" s="23">
        <v>0.24691250000000001</v>
      </c>
    </row>
    <row r="1622" spans="1:8" x14ac:dyDescent="0.35">
      <c r="A1622" s="23">
        <v>3.1640620000000001E-2</v>
      </c>
      <c r="B1622" s="23">
        <f t="shared" si="50"/>
        <v>0.24983710000000001</v>
      </c>
      <c r="C1622" s="24"/>
      <c r="D1622" s="24">
        <f t="shared" si="51"/>
        <v>102.09559748427672</v>
      </c>
      <c r="E1622" s="21"/>
      <c r="G1622" s="23">
        <v>-0.32466400000000001</v>
      </c>
      <c r="H1622" s="23">
        <v>0.24983710000000001</v>
      </c>
    </row>
    <row r="1623" spans="1:8" x14ac:dyDescent="0.35">
      <c r="A1623" s="23">
        <v>3.166016E-2</v>
      </c>
      <c r="B1623" s="23">
        <f t="shared" si="50"/>
        <v>0.25081789999999998</v>
      </c>
      <c r="C1623" s="24"/>
      <c r="D1623" s="24">
        <f t="shared" si="51"/>
        <v>102.13223270440251</v>
      </c>
      <c r="E1623" s="21"/>
      <c r="G1623" s="23">
        <v>-0.32478050000000003</v>
      </c>
      <c r="H1623" s="23">
        <v>0.25081789999999998</v>
      </c>
    </row>
    <row r="1624" spans="1:8" x14ac:dyDescent="0.35">
      <c r="A1624" s="23">
        <v>3.1679690000000003E-2</v>
      </c>
      <c r="B1624" s="23">
        <f t="shared" si="50"/>
        <v>0.25043929999999998</v>
      </c>
      <c r="C1624" s="24"/>
      <c r="D1624" s="24">
        <f t="shared" si="51"/>
        <v>101.74855345911949</v>
      </c>
      <c r="E1624" s="21"/>
      <c r="G1624" s="23">
        <v>-0.32356040000000003</v>
      </c>
      <c r="H1624" s="23">
        <v>0.25043929999999998</v>
      </c>
    </row>
    <row r="1625" spans="1:8" x14ac:dyDescent="0.35">
      <c r="A1625" s="23">
        <v>3.169922E-2</v>
      </c>
      <c r="B1625" s="23">
        <f t="shared" si="50"/>
        <v>0.250218</v>
      </c>
      <c r="C1625" s="24"/>
      <c r="D1625" s="24">
        <f t="shared" si="51"/>
        <v>101.15874213836477</v>
      </c>
      <c r="E1625" s="21"/>
      <c r="G1625" s="23">
        <v>-0.32168479999999999</v>
      </c>
      <c r="H1625" s="23">
        <v>0.250218</v>
      </c>
    </row>
    <row r="1626" spans="1:8" x14ac:dyDescent="0.35">
      <c r="A1626" s="23">
        <v>3.1718749999999997E-2</v>
      </c>
      <c r="B1626" s="23">
        <f t="shared" si="50"/>
        <v>0.24966550000000001</v>
      </c>
      <c r="C1626" s="24"/>
      <c r="D1626" s="24">
        <f t="shared" si="51"/>
        <v>100.20968553459117</v>
      </c>
      <c r="E1626" s="21"/>
      <c r="G1626" s="23">
        <v>-0.31866679999999997</v>
      </c>
      <c r="H1626" s="23">
        <v>0.24966550000000001</v>
      </c>
    </row>
    <row r="1627" spans="1:8" x14ac:dyDescent="0.35">
      <c r="A1627" s="23">
        <v>3.1738280000000001E-2</v>
      </c>
      <c r="B1627" s="23">
        <f t="shared" si="50"/>
        <v>0.24827060000000001</v>
      </c>
      <c r="C1627" s="24"/>
      <c r="D1627" s="24">
        <f t="shared" si="51"/>
        <v>99.079685534591192</v>
      </c>
      <c r="E1627" s="21"/>
      <c r="G1627" s="23">
        <v>-0.3150734</v>
      </c>
      <c r="H1627" s="23">
        <v>0.24827060000000001</v>
      </c>
    </row>
    <row r="1628" spans="1:8" x14ac:dyDescent="0.35">
      <c r="A1628" s="23">
        <v>3.1757809999999997E-2</v>
      </c>
      <c r="B1628" s="23">
        <f t="shared" si="50"/>
        <v>0.24606040000000001</v>
      </c>
      <c r="C1628" s="24"/>
      <c r="D1628" s="24">
        <f t="shared" si="51"/>
        <v>97.702201257861631</v>
      </c>
      <c r="E1628" s="21"/>
      <c r="G1628" s="23">
        <v>-0.310693</v>
      </c>
      <c r="H1628" s="23">
        <v>0.24606040000000001</v>
      </c>
    </row>
    <row r="1629" spans="1:8" x14ac:dyDescent="0.35">
      <c r="A1629" s="23">
        <v>3.1777340000000001E-2</v>
      </c>
      <c r="B1629" s="23">
        <f t="shared" si="50"/>
        <v>0.24271570000000001</v>
      </c>
      <c r="C1629" s="24"/>
      <c r="D1629" s="24">
        <f t="shared" si="51"/>
        <v>95.644842767295586</v>
      </c>
      <c r="E1629" s="21"/>
      <c r="G1629" s="23">
        <v>-0.30415059999999999</v>
      </c>
      <c r="H1629" s="23">
        <v>0.24271570000000001</v>
      </c>
    </row>
    <row r="1630" spans="1:8" x14ac:dyDescent="0.35">
      <c r="A1630" s="23">
        <v>3.179688E-2</v>
      </c>
      <c r="B1630" s="23">
        <f t="shared" si="50"/>
        <v>0.23837720000000001</v>
      </c>
      <c r="C1630" s="24"/>
      <c r="D1630" s="24">
        <f t="shared" si="51"/>
        <v>93.145786163522004</v>
      </c>
      <c r="E1630" s="21"/>
      <c r="G1630" s="23">
        <v>-0.29620360000000001</v>
      </c>
      <c r="H1630" s="23">
        <v>0.23837720000000001</v>
      </c>
    </row>
    <row r="1631" spans="1:8" x14ac:dyDescent="0.35">
      <c r="A1631" s="23">
        <v>3.1816410000000003E-2</v>
      </c>
      <c r="B1631" s="23">
        <f t="shared" si="50"/>
        <v>0.2334145</v>
      </c>
      <c r="C1631" s="24"/>
      <c r="D1631" s="24">
        <f t="shared" si="51"/>
        <v>90.38842767295597</v>
      </c>
      <c r="E1631" s="21"/>
      <c r="G1631" s="23">
        <v>-0.2874352</v>
      </c>
      <c r="H1631" s="23">
        <v>0.2334145</v>
      </c>
    </row>
    <row r="1632" spans="1:8" x14ac:dyDescent="0.35">
      <c r="A1632" s="23">
        <v>3.183594E-2</v>
      </c>
      <c r="B1632" s="23">
        <f t="shared" si="50"/>
        <v>0.2285005</v>
      </c>
      <c r="C1632" s="24"/>
      <c r="D1632" s="24">
        <f t="shared" si="51"/>
        <v>87.392547169811309</v>
      </c>
      <c r="E1632" s="21"/>
      <c r="G1632" s="23">
        <v>-0.2779083</v>
      </c>
      <c r="H1632" s="23">
        <v>0.2285005</v>
      </c>
    </row>
    <row r="1633" spans="1:8" x14ac:dyDescent="0.35">
      <c r="A1633" s="23">
        <v>3.1855469999999997E-2</v>
      </c>
      <c r="B1633" s="23">
        <f t="shared" si="50"/>
        <v>0.22285579999999999</v>
      </c>
      <c r="C1633" s="24"/>
      <c r="D1633" s="24">
        <f t="shared" si="51"/>
        <v>84.370943396226423</v>
      </c>
      <c r="E1633" s="21"/>
      <c r="G1633" s="23">
        <v>-0.26829960000000003</v>
      </c>
      <c r="H1633" s="23">
        <v>0.22285579999999999</v>
      </c>
    </row>
    <row r="1634" spans="1:8" x14ac:dyDescent="0.35">
      <c r="A1634" s="23">
        <v>3.1875000000000001E-2</v>
      </c>
      <c r="B1634" s="23">
        <f t="shared" si="50"/>
        <v>0.2154761</v>
      </c>
      <c r="C1634" s="24"/>
      <c r="D1634" s="24">
        <f t="shared" si="51"/>
        <v>80.866415094339615</v>
      </c>
      <c r="E1634" s="21"/>
      <c r="G1634" s="23">
        <v>-0.25715519999999997</v>
      </c>
      <c r="H1634" s="23">
        <v>0.2154761</v>
      </c>
    </row>
    <row r="1635" spans="1:8" x14ac:dyDescent="0.35">
      <c r="A1635" s="23">
        <v>3.1894529999999997E-2</v>
      </c>
      <c r="B1635" s="23">
        <f t="shared" si="50"/>
        <v>0.2077224</v>
      </c>
      <c r="C1635" s="24"/>
      <c r="D1635" s="24">
        <f t="shared" si="51"/>
        <v>76.91503144654088</v>
      </c>
      <c r="E1635" s="21"/>
      <c r="G1635" s="23">
        <v>-0.2445898</v>
      </c>
      <c r="H1635" s="23">
        <v>0.2077224</v>
      </c>
    </row>
    <row r="1636" spans="1:8" x14ac:dyDescent="0.35">
      <c r="A1636" s="23">
        <v>3.1914060000000001E-2</v>
      </c>
      <c r="B1636" s="23">
        <f t="shared" si="50"/>
        <v>0.19872419999999999</v>
      </c>
      <c r="C1636" s="24"/>
      <c r="D1636" s="24">
        <f t="shared" si="51"/>
        <v>72.695566037735858</v>
      </c>
      <c r="E1636" s="21"/>
      <c r="G1636" s="23">
        <v>-0.23117190000000001</v>
      </c>
      <c r="H1636" s="23">
        <v>0.19872419999999999</v>
      </c>
    </row>
    <row r="1637" spans="1:8" x14ac:dyDescent="0.35">
      <c r="A1637" s="23">
        <v>3.1933589999999998E-2</v>
      </c>
      <c r="B1637" s="23">
        <f t="shared" si="50"/>
        <v>0.18731639999999999</v>
      </c>
      <c r="C1637" s="24"/>
      <c r="D1637" s="24">
        <f t="shared" si="51"/>
        <v>67.873553459119492</v>
      </c>
      <c r="E1637" s="21"/>
      <c r="G1637" s="23">
        <v>-0.2158379</v>
      </c>
      <c r="H1637" s="23">
        <v>0.18731639999999999</v>
      </c>
    </row>
    <row r="1638" spans="1:8" x14ac:dyDescent="0.35">
      <c r="A1638" s="23">
        <v>3.1953120000000002E-2</v>
      </c>
      <c r="B1638" s="23">
        <f t="shared" si="50"/>
        <v>0.17677789999999999</v>
      </c>
      <c r="C1638" s="24"/>
      <c r="D1638" s="24">
        <f t="shared" si="51"/>
        <v>63.050660377358483</v>
      </c>
      <c r="E1638" s="21"/>
      <c r="G1638" s="23">
        <v>-0.20050109999999999</v>
      </c>
      <c r="H1638" s="23">
        <v>0.17677789999999999</v>
      </c>
    </row>
    <row r="1639" spans="1:8" x14ac:dyDescent="0.35">
      <c r="A1639" s="23">
        <v>3.197266E-2</v>
      </c>
      <c r="B1639" s="23">
        <f t="shared" si="50"/>
        <v>0.16769880000000001</v>
      </c>
      <c r="C1639" s="24"/>
      <c r="D1639" s="24">
        <f t="shared" si="51"/>
        <v>58.42499999999999</v>
      </c>
      <c r="E1639" s="21"/>
      <c r="G1639" s="23">
        <v>-0.1857915</v>
      </c>
      <c r="H1639" s="23">
        <v>0.16769880000000001</v>
      </c>
    </row>
    <row r="1640" spans="1:8" x14ac:dyDescent="0.35">
      <c r="A1640" s="23">
        <v>3.1992189999999997E-2</v>
      </c>
      <c r="B1640" s="23">
        <f t="shared" si="50"/>
        <v>0.15736639999999999</v>
      </c>
      <c r="C1640" s="24"/>
      <c r="D1640" s="24">
        <f t="shared" si="51"/>
        <v>53.424213836477989</v>
      </c>
      <c r="E1640" s="21"/>
      <c r="G1640" s="23">
        <v>-0.16988900000000001</v>
      </c>
      <c r="H1640" s="23">
        <v>0.15736639999999999</v>
      </c>
    </row>
    <row r="1641" spans="1:8" x14ac:dyDescent="0.35">
      <c r="A1641" s="23">
        <v>3.201172E-2</v>
      </c>
      <c r="B1641" s="23">
        <f t="shared" si="50"/>
        <v>0.1470157</v>
      </c>
      <c r="C1641" s="24"/>
      <c r="D1641" s="24">
        <f t="shared" si="51"/>
        <v>48.209056603773583</v>
      </c>
      <c r="E1641" s="21"/>
      <c r="G1641" s="23">
        <v>-0.15330479999999999</v>
      </c>
      <c r="H1641" s="23">
        <v>0.1470157</v>
      </c>
    </row>
    <row r="1642" spans="1:8" x14ac:dyDescent="0.35">
      <c r="A1642" s="23">
        <v>3.2031249999999997E-2</v>
      </c>
      <c r="B1642" s="23">
        <f t="shared" si="50"/>
        <v>0.13524749999999999</v>
      </c>
      <c r="C1642" s="24"/>
      <c r="D1642" s="24">
        <f t="shared" si="51"/>
        <v>42.693899371069172</v>
      </c>
      <c r="E1642" s="21"/>
      <c r="G1642" s="23">
        <v>-0.13576659999999999</v>
      </c>
      <c r="H1642" s="23">
        <v>0.13524749999999999</v>
      </c>
    </row>
    <row r="1643" spans="1:8" x14ac:dyDescent="0.35">
      <c r="A1643" s="23">
        <v>3.2050780000000001E-2</v>
      </c>
      <c r="B1643" s="23">
        <f t="shared" si="50"/>
        <v>0.1205104</v>
      </c>
      <c r="C1643" s="24"/>
      <c r="D1643" s="24">
        <f t="shared" si="51"/>
        <v>36.576226415094339</v>
      </c>
      <c r="E1643" s="21"/>
      <c r="G1643" s="23">
        <v>-0.1163124</v>
      </c>
      <c r="H1643" s="23">
        <v>0.1205104</v>
      </c>
    </row>
    <row r="1644" spans="1:8" x14ac:dyDescent="0.35">
      <c r="A1644" s="23">
        <v>3.2070309999999998E-2</v>
      </c>
      <c r="B1644" s="23">
        <f t="shared" si="50"/>
        <v>0.106519</v>
      </c>
      <c r="C1644" s="24"/>
      <c r="D1644" s="24">
        <f t="shared" si="51"/>
        <v>30.555509433962264</v>
      </c>
      <c r="E1644" s="21"/>
      <c r="G1644" s="23">
        <v>-9.7166520000000006E-2</v>
      </c>
      <c r="H1644" s="23">
        <v>0.106519</v>
      </c>
    </row>
    <row r="1645" spans="1:8" x14ac:dyDescent="0.35">
      <c r="A1645" s="23">
        <v>3.2089840000000001E-2</v>
      </c>
      <c r="B1645" s="23">
        <f t="shared" si="50"/>
        <v>9.4145770000000004E-2</v>
      </c>
      <c r="C1645" s="24"/>
      <c r="D1645" s="24">
        <f t="shared" si="51"/>
        <v>24.843135220125784</v>
      </c>
      <c r="E1645" s="21"/>
      <c r="G1645" s="23">
        <v>-7.9001169999999996E-2</v>
      </c>
      <c r="H1645" s="23">
        <v>9.4145770000000004E-2</v>
      </c>
    </row>
    <row r="1646" spans="1:8" x14ac:dyDescent="0.35">
      <c r="A1646" s="23">
        <v>3.210938E-2</v>
      </c>
      <c r="B1646" s="23">
        <f t="shared" si="50"/>
        <v>8.2592659999999998E-2</v>
      </c>
      <c r="C1646" s="24"/>
      <c r="D1646" s="24">
        <f t="shared" si="51"/>
        <v>19.04617610062893</v>
      </c>
      <c r="E1646" s="21"/>
      <c r="G1646" s="23">
        <v>-6.0566839999999997E-2</v>
      </c>
      <c r="H1646" s="23">
        <v>8.2592659999999998E-2</v>
      </c>
    </row>
    <row r="1647" spans="1:8" x14ac:dyDescent="0.35">
      <c r="A1647" s="23">
        <v>3.2128909999999997E-2</v>
      </c>
      <c r="B1647" s="23">
        <f t="shared" si="50"/>
        <v>6.9619459999999994E-2</v>
      </c>
      <c r="C1647" s="24"/>
      <c r="D1647" s="24">
        <f t="shared" si="51"/>
        <v>13.050081761006288</v>
      </c>
      <c r="E1647" s="21"/>
      <c r="G1647" s="23">
        <v>-4.1499260000000003E-2</v>
      </c>
      <c r="H1647" s="23">
        <v>6.9619459999999994E-2</v>
      </c>
    </row>
    <row r="1648" spans="1:8" x14ac:dyDescent="0.35">
      <c r="A1648" s="23">
        <v>3.214844E-2</v>
      </c>
      <c r="B1648" s="23">
        <f t="shared" si="50"/>
        <v>5.4543590000000003E-2</v>
      </c>
      <c r="C1648" s="24"/>
      <c r="D1648" s="24">
        <f t="shared" si="51"/>
        <v>6.6545849056603776</v>
      </c>
      <c r="E1648" s="21"/>
      <c r="G1648" s="23">
        <v>-2.1161579999999999E-2</v>
      </c>
      <c r="H1648" s="23">
        <v>5.4543590000000003E-2</v>
      </c>
    </row>
    <row r="1649" spans="1:8" x14ac:dyDescent="0.35">
      <c r="A1649" s="23">
        <v>3.2167969999999997E-2</v>
      </c>
      <c r="B1649" s="23">
        <f t="shared" si="50"/>
        <v>4.0917250000000002E-2</v>
      </c>
      <c r="C1649" s="24"/>
      <c r="D1649" s="24">
        <f t="shared" si="51"/>
        <v>0.37928144654088047</v>
      </c>
      <c r="E1649" s="21"/>
      <c r="G1649" s="23">
        <v>-1.206115E-3</v>
      </c>
      <c r="H1649" s="23">
        <v>4.0917250000000002E-2</v>
      </c>
    </row>
    <row r="1650" spans="1:8" x14ac:dyDescent="0.35">
      <c r="A1650" s="23">
        <v>3.2187500000000001E-2</v>
      </c>
      <c r="B1650" s="23">
        <f t="shared" si="50"/>
        <v>2.6517519999999999E-2</v>
      </c>
      <c r="C1650" s="24"/>
      <c r="D1650" s="24">
        <f t="shared" si="51"/>
        <v>-5.7615031446540881</v>
      </c>
      <c r="E1650" s="21"/>
      <c r="G1650" s="23">
        <v>1.8321580000000001E-2</v>
      </c>
      <c r="H1650" s="23">
        <v>2.6517519999999999E-2</v>
      </c>
    </row>
    <row r="1651" spans="1:8" x14ac:dyDescent="0.35">
      <c r="A1651" s="23">
        <v>3.2207029999999998E-2</v>
      </c>
      <c r="B1651" s="23">
        <f t="shared" si="50"/>
        <v>9.6655109999999999E-3</v>
      </c>
      <c r="C1651" s="24"/>
      <c r="D1651" s="24">
        <f t="shared" si="51"/>
        <v>-12.253474842767297</v>
      </c>
      <c r="E1651" s="21"/>
      <c r="G1651" s="23">
        <v>3.8966050000000002E-2</v>
      </c>
      <c r="H1651" s="23">
        <v>9.6655109999999999E-3</v>
      </c>
    </row>
    <row r="1652" spans="1:8" x14ac:dyDescent="0.35">
      <c r="A1652" s="23">
        <v>3.2226560000000001E-2</v>
      </c>
      <c r="B1652" s="23">
        <f t="shared" si="50"/>
        <v>-6.6069800000000001E-3</v>
      </c>
      <c r="C1652" s="24"/>
      <c r="D1652" s="24">
        <f t="shared" si="51"/>
        <v>-18.532062893081758</v>
      </c>
      <c r="E1652" s="21"/>
      <c r="G1652" s="23">
        <v>5.8931959999999999E-2</v>
      </c>
      <c r="H1652" s="23">
        <v>-6.6069800000000001E-3</v>
      </c>
    </row>
    <row r="1653" spans="1:8" x14ac:dyDescent="0.35">
      <c r="A1653" s="23">
        <v>3.2246089999999998E-2</v>
      </c>
      <c r="B1653" s="23">
        <f t="shared" si="50"/>
        <v>-2.4127039999999999E-2</v>
      </c>
      <c r="C1653" s="24"/>
      <c r="D1653" s="24">
        <f t="shared" si="51"/>
        <v>-24.489047169811318</v>
      </c>
      <c r="E1653" s="21"/>
      <c r="G1653" s="23">
        <v>7.7875169999999994E-2</v>
      </c>
      <c r="H1653" s="23">
        <v>-2.4127039999999999E-2</v>
      </c>
    </row>
    <row r="1654" spans="1:8" x14ac:dyDescent="0.35">
      <c r="A1654" s="23">
        <v>3.2265620000000002E-2</v>
      </c>
      <c r="B1654" s="23">
        <f t="shared" si="50"/>
        <v>-4.4026120000000002E-2</v>
      </c>
      <c r="C1654" s="24"/>
      <c r="D1654" s="24">
        <f t="shared" si="51"/>
        <v>-30.242874213836473</v>
      </c>
      <c r="E1654" s="21"/>
      <c r="G1654" s="23">
        <v>9.6172339999999995E-2</v>
      </c>
      <c r="H1654" s="23">
        <v>-4.4026120000000002E-2</v>
      </c>
    </row>
    <row r="1655" spans="1:8" x14ac:dyDescent="0.35">
      <c r="A1655" s="23">
        <v>3.228516E-2</v>
      </c>
      <c r="B1655" s="23">
        <f t="shared" si="50"/>
        <v>-6.3330849999999994E-2</v>
      </c>
      <c r="C1655" s="24"/>
      <c r="D1655" s="24">
        <f t="shared" si="51"/>
        <v>-35.885157232704401</v>
      </c>
      <c r="E1655" s="21"/>
      <c r="G1655" s="23">
        <v>0.1141148</v>
      </c>
      <c r="H1655" s="23">
        <v>-6.3330849999999994E-2</v>
      </c>
    </row>
    <row r="1656" spans="1:8" x14ac:dyDescent="0.35">
      <c r="A1656" s="23">
        <v>3.2304689999999997E-2</v>
      </c>
      <c r="B1656" s="23">
        <f t="shared" si="50"/>
        <v>-8.1990869999999993E-2</v>
      </c>
      <c r="C1656" s="24"/>
      <c r="D1656" s="24">
        <f t="shared" si="51"/>
        <v>-41.791257861635216</v>
      </c>
      <c r="E1656" s="21"/>
      <c r="G1656" s="23">
        <v>0.13289619999999999</v>
      </c>
      <c r="H1656" s="23">
        <v>-8.1990869999999993E-2</v>
      </c>
    </row>
    <row r="1657" spans="1:8" x14ac:dyDescent="0.35">
      <c r="A1657" s="23">
        <v>3.2324220000000001E-2</v>
      </c>
      <c r="B1657" s="23">
        <f t="shared" si="50"/>
        <v>-0.1011512</v>
      </c>
      <c r="C1657" s="24"/>
      <c r="D1657" s="24">
        <f t="shared" si="51"/>
        <v>-47.579874213836476</v>
      </c>
      <c r="E1657" s="21"/>
      <c r="G1657" s="23">
        <v>0.15130399999999999</v>
      </c>
      <c r="H1657" s="23">
        <v>-0.1011512</v>
      </c>
    </row>
    <row r="1658" spans="1:8" x14ac:dyDescent="0.35">
      <c r="A1658" s="23">
        <v>3.2343749999999998E-2</v>
      </c>
      <c r="B1658" s="23">
        <f t="shared" si="50"/>
        <v>-0.1196472</v>
      </c>
      <c r="C1658" s="24"/>
      <c r="D1658" s="24">
        <f t="shared" si="51"/>
        <v>-53.019654088050309</v>
      </c>
      <c r="E1658" s="21"/>
      <c r="G1658" s="23">
        <v>0.16860249999999999</v>
      </c>
      <c r="H1658" s="23">
        <v>-0.1196472</v>
      </c>
    </row>
    <row r="1659" spans="1:8" x14ac:dyDescent="0.35">
      <c r="A1659" s="23">
        <v>3.2363280000000001E-2</v>
      </c>
      <c r="B1659" s="23">
        <f t="shared" si="50"/>
        <v>-0.13764799999999999</v>
      </c>
      <c r="C1659" s="24"/>
      <c r="D1659" s="24">
        <f t="shared" si="51"/>
        <v>-58.313207547169803</v>
      </c>
      <c r="E1659" s="21"/>
      <c r="G1659" s="23">
        <v>0.18543599999999999</v>
      </c>
      <c r="H1659" s="23">
        <v>-0.13764799999999999</v>
      </c>
    </row>
    <row r="1660" spans="1:8" x14ac:dyDescent="0.35">
      <c r="A1660" s="23">
        <v>3.2382809999999998E-2</v>
      </c>
      <c r="B1660" s="23">
        <f t="shared" si="50"/>
        <v>-0.15420149999999999</v>
      </c>
      <c r="C1660" s="24"/>
      <c r="D1660" s="24">
        <f t="shared" si="51"/>
        <v>-63.110031446540873</v>
      </c>
      <c r="E1660" s="21"/>
      <c r="G1660" s="23">
        <v>0.2006899</v>
      </c>
      <c r="H1660" s="23">
        <v>-0.15420149999999999</v>
      </c>
    </row>
    <row r="1661" spans="1:8" x14ac:dyDescent="0.35">
      <c r="A1661" s="23">
        <v>3.2402340000000002E-2</v>
      </c>
      <c r="B1661" s="23">
        <f t="shared" si="50"/>
        <v>-0.1692669</v>
      </c>
      <c r="C1661" s="24"/>
      <c r="D1661" s="24">
        <f t="shared" si="51"/>
        <v>-67.731132075471692</v>
      </c>
      <c r="E1661" s="21"/>
      <c r="G1661" s="23">
        <v>0.21538499999999999</v>
      </c>
      <c r="H1661" s="23">
        <v>-0.1692669</v>
      </c>
    </row>
    <row r="1662" spans="1:8" x14ac:dyDescent="0.35">
      <c r="A1662" s="23">
        <v>3.242188E-2</v>
      </c>
      <c r="B1662" s="23">
        <f t="shared" si="50"/>
        <v>-0.1847241</v>
      </c>
      <c r="C1662" s="24"/>
      <c r="D1662" s="24">
        <f t="shared" si="51"/>
        <v>-72.765408805031441</v>
      </c>
      <c r="E1662" s="21"/>
      <c r="G1662" s="23">
        <v>0.23139399999999999</v>
      </c>
      <c r="H1662" s="23">
        <v>-0.1847241</v>
      </c>
    </row>
    <row r="1663" spans="1:8" x14ac:dyDescent="0.35">
      <c r="A1663" s="23">
        <v>3.2441409999999997E-2</v>
      </c>
      <c r="B1663" s="23">
        <f t="shared" si="50"/>
        <v>-0.19820689999999999</v>
      </c>
      <c r="C1663" s="24"/>
      <c r="D1663" s="24">
        <f t="shared" si="51"/>
        <v>-77.178270440251566</v>
      </c>
      <c r="E1663" s="21"/>
      <c r="G1663" s="23">
        <v>0.2454269</v>
      </c>
      <c r="H1663" s="23">
        <v>-0.19820689999999999</v>
      </c>
    </row>
    <row r="1664" spans="1:8" x14ac:dyDescent="0.35">
      <c r="A1664" s="23">
        <v>3.2460940000000001E-2</v>
      </c>
      <c r="B1664" s="23">
        <f t="shared" si="50"/>
        <v>-0.2090736</v>
      </c>
      <c r="C1664" s="24"/>
      <c r="D1664" s="24">
        <f t="shared" si="51"/>
        <v>-80.833081761006284</v>
      </c>
      <c r="E1664" s="21"/>
      <c r="G1664" s="23">
        <v>0.25704919999999998</v>
      </c>
      <c r="H1664" s="23">
        <v>-0.2090736</v>
      </c>
    </row>
    <row r="1665" spans="1:8" x14ac:dyDescent="0.35">
      <c r="A1665" s="23">
        <v>3.2480469999999997E-2</v>
      </c>
      <c r="B1665" s="23">
        <f t="shared" si="50"/>
        <v>-0.21894340000000001</v>
      </c>
      <c r="C1665" s="24"/>
      <c r="D1665" s="24">
        <f t="shared" si="51"/>
        <v>-84.59757861635218</v>
      </c>
      <c r="E1665" s="21"/>
      <c r="G1665" s="23">
        <v>0.26902029999999999</v>
      </c>
      <c r="H1665" s="23">
        <v>-0.21894340000000001</v>
      </c>
    </row>
    <row r="1666" spans="1:8" x14ac:dyDescent="0.35">
      <c r="A1666" s="23">
        <v>3.2500000000000001E-2</v>
      </c>
      <c r="B1666" s="23">
        <f t="shared" ref="B1666:B1729" si="52">H1666</f>
        <v>-0.2281118</v>
      </c>
      <c r="C1666" s="24"/>
      <c r="D1666" s="24">
        <f t="shared" ref="D1666:D1729" si="53">G1666*-1000/3.18</f>
        <v>-87.966698113207542</v>
      </c>
      <c r="E1666" s="21"/>
      <c r="G1666" s="23">
        <v>0.27973409999999999</v>
      </c>
      <c r="H1666" s="23">
        <v>-0.2281118</v>
      </c>
    </row>
    <row r="1667" spans="1:8" x14ac:dyDescent="0.35">
      <c r="A1667" s="23">
        <v>3.2519529999999998E-2</v>
      </c>
      <c r="B1667" s="23">
        <f t="shared" si="52"/>
        <v>-0.2367206</v>
      </c>
      <c r="C1667" s="24"/>
      <c r="D1667" s="24">
        <f t="shared" si="53"/>
        <v>-90.890786163521994</v>
      </c>
      <c r="E1667" s="21"/>
      <c r="G1667" s="23">
        <v>0.28903269999999998</v>
      </c>
      <c r="H1667" s="23">
        <v>-0.2367206</v>
      </c>
    </row>
    <row r="1668" spans="1:8" x14ac:dyDescent="0.35">
      <c r="A1668" s="23">
        <v>3.2539060000000002E-2</v>
      </c>
      <c r="B1668" s="23">
        <f t="shared" si="52"/>
        <v>-0.2442095</v>
      </c>
      <c r="C1668" s="24"/>
      <c r="D1668" s="24">
        <f t="shared" si="53"/>
        <v>-93.712389937106892</v>
      </c>
      <c r="E1668" s="21"/>
      <c r="G1668" s="23">
        <v>0.29800539999999998</v>
      </c>
      <c r="H1668" s="23">
        <v>-0.2442095</v>
      </c>
    </row>
    <row r="1669" spans="1:8" x14ac:dyDescent="0.35">
      <c r="A1669" s="23">
        <v>3.2558589999999998E-2</v>
      </c>
      <c r="B1669" s="23">
        <f t="shared" si="52"/>
        <v>-0.25126159999999997</v>
      </c>
      <c r="C1669" s="24"/>
      <c r="D1669" s="24">
        <f t="shared" si="53"/>
        <v>-96.24459119496855</v>
      </c>
      <c r="E1669" s="21"/>
      <c r="G1669" s="23">
        <v>0.30605779999999999</v>
      </c>
      <c r="H1669" s="23">
        <v>-0.25126159999999997</v>
      </c>
    </row>
    <row r="1670" spans="1:8" x14ac:dyDescent="0.35">
      <c r="A1670" s="23">
        <v>3.2578120000000002E-2</v>
      </c>
      <c r="B1670" s="23">
        <f t="shared" si="52"/>
        <v>-0.2581521</v>
      </c>
      <c r="C1670" s="24"/>
      <c r="D1670" s="24">
        <f t="shared" si="53"/>
        <v>-98.58415094339621</v>
      </c>
      <c r="E1670" s="21"/>
      <c r="G1670" s="23">
        <v>0.31349759999999999</v>
      </c>
      <c r="H1670" s="23">
        <v>-0.2581521</v>
      </c>
    </row>
    <row r="1671" spans="1:8" x14ac:dyDescent="0.35">
      <c r="A1671" s="23">
        <v>3.2597660000000001E-2</v>
      </c>
      <c r="B1671" s="23">
        <f t="shared" si="52"/>
        <v>-0.26319199999999998</v>
      </c>
      <c r="C1671" s="24"/>
      <c r="D1671" s="24">
        <f t="shared" si="53"/>
        <v>-100.38421383647797</v>
      </c>
      <c r="E1671" s="21"/>
      <c r="G1671" s="23">
        <v>0.3192218</v>
      </c>
      <c r="H1671" s="23">
        <v>-0.26319199999999998</v>
      </c>
    </row>
    <row r="1672" spans="1:8" x14ac:dyDescent="0.35">
      <c r="A1672" s="23">
        <v>3.2617189999999997E-2</v>
      </c>
      <c r="B1672" s="23">
        <f t="shared" si="52"/>
        <v>-0.26635599999999998</v>
      </c>
      <c r="C1672" s="24"/>
      <c r="D1672" s="24">
        <f t="shared" si="53"/>
        <v>-101.45795597484276</v>
      </c>
      <c r="E1672" s="21"/>
      <c r="G1672" s="23">
        <v>0.32263629999999999</v>
      </c>
      <c r="H1672" s="23">
        <v>-0.26635599999999998</v>
      </c>
    </row>
    <row r="1673" spans="1:8" x14ac:dyDescent="0.35">
      <c r="A1673" s="23">
        <v>3.2636720000000001E-2</v>
      </c>
      <c r="B1673" s="23">
        <f t="shared" si="52"/>
        <v>-0.26914759999999999</v>
      </c>
      <c r="C1673" s="24"/>
      <c r="D1673" s="24">
        <f t="shared" si="53"/>
        <v>-102.30166666666666</v>
      </c>
      <c r="E1673" s="21"/>
      <c r="G1673" s="23">
        <v>0.32531929999999998</v>
      </c>
      <c r="H1673" s="23">
        <v>-0.26914759999999999</v>
      </c>
    </row>
    <row r="1674" spans="1:8" x14ac:dyDescent="0.35">
      <c r="A1674" s="23">
        <v>3.2656249999999998E-2</v>
      </c>
      <c r="B1674" s="23">
        <f t="shared" si="52"/>
        <v>-0.27104610000000001</v>
      </c>
      <c r="C1674" s="24"/>
      <c r="D1674" s="24">
        <f t="shared" si="53"/>
        <v>-102.75393081761005</v>
      </c>
      <c r="E1674" s="21"/>
      <c r="G1674" s="23">
        <v>0.32675749999999998</v>
      </c>
      <c r="H1674" s="23">
        <v>-0.27104610000000001</v>
      </c>
    </row>
    <row r="1675" spans="1:8" x14ac:dyDescent="0.35">
      <c r="A1675" s="23">
        <v>3.2675780000000001E-2</v>
      </c>
      <c r="B1675" s="23">
        <f t="shared" si="52"/>
        <v>-0.2715438</v>
      </c>
      <c r="C1675" s="24"/>
      <c r="D1675" s="24">
        <f t="shared" si="53"/>
        <v>-102.83226415094339</v>
      </c>
      <c r="E1675" s="21"/>
      <c r="G1675" s="23">
        <v>0.32700659999999998</v>
      </c>
      <c r="H1675" s="23">
        <v>-0.2715438</v>
      </c>
    </row>
    <row r="1676" spans="1:8" x14ac:dyDescent="0.35">
      <c r="A1676" s="23">
        <v>3.2695309999999998E-2</v>
      </c>
      <c r="B1676" s="23">
        <f t="shared" si="52"/>
        <v>-0.27210780000000001</v>
      </c>
      <c r="C1676" s="24"/>
      <c r="D1676" s="24">
        <f t="shared" si="53"/>
        <v>-102.94588050314464</v>
      </c>
      <c r="E1676" s="21"/>
      <c r="G1676" s="23">
        <v>0.32736789999999999</v>
      </c>
      <c r="H1676" s="23">
        <v>-0.27210780000000001</v>
      </c>
    </row>
    <row r="1677" spans="1:8" x14ac:dyDescent="0.35">
      <c r="A1677" s="23">
        <v>3.2714840000000002E-2</v>
      </c>
      <c r="B1677" s="23">
        <f t="shared" si="52"/>
        <v>-0.2716558</v>
      </c>
      <c r="C1677" s="24"/>
      <c r="D1677" s="24">
        <f t="shared" si="53"/>
        <v>-102.52128930817611</v>
      </c>
      <c r="E1677" s="21"/>
      <c r="G1677" s="23">
        <v>0.32601770000000002</v>
      </c>
      <c r="H1677" s="23">
        <v>-0.2716558</v>
      </c>
    </row>
    <row r="1678" spans="1:8" x14ac:dyDescent="0.35">
      <c r="A1678" s="23">
        <v>3.273438E-2</v>
      </c>
      <c r="B1678" s="23">
        <f t="shared" si="52"/>
        <v>-0.26896619999999999</v>
      </c>
      <c r="C1678" s="24"/>
      <c r="D1678" s="24">
        <f t="shared" si="53"/>
        <v>-101.34459119496854</v>
      </c>
      <c r="E1678" s="21"/>
      <c r="G1678" s="23">
        <v>0.3222758</v>
      </c>
      <c r="H1678" s="23">
        <v>-0.26896619999999999</v>
      </c>
    </row>
    <row r="1679" spans="1:8" x14ac:dyDescent="0.35">
      <c r="A1679" s="23">
        <v>3.2753909999999997E-2</v>
      </c>
      <c r="B1679" s="23">
        <f t="shared" si="52"/>
        <v>-0.2650998</v>
      </c>
      <c r="C1679" s="24"/>
      <c r="D1679" s="24">
        <f t="shared" si="53"/>
        <v>-99.744685534591184</v>
      </c>
      <c r="E1679" s="21"/>
      <c r="G1679" s="23">
        <v>0.31718809999999997</v>
      </c>
      <c r="H1679" s="23">
        <v>-0.2650998</v>
      </c>
    </row>
    <row r="1680" spans="1:8" x14ac:dyDescent="0.35">
      <c r="A1680" s="23">
        <v>3.2773440000000001E-2</v>
      </c>
      <c r="B1680" s="23">
        <f t="shared" si="52"/>
        <v>-0.26065319999999997</v>
      </c>
      <c r="C1680" s="24"/>
      <c r="D1680" s="24">
        <f t="shared" si="53"/>
        <v>-97.782295597484264</v>
      </c>
      <c r="E1680" s="21"/>
      <c r="G1680" s="23">
        <v>0.31094769999999999</v>
      </c>
      <c r="H1680" s="23">
        <v>-0.26065319999999997</v>
      </c>
    </row>
    <row r="1681" spans="1:8" x14ac:dyDescent="0.35">
      <c r="A1681" s="23">
        <v>3.2792969999999998E-2</v>
      </c>
      <c r="B1681" s="23">
        <f t="shared" si="52"/>
        <v>-0.25601570000000001</v>
      </c>
      <c r="C1681" s="24"/>
      <c r="D1681" s="24">
        <f t="shared" si="53"/>
        <v>-95.672987421383652</v>
      </c>
      <c r="E1681" s="21"/>
      <c r="G1681" s="23">
        <v>0.30424010000000001</v>
      </c>
      <c r="H1681" s="23">
        <v>-0.25601570000000001</v>
      </c>
    </row>
    <row r="1682" spans="1:8" x14ac:dyDescent="0.35">
      <c r="A1682" s="23">
        <v>3.2812500000000001E-2</v>
      </c>
      <c r="B1682" s="23">
        <f t="shared" si="52"/>
        <v>-0.25041989999999997</v>
      </c>
      <c r="C1682" s="24"/>
      <c r="D1682" s="24">
        <f t="shared" si="53"/>
        <v>-93.209371069182382</v>
      </c>
      <c r="E1682" s="21"/>
      <c r="G1682" s="23">
        <v>0.2964058</v>
      </c>
      <c r="H1682" s="23">
        <v>-0.25041989999999997</v>
      </c>
    </row>
    <row r="1683" spans="1:8" x14ac:dyDescent="0.35">
      <c r="A1683" s="23">
        <v>3.2832029999999998E-2</v>
      </c>
      <c r="B1683" s="23">
        <f t="shared" si="52"/>
        <v>-0.2438089</v>
      </c>
      <c r="C1683" s="24"/>
      <c r="D1683" s="24">
        <f t="shared" si="53"/>
        <v>-90.406761006289315</v>
      </c>
      <c r="E1683" s="21"/>
      <c r="G1683" s="23">
        <v>0.28749350000000001</v>
      </c>
      <c r="H1683" s="23">
        <v>-0.2438089</v>
      </c>
    </row>
    <row r="1684" spans="1:8" x14ac:dyDescent="0.35">
      <c r="A1684" s="23">
        <v>3.2851560000000002E-2</v>
      </c>
      <c r="B1684" s="23">
        <f t="shared" si="52"/>
        <v>-0.23639950000000001</v>
      </c>
      <c r="C1684" s="24"/>
      <c r="D1684" s="24">
        <f t="shared" si="53"/>
        <v>-87.252515723270449</v>
      </c>
      <c r="E1684" s="21"/>
      <c r="G1684" s="23">
        <v>0.27746300000000002</v>
      </c>
      <c r="H1684" s="23">
        <v>-0.23639950000000001</v>
      </c>
    </row>
    <row r="1685" spans="1:8" x14ac:dyDescent="0.35">
      <c r="A1685" s="23">
        <v>3.2871089999999999E-2</v>
      </c>
      <c r="B1685" s="23">
        <f t="shared" si="52"/>
        <v>-0.2271434</v>
      </c>
      <c r="C1685" s="24"/>
      <c r="D1685" s="24">
        <f t="shared" si="53"/>
        <v>-83.34157232704402</v>
      </c>
      <c r="E1685" s="21"/>
      <c r="G1685" s="23">
        <v>0.26502619999999999</v>
      </c>
      <c r="H1685" s="23">
        <v>-0.2271434</v>
      </c>
    </row>
    <row r="1686" spans="1:8" x14ac:dyDescent="0.35">
      <c r="A1686" s="23">
        <v>3.2890620000000002E-2</v>
      </c>
      <c r="B1686" s="23">
        <f t="shared" si="52"/>
        <v>-0.217173</v>
      </c>
      <c r="C1686" s="24"/>
      <c r="D1686" s="24">
        <f t="shared" si="53"/>
        <v>-79.141257861635211</v>
      </c>
      <c r="E1686" s="21"/>
      <c r="G1686" s="23">
        <v>0.25166919999999998</v>
      </c>
      <c r="H1686" s="23">
        <v>-0.217173</v>
      </c>
    </row>
    <row r="1687" spans="1:8" x14ac:dyDescent="0.35">
      <c r="A1687" s="23">
        <v>3.2910160000000001E-2</v>
      </c>
      <c r="B1687" s="23">
        <f t="shared" si="52"/>
        <v>-0.2073671</v>
      </c>
      <c r="C1687" s="24"/>
      <c r="D1687" s="24">
        <f t="shared" si="53"/>
        <v>-74.939371069182386</v>
      </c>
      <c r="E1687" s="21"/>
      <c r="G1687" s="23">
        <v>0.2383072</v>
      </c>
      <c r="H1687" s="23">
        <v>-0.2073671</v>
      </c>
    </row>
    <row r="1688" spans="1:8" x14ac:dyDescent="0.35">
      <c r="A1688" s="23">
        <v>3.2929689999999998E-2</v>
      </c>
      <c r="B1688" s="23">
        <f t="shared" si="52"/>
        <v>-0.1966271</v>
      </c>
      <c r="C1688" s="24"/>
      <c r="D1688" s="24">
        <f t="shared" si="53"/>
        <v>-70.46606918238993</v>
      </c>
      <c r="E1688" s="21"/>
      <c r="G1688" s="23">
        <v>0.22408210000000001</v>
      </c>
      <c r="H1688" s="23">
        <v>-0.1966271</v>
      </c>
    </row>
    <row r="1689" spans="1:8" x14ac:dyDescent="0.35">
      <c r="A1689" s="23">
        <v>3.2949220000000001E-2</v>
      </c>
      <c r="B1689" s="23">
        <f t="shared" si="52"/>
        <v>-0.18494830000000001</v>
      </c>
      <c r="C1689" s="24"/>
      <c r="D1689" s="24">
        <f t="shared" si="53"/>
        <v>-65.721415094339605</v>
      </c>
      <c r="E1689" s="21"/>
      <c r="G1689" s="23">
        <v>0.20899409999999999</v>
      </c>
      <c r="H1689" s="23">
        <v>-0.18494830000000001</v>
      </c>
    </row>
    <row r="1690" spans="1:8" x14ac:dyDescent="0.35">
      <c r="A1690" s="23">
        <v>3.2968749999999998E-2</v>
      </c>
      <c r="B1690" s="23">
        <f t="shared" si="52"/>
        <v>-0.1721366</v>
      </c>
      <c r="C1690" s="24"/>
      <c r="D1690" s="24">
        <f t="shared" si="53"/>
        <v>-60.567767295597484</v>
      </c>
      <c r="E1690" s="21"/>
      <c r="G1690" s="23">
        <v>0.19260550000000001</v>
      </c>
      <c r="H1690" s="23">
        <v>-0.1721366</v>
      </c>
    </row>
    <row r="1691" spans="1:8" x14ac:dyDescent="0.35">
      <c r="A1691" s="23">
        <v>3.2988280000000002E-2</v>
      </c>
      <c r="B1691" s="23">
        <f t="shared" si="52"/>
        <v>-0.15830730000000001</v>
      </c>
      <c r="C1691" s="24"/>
      <c r="D1691" s="24">
        <f t="shared" si="53"/>
        <v>-54.968836477987423</v>
      </c>
      <c r="E1691" s="21"/>
      <c r="G1691" s="23">
        <v>0.17480090000000001</v>
      </c>
      <c r="H1691" s="23">
        <v>-0.15830730000000001</v>
      </c>
    </row>
    <row r="1692" spans="1:8" x14ac:dyDescent="0.35">
      <c r="A1692" s="23">
        <v>3.3007809999999999E-2</v>
      </c>
      <c r="B1692" s="23">
        <f t="shared" si="52"/>
        <v>-0.14397160000000001</v>
      </c>
      <c r="C1692" s="24"/>
      <c r="D1692" s="24">
        <f t="shared" si="53"/>
        <v>-49.087201257861629</v>
      </c>
      <c r="E1692" s="21"/>
      <c r="G1692" s="23">
        <v>0.15609729999999999</v>
      </c>
      <c r="H1692" s="23">
        <v>-0.14397160000000001</v>
      </c>
    </row>
    <row r="1693" spans="1:8" x14ac:dyDescent="0.35">
      <c r="A1693" s="23">
        <v>3.3027340000000002E-2</v>
      </c>
      <c r="B1693" s="23">
        <f t="shared" si="52"/>
        <v>-0.128776</v>
      </c>
      <c r="C1693" s="24"/>
      <c r="D1693" s="24">
        <f t="shared" si="53"/>
        <v>-42.9275786163522</v>
      </c>
      <c r="E1693" s="21"/>
      <c r="G1693" s="23">
        <v>0.13650970000000001</v>
      </c>
      <c r="H1693" s="23">
        <v>-0.128776</v>
      </c>
    </row>
    <row r="1694" spans="1:8" x14ac:dyDescent="0.35">
      <c r="A1694" s="23">
        <v>3.3046880000000001E-2</v>
      </c>
      <c r="B1694" s="23">
        <f t="shared" si="52"/>
        <v>-0.1137079</v>
      </c>
      <c r="C1694" s="24"/>
      <c r="D1694" s="24">
        <f t="shared" si="53"/>
        <v>-36.9537106918239</v>
      </c>
      <c r="E1694" s="21"/>
      <c r="G1694" s="23">
        <v>0.1175128</v>
      </c>
      <c r="H1694" s="23">
        <v>-0.1137079</v>
      </c>
    </row>
    <row r="1695" spans="1:8" x14ac:dyDescent="0.35">
      <c r="A1695" s="23">
        <v>3.3066409999999997E-2</v>
      </c>
      <c r="B1695" s="23">
        <f t="shared" si="52"/>
        <v>-9.8889909999999998E-2</v>
      </c>
      <c r="C1695" s="24"/>
      <c r="D1695" s="24">
        <f t="shared" si="53"/>
        <v>-31.114745283018863</v>
      </c>
      <c r="E1695" s="21"/>
      <c r="G1695" s="23">
        <v>9.8944889999999994E-2</v>
      </c>
      <c r="H1695" s="23">
        <v>-9.8889909999999998E-2</v>
      </c>
    </row>
    <row r="1696" spans="1:8" x14ac:dyDescent="0.35">
      <c r="A1696" s="23">
        <v>3.3085940000000001E-2</v>
      </c>
      <c r="B1696" s="23">
        <f t="shared" si="52"/>
        <v>-8.3062540000000004E-2</v>
      </c>
      <c r="C1696" s="24"/>
      <c r="D1696" s="24">
        <f t="shared" si="53"/>
        <v>-24.661103773584902</v>
      </c>
      <c r="E1696" s="21"/>
      <c r="G1696" s="23">
        <v>7.8422309999999995E-2</v>
      </c>
      <c r="H1696" s="23">
        <v>-8.3062540000000004E-2</v>
      </c>
    </row>
    <row r="1697" spans="1:8" x14ac:dyDescent="0.35">
      <c r="A1697" s="23">
        <v>3.3105469999999998E-2</v>
      </c>
      <c r="B1697" s="23">
        <f t="shared" si="52"/>
        <v>-6.6688529999999996E-2</v>
      </c>
      <c r="C1697" s="24"/>
      <c r="D1697" s="24">
        <f t="shared" si="53"/>
        <v>-18.235588050314465</v>
      </c>
      <c r="E1697" s="21"/>
      <c r="G1697" s="23">
        <v>5.798917E-2</v>
      </c>
      <c r="H1697" s="23">
        <v>-6.6688529999999996E-2</v>
      </c>
    </row>
    <row r="1698" spans="1:8" x14ac:dyDescent="0.35">
      <c r="A1698" s="23">
        <v>3.3125000000000002E-2</v>
      </c>
      <c r="B1698" s="23">
        <f t="shared" si="52"/>
        <v>-5.0178790000000001E-2</v>
      </c>
      <c r="C1698" s="24"/>
      <c r="D1698" s="24">
        <f t="shared" si="53"/>
        <v>-11.861877358490567</v>
      </c>
      <c r="E1698" s="21"/>
      <c r="G1698" s="23">
        <v>3.7720770000000001E-2</v>
      </c>
      <c r="H1698" s="23">
        <v>-5.0178790000000001E-2</v>
      </c>
    </row>
    <row r="1699" spans="1:8" x14ac:dyDescent="0.35">
      <c r="A1699" s="23">
        <v>3.3144529999999998E-2</v>
      </c>
      <c r="B1699" s="23">
        <f t="shared" si="52"/>
        <v>-3.3203620000000003E-2</v>
      </c>
      <c r="C1699" s="24"/>
      <c r="D1699" s="24">
        <f t="shared" si="53"/>
        <v>-4.9591981132075462</v>
      </c>
      <c r="E1699" s="21"/>
      <c r="G1699" s="23">
        <v>1.577025E-2</v>
      </c>
      <c r="H1699" s="23">
        <v>-3.3203620000000003E-2</v>
      </c>
    </row>
    <row r="1700" spans="1:8" x14ac:dyDescent="0.35">
      <c r="A1700" s="23">
        <v>3.3164060000000002E-2</v>
      </c>
      <c r="B1700" s="23">
        <f t="shared" si="52"/>
        <v>-1.6290559999999999E-2</v>
      </c>
      <c r="C1700" s="24"/>
      <c r="D1700" s="24">
        <f t="shared" si="53"/>
        <v>1.5104525157232702</v>
      </c>
      <c r="E1700" s="21"/>
      <c r="G1700" s="23">
        <v>-4.8032389999999999E-3</v>
      </c>
      <c r="H1700" s="23">
        <v>-1.6290559999999999E-2</v>
      </c>
    </row>
    <row r="1701" spans="1:8" x14ac:dyDescent="0.35">
      <c r="A1701" s="23">
        <v>3.3183589999999999E-2</v>
      </c>
      <c r="B1701" s="23">
        <f t="shared" si="52"/>
        <v>-3.1178899999999998E-4</v>
      </c>
      <c r="C1701" s="24"/>
      <c r="D1701" s="24">
        <f t="shared" si="53"/>
        <v>7.7540723270440255</v>
      </c>
      <c r="E1701" s="21"/>
      <c r="G1701" s="23">
        <v>-2.4657950000000001E-2</v>
      </c>
      <c r="H1701" s="23">
        <v>-3.1178899999999998E-4</v>
      </c>
    </row>
    <row r="1702" spans="1:8" x14ac:dyDescent="0.35">
      <c r="A1702" s="23">
        <v>3.3203120000000003E-2</v>
      </c>
      <c r="B1702" s="23">
        <f t="shared" si="52"/>
        <v>1.552861E-2</v>
      </c>
      <c r="C1702" s="24"/>
      <c r="D1702" s="24">
        <f t="shared" si="53"/>
        <v>14.179937106918238</v>
      </c>
      <c r="E1702" s="21"/>
      <c r="G1702" s="23">
        <v>-4.5092199999999999E-2</v>
      </c>
      <c r="H1702" s="23">
        <v>1.552861E-2</v>
      </c>
    </row>
    <row r="1703" spans="1:8" x14ac:dyDescent="0.35">
      <c r="A1703" s="23">
        <v>3.3222660000000001E-2</v>
      </c>
      <c r="B1703" s="23">
        <f t="shared" si="52"/>
        <v>3.2111290000000001E-2</v>
      </c>
      <c r="C1703" s="24"/>
      <c r="D1703" s="24">
        <f t="shared" si="53"/>
        <v>20.427641509433961</v>
      </c>
      <c r="E1703" s="21"/>
      <c r="G1703" s="23">
        <v>-6.4959900000000001E-2</v>
      </c>
      <c r="H1703" s="23">
        <v>3.2111290000000001E-2</v>
      </c>
    </row>
    <row r="1704" spans="1:8" x14ac:dyDescent="0.35">
      <c r="A1704" s="23">
        <v>3.3242189999999998E-2</v>
      </c>
      <c r="B1704" s="23">
        <f t="shared" si="52"/>
        <v>4.8881460000000002E-2</v>
      </c>
      <c r="C1704" s="24"/>
      <c r="D1704" s="24">
        <f t="shared" si="53"/>
        <v>26.89105031446541</v>
      </c>
      <c r="E1704" s="21"/>
      <c r="G1704" s="23">
        <v>-8.5513539999999999E-2</v>
      </c>
      <c r="H1704" s="23">
        <v>4.8881460000000002E-2</v>
      </c>
    </row>
    <row r="1705" spans="1:8" x14ac:dyDescent="0.35">
      <c r="A1705" s="23">
        <v>3.3261720000000002E-2</v>
      </c>
      <c r="B1705" s="23">
        <f t="shared" si="52"/>
        <v>6.5137180000000003E-2</v>
      </c>
      <c r="C1705" s="24"/>
      <c r="D1705" s="24">
        <f t="shared" si="53"/>
        <v>33.155534591194964</v>
      </c>
      <c r="E1705" s="21"/>
      <c r="G1705" s="23">
        <v>-0.1054346</v>
      </c>
      <c r="H1705" s="23">
        <v>6.5137180000000003E-2</v>
      </c>
    </row>
    <row r="1706" spans="1:8" x14ac:dyDescent="0.35">
      <c r="A1706" s="23">
        <v>3.3281249999999998E-2</v>
      </c>
      <c r="B1706" s="23">
        <f t="shared" si="52"/>
        <v>8.0610879999999996E-2</v>
      </c>
      <c r="C1706" s="24"/>
      <c r="D1706" s="24">
        <f t="shared" si="53"/>
        <v>39.040314465408805</v>
      </c>
      <c r="E1706" s="21"/>
      <c r="G1706" s="23">
        <v>-0.1241482</v>
      </c>
      <c r="H1706" s="23">
        <v>8.0610879999999996E-2</v>
      </c>
    </row>
    <row r="1707" spans="1:8" x14ac:dyDescent="0.35">
      <c r="A1707" s="23">
        <v>3.3300780000000002E-2</v>
      </c>
      <c r="B1707" s="23">
        <f t="shared" si="52"/>
        <v>9.6178970000000003E-2</v>
      </c>
      <c r="C1707" s="24"/>
      <c r="D1707" s="24">
        <f t="shared" si="53"/>
        <v>45.035691823899363</v>
      </c>
      <c r="E1707" s="21"/>
      <c r="G1707" s="23">
        <v>-0.14321349999999999</v>
      </c>
      <c r="H1707" s="23">
        <v>9.6178970000000003E-2</v>
      </c>
    </row>
    <row r="1708" spans="1:8" x14ac:dyDescent="0.35">
      <c r="A1708" s="23">
        <v>3.3320309999999999E-2</v>
      </c>
      <c r="B1708" s="23">
        <f t="shared" si="52"/>
        <v>0.11099390000000001</v>
      </c>
      <c r="C1708" s="24"/>
      <c r="D1708" s="24">
        <f t="shared" si="53"/>
        <v>50.647232704402512</v>
      </c>
      <c r="E1708" s="21"/>
      <c r="G1708" s="23">
        <v>-0.16105820000000001</v>
      </c>
      <c r="H1708" s="23">
        <v>0.11099390000000001</v>
      </c>
    </row>
    <row r="1709" spans="1:8" x14ac:dyDescent="0.35">
      <c r="A1709" s="23">
        <v>3.3339840000000003E-2</v>
      </c>
      <c r="B1709" s="23">
        <f t="shared" si="52"/>
        <v>0.12463539999999999</v>
      </c>
      <c r="C1709" s="24"/>
      <c r="D1709" s="24">
        <f t="shared" si="53"/>
        <v>55.876477987421374</v>
      </c>
      <c r="E1709" s="21"/>
      <c r="G1709" s="23">
        <v>-0.17768719999999999</v>
      </c>
      <c r="H1709" s="23">
        <v>0.12463539999999999</v>
      </c>
    </row>
    <row r="1710" spans="1:8" x14ac:dyDescent="0.35">
      <c r="A1710" s="23">
        <v>3.3359380000000001E-2</v>
      </c>
      <c r="B1710" s="23">
        <f t="shared" si="52"/>
        <v>0.1385429</v>
      </c>
      <c r="C1710" s="24"/>
      <c r="D1710" s="24">
        <f t="shared" si="53"/>
        <v>61.193301886792455</v>
      </c>
      <c r="E1710" s="21"/>
      <c r="G1710" s="23">
        <v>-0.19459470000000001</v>
      </c>
      <c r="H1710" s="23">
        <v>0.1385429</v>
      </c>
    </row>
    <row r="1711" spans="1:8" x14ac:dyDescent="0.35">
      <c r="A1711" s="23">
        <v>3.3378909999999998E-2</v>
      </c>
      <c r="B1711" s="23">
        <f t="shared" si="52"/>
        <v>0.1516979</v>
      </c>
      <c r="C1711" s="24"/>
      <c r="D1711" s="24">
        <f t="shared" si="53"/>
        <v>66.177578616352207</v>
      </c>
      <c r="E1711" s="21"/>
      <c r="G1711" s="23">
        <v>-0.21044470000000001</v>
      </c>
      <c r="H1711" s="23">
        <v>0.1516979</v>
      </c>
    </row>
    <row r="1712" spans="1:8" x14ac:dyDescent="0.35">
      <c r="A1712" s="23">
        <v>3.3398440000000001E-2</v>
      </c>
      <c r="B1712" s="23">
        <f t="shared" si="52"/>
        <v>0.1640228</v>
      </c>
      <c r="C1712" s="24"/>
      <c r="D1712" s="24">
        <f t="shared" si="53"/>
        <v>70.868773584905654</v>
      </c>
      <c r="E1712" s="21"/>
      <c r="G1712" s="23">
        <v>-0.2253627</v>
      </c>
      <c r="H1712" s="23">
        <v>0.1640228</v>
      </c>
    </row>
    <row r="1713" spans="1:8" x14ac:dyDescent="0.35">
      <c r="A1713" s="23">
        <v>3.3417969999999998E-2</v>
      </c>
      <c r="B1713" s="23">
        <f t="shared" si="52"/>
        <v>0.17607519999999999</v>
      </c>
      <c r="C1713" s="24"/>
      <c r="D1713" s="24">
        <f t="shared" si="53"/>
        <v>75.488773584905658</v>
      </c>
      <c r="E1713" s="21"/>
      <c r="G1713" s="23">
        <v>-0.2400543</v>
      </c>
      <c r="H1713" s="23">
        <v>0.17607519999999999</v>
      </c>
    </row>
    <row r="1714" spans="1:8" x14ac:dyDescent="0.35">
      <c r="A1714" s="23">
        <v>3.3437500000000002E-2</v>
      </c>
      <c r="B1714" s="23">
        <f t="shared" si="52"/>
        <v>0.18673770000000001</v>
      </c>
      <c r="C1714" s="24"/>
      <c r="D1714" s="24">
        <f t="shared" si="53"/>
        <v>79.438773584905647</v>
      </c>
      <c r="E1714" s="21"/>
      <c r="G1714" s="23">
        <v>-0.25261529999999999</v>
      </c>
      <c r="H1714" s="23">
        <v>0.18673770000000001</v>
      </c>
    </row>
    <row r="1715" spans="1:8" x14ac:dyDescent="0.35">
      <c r="A1715" s="23">
        <v>3.3457029999999999E-2</v>
      </c>
      <c r="B1715" s="23">
        <f t="shared" si="52"/>
        <v>0.19626189999999999</v>
      </c>
      <c r="C1715" s="24"/>
      <c r="D1715" s="24">
        <f t="shared" si="53"/>
        <v>82.946132075471695</v>
      </c>
      <c r="E1715" s="21"/>
      <c r="G1715" s="23">
        <v>-0.26376870000000002</v>
      </c>
      <c r="H1715" s="23">
        <v>0.19626189999999999</v>
      </c>
    </row>
    <row r="1716" spans="1:8" x14ac:dyDescent="0.35">
      <c r="A1716" s="23">
        <v>3.3476560000000002E-2</v>
      </c>
      <c r="B1716" s="23">
        <f t="shared" si="52"/>
        <v>0.20535600000000001</v>
      </c>
      <c r="C1716" s="24"/>
      <c r="D1716" s="24">
        <f t="shared" si="53"/>
        <v>86.439748427672953</v>
      </c>
      <c r="E1716" s="21"/>
      <c r="G1716" s="23">
        <v>-0.27487840000000002</v>
      </c>
      <c r="H1716" s="23">
        <v>0.20535600000000001</v>
      </c>
    </row>
    <row r="1717" spans="1:8" x14ac:dyDescent="0.35">
      <c r="A1717" s="23">
        <v>3.3496089999999999E-2</v>
      </c>
      <c r="B1717" s="23">
        <f t="shared" si="52"/>
        <v>0.2140997</v>
      </c>
      <c r="C1717" s="24"/>
      <c r="D1717" s="24">
        <f t="shared" si="53"/>
        <v>89.644245283018876</v>
      </c>
      <c r="E1717" s="21"/>
      <c r="G1717" s="23">
        <v>-0.28506870000000001</v>
      </c>
      <c r="H1717" s="23">
        <v>0.2140997</v>
      </c>
    </row>
    <row r="1718" spans="1:8" x14ac:dyDescent="0.35">
      <c r="A1718" s="23">
        <v>3.3515629999999998E-2</v>
      </c>
      <c r="B1718" s="23">
        <f t="shared" si="52"/>
        <v>0.2220241</v>
      </c>
      <c r="C1718" s="24"/>
      <c r="D1718" s="24">
        <f t="shared" si="53"/>
        <v>92.571761006289307</v>
      </c>
      <c r="E1718" s="21"/>
      <c r="G1718" s="23">
        <v>-0.29437819999999998</v>
      </c>
      <c r="H1718" s="23">
        <v>0.2220241</v>
      </c>
    </row>
    <row r="1719" spans="1:8" x14ac:dyDescent="0.35">
      <c r="A1719" s="23">
        <v>3.3535160000000001E-2</v>
      </c>
      <c r="B1719" s="23">
        <f t="shared" si="52"/>
        <v>0.2285286</v>
      </c>
      <c r="C1719" s="24"/>
      <c r="D1719" s="24">
        <f t="shared" si="53"/>
        <v>94.974716981132076</v>
      </c>
      <c r="E1719" s="21"/>
      <c r="G1719" s="23">
        <v>-0.3020196</v>
      </c>
      <c r="H1719" s="23">
        <v>0.2285286</v>
      </c>
    </row>
    <row r="1720" spans="1:8" x14ac:dyDescent="0.35">
      <c r="A1720" s="23">
        <v>3.3554689999999998E-2</v>
      </c>
      <c r="B1720" s="23">
        <f t="shared" si="52"/>
        <v>0.2340161</v>
      </c>
      <c r="C1720" s="24"/>
      <c r="D1720" s="24">
        <f t="shared" si="53"/>
        <v>96.853490566037735</v>
      </c>
      <c r="E1720" s="21"/>
      <c r="G1720" s="23">
        <v>-0.30799409999999999</v>
      </c>
      <c r="H1720" s="23">
        <v>0.2340161</v>
      </c>
    </row>
    <row r="1721" spans="1:8" x14ac:dyDescent="0.35">
      <c r="A1721" s="23">
        <v>3.3574220000000002E-2</v>
      </c>
      <c r="B1721" s="23">
        <f t="shared" si="52"/>
        <v>0.238701</v>
      </c>
      <c r="C1721" s="24"/>
      <c r="D1721" s="24">
        <f t="shared" si="53"/>
        <v>98.531037735849054</v>
      </c>
      <c r="E1721" s="21"/>
      <c r="G1721" s="23">
        <v>-0.31332870000000002</v>
      </c>
      <c r="H1721" s="23">
        <v>0.238701</v>
      </c>
    </row>
    <row r="1722" spans="1:8" x14ac:dyDescent="0.35">
      <c r="A1722" s="23">
        <v>3.3593749999999999E-2</v>
      </c>
      <c r="B1722" s="23">
        <f t="shared" si="52"/>
        <v>0.2424548</v>
      </c>
      <c r="C1722" s="24"/>
      <c r="D1722" s="24">
        <f t="shared" si="53"/>
        <v>99.813836477987422</v>
      </c>
      <c r="E1722" s="21"/>
      <c r="G1722" s="23">
        <v>-0.31740800000000002</v>
      </c>
      <c r="H1722" s="23">
        <v>0.2424548</v>
      </c>
    </row>
    <row r="1723" spans="1:8" x14ac:dyDescent="0.35">
      <c r="A1723" s="23">
        <v>3.3613280000000002E-2</v>
      </c>
      <c r="B1723" s="23">
        <f t="shared" si="52"/>
        <v>0.24605540000000001</v>
      </c>
      <c r="C1723" s="24"/>
      <c r="D1723" s="24">
        <f t="shared" si="53"/>
        <v>100.99547169811319</v>
      </c>
      <c r="E1723" s="21"/>
      <c r="G1723" s="23">
        <v>-0.3211656</v>
      </c>
      <c r="H1723" s="23">
        <v>0.24605540000000001</v>
      </c>
    </row>
    <row r="1724" spans="1:8" x14ac:dyDescent="0.35">
      <c r="A1724" s="23">
        <v>3.3632809999999999E-2</v>
      </c>
      <c r="B1724" s="23">
        <f t="shared" si="52"/>
        <v>0.2493871</v>
      </c>
      <c r="C1724" s="24"/>
      <c r="D1724" s="24">
        <f t="shared" si="53"/>
        <v>101.94</v>
      </c>
      <c r="E1724" s="21"/>
      <c r="G1724" s="23">
        <v>-0.32416919999999999</v>
      </c>
      <c r="H1724" s="23">
        <v>0.2493871</v>
      </c>
    </row>
    <row r="1725" spans="1:8" x14ac:dyDescent="0.35">
      <c r="A1725" s="23">
        <v>3.3652340000000003E-2</v>
      </c>
      <c r="B1725" s="23">
        <f t="shared" si="52"/>
        <v>0.25086819999999999</v>
      </c>
      <c r="C1725" s="24"/>
      <c r="D1725" s="24">
        <f t="shared" si="53"/>
        <v>102.13103773584903</v>
      </c>
      <c r="E1725" s="21"/>
      <c r="G1725" s="23">
        <v>-0.32477669999999997</v>
      </c>
      <c r="H1725" s="23">
        <v>0.25086819999999999</v>
      </c>
    </row>
    <row r="1726" spans="1:8" x14ac:dyDescent="0.35">
      <c r="A1726" s="23">
        <v>3.3671880000000001E-2</v>
      </c>
      <c r="B1726" s="23">
        <f t="shared" si="52"/>
        <v>0.25117859999999997</v>
      </c>
      <c r="C1726" s="24"/>
      <c r="D1726" s="24">
        <f t="shared" si="53"/>
        <v>102.01330188679243</v>
      </c>
      <c r="E1726" s="21"/>
      <c r="G1726" s="23">
        <v>-0.32440229999999998</v>
      </c>
      <c r="H1726" s="23">
        <v>0.25117859999999997</v>
      </c>
    </row>
    <row r="1727" spans="1:8" x14ac:dyDescent="0.35">
      <c r="A1727" s="23">
        <v>3.3691409999999998E-2</v>
      </c>
      <c r="B1727" s="23">
        <f t="shared" si="52"/>
        <v>0.2511333</v>
      </c>
      <c r="C1727" s="24"/>
      <c r="D1727" s="24">
        <f t="shared" si="53"/>
        <v>101.43927672955975</v>
      </c>
      <c r="E1727" s="21"/>
      <c r="G1727" s="23">
        <v>-0.3225769</v>
      </c>
      <c r="H1727" s="23">
        <v>0.2511333</v>
      </c>
    </row>
    <row r="1728" spans="1:8" x14ac:dyDescent="0.35">
      <c r="A1728" s="23">
        <v>3.3710940000000002E-2</v>
      </c>
      <c r="B1728" s="23">
        <f t="shared" si="52"/>
        <v>0.2500753</v>
      </c>
      <c r="C1728" s="24"/>
      <c r="D1728" s="24">
        <f t="shared" si="53"/>
        <v>100.44861635220126</v>
      </c>
      <c r="E1728" s="21"/>
      <c r="G1728" s="23">
        <v>-0.3194266</v>
      </c>
      <c r="H1728" s="23">
        <v>0.2500753</v>
      </c>
    </row>
    <row r="1729" spans="1:8" x14ac:dyDescent="0.35">
      <c r="A1729" s="23">
        <v>3.3730469999999999E-2</v>
      </c>
      <c r="B1729" s="23">
        <f t="shared" si="52"/>
        <v>0.24922839999999999</v>
      </c>
      <c r="C1729" s="24"/>
      <c r="D1729" s="24">
        <f t="shared" si="53"/>
        <v>99.606666666666669</v>
      </c>
      <c r="E1729" s="21"/>
      <c r="G1729" s="23">
        <v>-0.31674920000000001</v>
      </c>
      <c r="H1729" s="23">
        <v>0.24922839999999999</v>
      </c>
    </row>
    <row r="1730" spans="1:8" x14ac:dyDescent="0.35">
      <c r="A1730" s="23">
        <v>3.3750000000000002E-2</v>
      </c>
      <c r="B1730" s="23">
        <f t="shared" ref="B1730:B1793" si="54">H1730</f>
        <v>0.2475859</v>
      </c>
      <c r="C1730" s="24"/>
      <c r="D1730" s="24">
        <f t="shared" ref="D1730:D1793" si="55">G1730*-1000/3.18</f>
        <v>98.260125786163513</v>
      </c>
      <c r="E1730" s="21"/>
      <c r="G1730" s="23">
        <v>-0.3124672</v>
      </c>
      <c r="H1730" s="23">
        <v>0.2475859</v>
      </c>
    </row>
    <row r="1731" spans="1:8" x14ac:dyDescent="0.35">
      <c r="A1731" s="23">
        <v>3.3769529999999999E-2</v>
      </c>
      <c r="B1731" s="23">
        <f t="shared" si="54"/>
        <v>0.2443922</v>
      </c>
      <c r="C1731" s="24"/>
      <c r="D1731" s="24">
        <f t="shared" si="55"/>
        <v>96.374874213836478</v>
      </c>
      <c r="E1731" s="21"/>
      <c r="G1731" s="23">
        <v>-0.30647210000000003</v>
      </c>
      <c r="H1731" s="23">
        <v>0.2443922</v>
      </c>
    </row>
    <row r="1732" spans="1:8" x14ac:dyDescent="0.35">
      <c r="A1732" s="23">
        <v>3.3789060000000003E-2</v>
      </c>
      <c r="B1732" s="23">
        <f t="shared" si="54"/>
        <v>0.24090890000000001</v>
      </c>
      <c r="C1732" s="24"/>
      <c r="D1732" s="24">
        <f t="shared" si="55"/>
        <v>94.335943396226398</v>
      </c>
      <c r="E1732" s="21"/>
      <c r="G1732" s="23">
        <v>-0.29998829999999999</v>
      </c>
      <c r="H1732" s="23">
        <v>0.24090890000000001</v>
      </c>
    </row>
    <row r="1733" spans="1:8" x14ac:dyDescent="0.35">
      <c r="A1733" s="23">
        <v>3.3808589999999999E-2</v>
      </c>
      <c r="B1733" s="23">
        <f t="shared" si="54"/>
        <v>0.2358691</v>
      </c>
      <c r="C1733" s="24"/>
      <c r="D1733" s="24">
        <f t="shared" si="55"/>
        <v>91.585377358490547</v>
      </c>
      <c r="E1733" s="21"/>
      <c r="G1733" s="23">
        <v>-0.29124149999999999</v>
      </c>
      <c r="H1733" s="23">
        <v>0.2358691</v>
      </c>
    </row>
    <row r="1734" spans="1:8" x14ac:dyDescent="0.35">
      <c r="A1734" s="23">
        <v>3.3828129999999998E-2</v>
      </c>
      <c r="B1734" s="23">
        <f t="shared" si="54"/>
        <v>0.2299756</v>
      </c>
      <c r="C1734" s="24"/>
      <c r="D1734" s="24">
        <f t="shared" si="55"/>
        <v>88.461037735849061</v>
      </c>
      <c r="E1734" s="21"/>
      <c r="G1734" s="23">
        <v>-0.2813061</v>
      </c>
      <c r="H1734" s="23">
        <v>0.2299756</v>
      </c>
    </row>
    <row r="1735" spans="1:8" x14ac:dyDescent="0.35">
      <c r="A1735" s="23">
        <v>3.3847660000000002E-2</v>
      </c>
      <c r="B1735" s="23">
        <f t="shared" si="54"/>
        <v>0.22434660000000001</v>
      </c>
      <c r="C1735" s="24"/>
      <c r="D1735" s="24">
        <f t="shared" si="55"/>
        <v>85.393899371069168</v>
      </c>
      <c r="E1735" s="21"/>
      <c r="G1735" s="23">
        <v>-0.27155259999999998</v>
      </c>
      <c r="H1735" s="23">
        <v>0.22434660000000001</v>
      </c>
    </row>
    <row r="1736" spans="1:8" x14ac:dyDescent="0.35">
      <c r="A1736" s="23">
        <v>3.3867189999999998E-2</v>
      </c>
      <c r="B1736" s="23">
        <f t="shared" si="54"/>
        <v>0.21794440000000001</v>
      </c>
      <c r="C1736" s="24"/>
      <c r="D1736" s="24">
        <f t="shared" si="55"/>
        <v>82.122264150943394</v>
      </c>
      <c r="E1736" s="21"/>
      <c r="G1736" s="23">
        <v>-0.26114880000000001</v>
      </c>
      <c r="H1736" s="23">
        <v>0.21794440000000001</v>
      </c>
    </row>
    <row r="1737" spans="1:8" x14ac:dyDescent="0.35">
      <c r="A1737" s="23">
        <v>3.3886720000000002E-2</v>
      </c>
      <c r="B1737" s="23">
        <f t="shared" si="54"/>
        <v>0.210505</v>
      </c>
      <c r="C1737" s="24"/>
      <c r="D1737" s="24">
        <f t="shared" si="55"/>
        <v>78.555440251572335</v>
      </c>
      <c r="E1737" s="21"/>
      <c r="G1737" s="23">
        <v>-0.24980630000000001</v>
      </c>
      <c r="H1737" s="23">
        <v>0.210505</v>
      </c>
    </row>
    <row r="1738" spans="1:8" x14ac:dyDescent="0.35">
      <c r="A1738" s="23">
        <v>3.3906249999999999E-2</v>
      </c>
      <c r="B1738" s="23">
        <f t="shared" si="54"/>
        <v>0.20224690000000001</v>
      </c>
      <c r="C1738" s="24"/>
      <c r="D1738" s="24">
        <f t="shared" si="55"/>
        <v>74.396540880503153</v>
      </c>
      <c r="E1738" s="21"/>
      <c r="G1738" s="23">
        <v>-0.23658100000000001</v>
      </c>
      <c r="H1738" s="23">
        <v>0.20224690000000001</v>
      </c>
    </row>
    <row r="1739" spans="1:8" x14ac:dyDescent="0.35">
      <c r="A1739" s="23">
        <v>3.3925780000000003E-2</v>
      </c>
      <c r="B1739" s="23">
        <f t="shared" si="54"/>
        <v>0.19252169999999999</v>
      </c>
      <c r="C1739" s="24"/>
      <c r="D1739" s="24">
        <f t="shared" si="55"/>
        <v>69.793930817610061</v>
      </c>
      <c r="E1739" s="21"/>
      <c r="G1739" s="23">
        <v>-0.22194469999999999</v>
      </c>
      <c r="H1739" s="23">
        <v>0.19252169999999999</v>
      </c>
    </row>
    <row r="1740" spans="1:8" x14ac:dyDescent="0.35">
      <c r="A1740" s="23">
        <v>3.3945309999999999E-2</v>
      </c>
      <c r="B1740" s="23">
        <f t="shared" si="54"/>
        <v>0.1822928</v>
      </c>
      <c r="C1740" s="24"/>
      <c r="D1740" s="24">
        <f t="shared" si="55"/>
        <v>65.022735849056602</v>
      </c>
      <c r="E1740" s="21"/>
      <c r="G1740" s="23">
        <v>-0.20677229999999999</v>
      </c>
      <c r="H1740" s="23">
        <v>0.1822928</v>
      </c>
    </row>
    <row r="1741" spans="1:8" x14ac:dyDescent="0.35">
      <c r="A1741" s="23">
        <v>3.3964840000000003E-2</v>
      </c>
      <c r="B1741" s="23">
        <f t="shared" si="54"/>
        <v>0.17255309999999999</v>
      </c>
      <c r="C1741" s="24"/>
      <c r="D1741" s="24">
        <f t="shared" si="55"/>
        <v>60.040691823899365</v>
      </c>
      <c r="E1741" s="21"/>
      <c r="G1741" s="23">
        <v>-0.1909294</v>
      </c>
      <c r="H1741" s="23">
        <v>0.17255309999999999</v>
      </c>
    </row>
    <row r="1742" spans="1:8" x14ac:dyDescent="0.35">
      <c r="A1742" s="23">
        <v>3.3984380000000002E-2</v>
      </c>
      <c r="B1742" s="23">
        <f t="shared" si="54"/>
        <v>0.16184950000000001</v>
      </c>
      <c r="C1742" s="24"/>
      <c r="D1742" s="24">
        <f t="shared" si="55"/>
        <v>55.193364779874216</v>
      </c>
      <c r="E1742" s="21"/>
      <c r="G1742" s="23">
        <v>-0.1755149</v>
      </c>
      <c r="H1742" s="23">
        <v>0.16184950000000001</v>
      </c>
    </row>
    <row r="1743" spans="1:8" x14ac:dyDescent="0.35">
      <c r="A1743" s="23">
        <v>3.4003909999999998E-2</v>
      </c>
      <c r="B1743" s="23">
        <f t="shared" si="54"/>
        <v>0.15053610000000001</v>
      </c>
      <c r="C1743" s="24"/>
      <c r="D1743" s="24">
        <f t="shared" si="55"/>
        <v>50.312767295597482</v>
      </c>
      <c r="E1743" s="21"/>
      <c r="G1743" s="23">
        <v>-0.15999459999999999</v>
      </c>
      <c r="H1743" s="23">
        <v>0.15053610000000001</v>
      </c>
    </row>
    <row r="1744" spans="1:8" x14ac:dyDescent="0.35">
      <c r="A1744" s="23">
        <v>3.4023440000000002E-2</v>
      </c>
      <c r="B1744" s="23">
        <f t="shared" si="54"/>
        <v>0.13835220000000001</v>
      </c>
      <c r="C1744" s="24"/>
      <c r="D1744" s="24">
        <f t="shared" si="55"/>
        <v>44.793207547169807</v>
      </c>
      <c r="E1744" s="21"/>
      <c r="G1744" s="23">
        <v>-0.1424424</v>
      </c>
      <c r="H1744" s="23">
        <v>0.13835220000000001</v>
      </c>
    </row>
    <row r="1745" spans="1:8" x14ac:dyDescent="0.35">
      <c r="A1745" s="23">
        <v>3.4042969999999999E-2</v>
      </c>
      <c r="B1745" s="23">
        <f t="shared" si="54"/>
        <v>0.12601490000000001</v>
      </c>
      <c r="C1745" s="24"/>
      <c r="D1745" s="24">
        <f t="shared" si="55"/>
        <v>38.792547169811321</v>
      </c>
      <c r="E1745" s="21"/>
      <c r="G1745" s="23">
        <v>-0.12336030000000001</v>
      </c>
      <c r="H1745" s="23">
        <v>0.12601490000000001</v>
      </c>
    </row>
    <row r="1746" spans="1:8" x14ac:dyDescent="0.35">
      <c r="A1746" s="23">
        <v>3.4062500000000002E-2</v>
      </c>
      <c r="B1746" s="23">
        <f t="shared" si="54"/>
        <v>0.1134011</v>
      </c>
      <c r="C1746" s="24"/>
      <c r="D1746" s="24">
        <f t="shared" si="55"/>
        <v>32.793522012578613</v>
      </c>
      <c r="E1746" s="21"/>
      <c r="G1746" s="23">
        <v>-0.1042834</v>
      </c>
      <c r="H1746" s="23">
        <v>0.1134011</v>
      </c>
    </row>
    <row r="1747" spans="1:8" x14ac:dyDescent="0.35">
      <c r="A1747" s="23">
        <v>3.4082029999999999E-2</v>
      </c>
      <c r="B1747" s="23">
        <f t="shared" si="54"/>
        <v>9.886346E-2</v>
      </c>
      <c r="C1747" s="24"/>
      <c r="D1747" s="24">
        <f t="shared" si="55"/>
        <v>26.925091194968555</v>
      </c>
      <c r="E1747" s="21"/>
      <c r="G1747" s="23">
        <v>-8.5621790000000003E-2</v>
      </c>
      <c r="H1747" s="23">
        <v>9.886346E-2</v>
      </c>
    </row>
    <row r="1748" spans="1:8" x14ac:dyDescent="0.35">
      <c r="A1748" s="23">
        <v>3.4101560000000003E-2</v>
      </c>
      <c r="B1748" s="23">
        <f t="shared" si="54"/>
        <v>8.6553500000000005E-2</v>
      </c>
      <c r="C1748" s="24"/>
      <c r="D1748" s="24">
        <f t="shared" si="55"/>
        <v>21.176132075471699</v>
      </c>
      <c r="E1748" s="21"/>
      <c r="G1748" s="23">
        <v>-6.73401E-2</v>
      </c>
      <c r="H1748" s="23">
        <v>8.6553500000000005E-2</v>
      </c>
    </row>
    <row r="1749" spans="1:8" x14ac:dyDescent="0.35">
      <c r="A1749" s="23">
        <v>3.412109E-2</v>
      </c>
      <c r="B1749" s="23">
        <f t="shared" si="54"/>
        <v>7.4891830000000006E-2</v>
      </c>
      <c r="C1749" s="24"/>
      <c r="D1749" s="24">
        <f t="shared" si="55"/>
        <v>15.39002830188679</v>
      </c>
      <c r="E1749" s="21"/>
      <c r="G1749" s="23">
        <v>-4.8940289999999997E-2</v>
      </c>
      <c r="H1749" s="23">
        <v>7.4891830000000006E-2</v>
      </c>
    </row>
    <row r="1750" spans="1:8" x14ac:dyDescent="0.35">
      <c r="A1750" s="23">
        <v>3.4140629999999998E-2</v>
      </c>
      <c r="B1750" s="23">
        <f t="shared" si="54"/>
        <v>6.1071220000000002E-2</v>
      </c>
      <c r="C1750" s="24"/>
      <c r="D1750" s="24">
        <f t="shared" si="55"/>
        <v>9.2007201257861624</v>
      </c>
      <c r="E1750" s="21"/>
      <c r="G1750" s="23">
        <v>-2.9258289999999999E-2</v>
      </c>
      <c r="H1750" s="23">
        <v>6.1071220000000002E-2</v>
      </c>
    </row>
    <row r="1751" spans="1:8" x14ac:dyDescent="0.35">
      <c r="A1751" s="23">
        <v>3.4160160000000002E-2</v>
      </c>
      <c r="B1751" s="23">
        <f t="shared" si="54"/>
        <v>4.7484569999999997E-2</v>
      </c>
      <c r="C1751" s="24"/>
      <c r="D1751" s="24">
        <f t="shared" si="55"/>
        <v>2.7105298742138362</v>
      </c>
      <c r="E1751" s="21"/>
      <c r="G1751" s="23">
        <v>-8.6194849999999996E-3</v>
      </c>
      <c r="H1751" s="23">
        <v>4.7484569999999997E-2</v>
      </c>
    </row>
    <row r="1752" spans="1:8" x14ac:dyDescent="0.35">
      <c r="A1752" s="23">
        <v>3.4179689999999999E-2</v>
      </c>
      <c r="B1752" s="23">
        <f t="shared" si="54"/>
        <v>3.2488990000000002E-2</v>
      </c>
      <c r="C1752" s="24"/>
      <c r="D1752" s="24">
        <f t="shared" si="55"/>
        <v>-3.6011792452830189</v>
      </c>
      <c r="E1752" s="21"/>
      <c r="G1752" s="23">
        <v>1.145175E-2</v>
      </c>
      <c r="H1752" s="23">
        <v>3.2488990000000002E-2</v>
      </c>
    </row>
    <row r="1753" spans="1:8" x14ac:dyDescent="0.35">
      <c r="A1753" s="23">
        <v>3.4199220000000002E-2</v>
      </c>
      <c r="B1753" s="23">
        <f t="shared" si="54"/>
        <v>1.7359840000000001E-2</v>
      </c>
      <c r="C1753" s="24"/>
      <c r="D1753" s="24">
        <f t="shared" si="55"/>
        <v>-9.7461635220125782</v>
      </c>
      <c r="E1753" s="21"/>
      <c r="G1753" s="23">
        <v>3.0992800000000001E-2</v>
      </c>
      <c r="H1753" s="23">
        <v>1.7359840000000001E-2</v>
      </c>
    </row>
    <row r="1754" spans="1:8" x14ac:dyDescent="0.35">
      <c r="A1754" s="23">
        <v>3.4218749999999999E-2</v>
      </c>
      <c r="B1754" s="23">
        <f t="shared" si="54"/>
        <v>1.522621E-3</v>
      </c>
      <c r="C1754" s="24"/>
      <c r="D1754" s="24">
        <f t="shared" si="55"/>
        <v>-16.10117610062893</v>
      </c>
      <c r="E1754" s="21"/>
      <c r="G1754" s="23">
        <v>5.1201740000000003E-2</v>
      </c>
      <c r="H1754" s="23">
        <v>1.522621E-3</v>
      </c>
    </row>
    <row r="1755" spans="1:8" x14ac:dyDescent="0.35">
      <c r="A1755" s="23">
        <v>3.4238280000000003E-2</v>
      </c>
      <c r="B1755" s="23">
        <f t="shared" si="54"/>
        <v>-1.781367E-2</v>
      </c>
      <c r="C1755" s="24"/>
      <c r="D1755" s="24">
        <f t="shared" si="55"/>
        <v>-22.414220125786162</v>
      </c>
      <c r="E1755" s="21"/>
      <c r="G1755" s="23">
        <v>7.1277220000000002E-2</v>
      </c>
      <c r="H1755" s="23">
        <v>-1.781367E-2</v>
      </c>
    </row>
    <row r="1756" spans="1:8" x14ac:dyDescent="0.35">
      <c r="A1756" s="23">
        <v>3.425781E-2</v>
      </c>
      <c r="B1756" s="23">
        <f t="shared" si="54"/>
        <v>-3.6925039999999999E-2</v>
      </c>
      <c r="C1756" s="24"/>
      <c r="D1756" s="24">
        <f t="shared" si="55"/>
        <v>-28.06696855345912</v>
      </c>
      <c r="E1756" s="21"/>
      <c r="G1756" s="23">
        <v>8.9252960000000006E-2</v>
      </c>
      <c r="H1756" s="23">
        <v>-3.6925039999999999E-2</v>
      </c>
    </row>
    <row r="1757" spans="1:8" x14ac:dyDescent="0.35">
      <c r="A1757" s="23">
        <v>3.4277340000000003E-2</v>
      </c>
      <c r="B1757" s="23">
        <f t="shared" si="54"/>
        <v>-5.4548079999999999E-2</v>
      </c>
      <c r="C1757" s="24"/>
      <c r="D1757" s="24">
        <f t="shared" si="55"/>
        <v>-33.741383647798742</v>
      </c>
      <c r="E1757" s="21"/>
      <c r="G1757" s="23">
        <v>0.10729760000000001</v>
      </c>
      <c r="H1757" s="23">
        <v>-5.4548079999999999E-2</v>
      </c>
    </row>
    <row r="1758" spans="1:8" x14ac:dyDescent="0.35">
      <c r="A1758" s="23">
        <v>3.429687E-2</v>
      </c>
      <c r="B1758" s="23">
        <f t="shared" si="54"/>
        <v>-7.3711219999999994E-2</v>
      </c>
      <c r="C1758" s="24"/>
      <c r="D1758" s="24">
        <f t="shared" si="55"/>
        <v>-39.842798742138363</v>
      </c>
      <c r="E1758" s="21"/>
      <c r="G1758" s="23">
        <v>0.12670010000000001</v>
      </c>
      <c r="H1758" s="23">
        <v>-7.3711219999999994E-2</v>
      </c>
    </row>
    <row r="1759" spans="1:8" x14ac:dyDescent="0.35">
      <c r="A1759" s="23">
        <v>3.4316409999999999E-2</v>
      </c>
      <c r="B1759" s="23">
        <f t="shared" si="54"/>
        <v>-9.4407190000000002E-2</v>
      </c>
      <c r="C1759" s="24"/>
      <c r="D1759" s="24">
        <f t="shared" si="55"/>
        <v>-45.504779874213838</v>
      </c>
      <c r="E1759" s="21"/>
      <c r="G1759" s="23">
        <v>0.14470520000000001</v>
      </c>
      <c r="H1759" s="23">
        <v>-9.4407190000000002E-2</v>
      </c>
    </row>
    <row r="1760" spans="1:8" x14ac:dyDescent="0.35">
      <c r="A1760" s="23">
        <v>3.4335940000000002E-2</v>
      </c>
      <c r="B1760" s="23">
        <f t="shared" si="54"/>
        <v>-0.11424280000000001</v>
      </c>
      <c r="C1760" s="24"/>
      <c r="D1760" s="24">
        <f t="shared" si="55"/>
        <v>-50.986792452830187</v>
      </c>
      <c r="E1760" s="21"/>
      <c r="G1760" s="23">
        <v>0.162138</v>
      </c>
      <c r="H1760" s="23">
        <v>-0.11424280000000001</v>
      </c>
    </row>
    <row r="1761" spans="1:8" x14ac:dyDescent="0.35">
      <c r="A1761" s="23">
        <v>3.4355469999999999E-2</v>
      </c>
      <c r="B1761" s="23">
        <f t="shared" si="54"/>
        <v>-0.1320894</v>
      </c>
      <c r="C1761" s="24"/>
      <c r="D1761" s="24">
        <f t="shared" si="55"/>
        <v>-56.515125786163516</v>
      </c>
      <c r="E1761" s="21"/>
      <c r="G1761" s="23">
        <v>0.17971809999999999</v>
      </c>
      <c r="H1761" s="23">
        <v>-0.1320894</v>
      </c>
    </row>
    <row r="1762" spans="1:8" x14ac:dyDescent="0.35">
      <c r="A1762" s="23">
        <v>3.4375000000000003E-2</v>
      </c>
      <c r="B1762" s="23">
        <f t="shared" si="54"/>
        <v>-0.14887500000000001</v>
      </c>
      <c r="C1762" s="24"/>
      <c r="D1762" s="24">
        <f t="shared" si="55"/>
        <v>-61.417358490566031</v>
      </c>
      <c r="E1762" s="21"/>
      <c r="G1762" s="23">
        <v>0.19530719999999999</v>
      </c>
      <c r="H1762" s="23">
        <v>-0.14887500000000001</v>
      </c>
    </row>
    <row r="1763" spans="1:8" x14ac:dyDescent="0.35">
      <c r="A1763" s="23">
        <v>3.439453E-2</v>
      </c>
      <c r="B1763" s="23">
        <f t="shared" si="54"/>
        <v>-0.1651763</v>
      </c>
      <c r="C1763" s="24"/>
      <c r="D1763" s="24">
        <f t="shared" si="55"/>
        <v>-66.234874213836477</v>
      </c>
      <c r="E1763" s="21"/>
      <c r="G1763" s="23">
        <v>0.21062690000000001</v>
      </c>
      <c r="H1763" s="23">
        <v>-0.1651763</v>
      </c>
    </row>
    <row r="1764" spans="1:8" x14ac:dyDescent="0.35">
      <c r="A1764" s="23">
        <v>3.4414060000000003E-2</v>
      </c>
      <c r="B1764" s="23">
        <f t="shared" si="54"/>
        <v>-0.17996100000000001</v>
      </c>
      <c r="C1764" s="24"/>
      <c r="D1764" s="24">
        <f t="shared" si="55"/>
        <v>-71.096415094339619</v>
      </c>
      <c r="E1764" s="21"/>
      <c r="G1764" s="23">
        <v>0.2260866</v>
      </c>
      <c r="H1764" s="23">
        <v>-0.17996100000000001</v>
      </c>
    </row>
    <row r="1765" spans="1:8" x14ac:dyDescent="0.35">
      <c r="A1765" s="23">
        <v>3.443359E-2</v>
      </c>
      <c r="B1765" s="23">
        <f t="shared" si="54"/>
        <v>-0.1935008</v>
      </c>
      <c r="C1765" s="24"/>
      <c r="D1765" s="24">
        <f t="shared" si="55"/>
        <v>-75.432547169811315</v>
      </c>
      <c r="E1765" s="21"/>
      <c r="G1765" s="23">
        <v>0.23987549999999999</v>
      </c>
      <c r="H1765" s="23">
        <v>-0.1935008</v>
      </c>
    </row>
    <row r="1766" spans="1:8" x14ac:dyDescent="0.35">
      <c r="A1766" s="23">
        <v>3.4453129999999998E-2</v>
      </c>
      <c r="B1766" s="23">
        <f t="shared" si="54"/>
        <v>-0.20584440000000001</v>
      </c>
      <c r="C1766" s="24"/>
      <c r="D1766" s="24">
        <f t="shared" si="55"/>
        <v>-79.603113207547182</v>
      </c>
      <c r="E1766" s="21"/>
      <c r="G1766" s="23">
        <v>0.25313790000000003</v>
      </c>
      <c r="H1766" s="23">
        <v>-0.20584440000000001</v>
      </c>
    </row>
    <row r="1767" spans="1:8" x14ac:dyDescent="0.35">
      <c r="A1767" s="23">
        <v>3.4472660000000002E-2</v>
      </c>
      <c r="B1767" s="23">
        <f t="shared" si="54"/>
        <v>-0.21565999999999999</v>
      </c>
      <c r="C1767" s="24"/>
      <c r="D1767" s="24">
        <f t="shared" si="55"/>
        <v>-83.241603773584899</v>
      </c>
      <c r="E1767" s="21"/>
      <c r="G1767" s="23">
        <v>0.26470830000000001</v>
      </c>
      <c r="H1767" s="23">
        <v>-0.21565999999999999</v>
      </c>
    </row>
    <row r="1768" spans="1:8" x14ac:dyDescent="0.35">
      <c r="A1768" s="23">
        <v>3.4492189999999999E-2</v>
      </c>
      <c r="B1768" s="23">
        <f t="shared" si="54"/>
        <v>-0.22505720000000001</v>
      </c>
      <c r="C1768" s="24"/>
      <c r="D1768" s="24">
        <f t="shared" si="55"/>
        <v>-86.674622641509444</v>
      </c>
      <c r="E1768" s="21"/>
      <c r="G1768" s="23">
        <v>0.27562530000000002</v>
      </c>
      <c r="H1768" s="23">
        <v>-0.22505720000000001</v>
      </c>
    </row>
    <row r="1769" spans="1:8" x14ac:dyDescent="0.35">
      <c r="A1769" s="23">
        <v>3.4511720000000003E-2</v>
      </c>
      <c r="B1769" s="23">
        <f t="shared" si="54"/>
        <v>-0.2350235</v>
      </c>
      <c r="C1769" s="24"/>
      <c r="D1769" s="24">
        <f t="shared" si="55"/>
        <v>-90.290534591194955</v>
      </c>
      <c r="E1769" s="21"/>
      <c r="G1769" s="23">
        <v>0.28712389999999999</v>
      </c>
      <c r="H1769" s="23">
        <v>-0.2350235</v>
      </c>
    </row>
    <row r="1770" spans="1:8" x14ac:dyDescent="0.35">
      <c r="A1770" s="23">
        <v>3.4531249999999999E-2</v>
      </c>
      <c r="B1770" s="23">
        <f t="shared" si="54"/>
        <v>-0.2426085</v>
      </c>
      <c r="C1770" s="24"/>
      <c r="D1770" s="24">
        <f t="shared" si="55"/>
        <v>-92.94713836477986</v>
      </c>
      <c r="E1770" s="21"/>
      <c r="G1770" s="23">
        <v>0.2955719</v>
      </c>
      <c r="H1770" s="23">
        <v>-0.2426085</v>
      </c>
    </row>
    <row r="1771" spans="1:8" x14ac:dyDescent="0.35">
      <c r="A1771" s="23">
        <v>3.4550780000000003E-2</v>
      </c>
      <c r="B1771" s="23">
        <f t="shared" si="54"/>
        <v>-0.24900369999999999</v>
      </c>
      <c r="C1771" s="24"/>
      <c r="D1771" s="24">
        <f t="shared" si="55"/>
        <v>-95.322452830188681</v>
      </c>
      <c r="E1771" s="21"/>
      <c r="G1771" s="23">
        <v>0.30312539999999999</v>
      </c>
      <c r="H1771" s="23">
        <v>-0.24900369999999999</v>
      </c>
    </row>
    <row r="1772" spans="1:8" x14ac:dyDescent="0.35">
      <c r="A1772" s="23">
        <v>3.457031E-2</v>
      </c>
      <c r="B1772" s="23">
        <f t="shared" si="54"/>
        <v>-0.25609929999999997</v>
      </c>
      <c r="C1772" s="24"/>
      <c r="D1772" s="24">
        <f t="shared" si="55"/>
        <v>-97.831918238993708</v>
      </c>
      <c r="E1772" s="21"/>
      <c r="G1772" s="23">
        <v>0.31110549999999998</v>
      </c>
      <c r="H1772" s="23">
        <v>-0.25609929999999997</v>
      </c>
    </row>
    <row r="1773" spans="1:8" x14ac:dyDescent="0.35">
      <c r="A1773" s="23">
        <v>3.4589839999999997E-2</v>
      </c>
      <c r="B1773" s="23">
        <f t="shared" si="54"/>
        <v>-0.26219910000000002</v>
      </c>
      <c r="C1773" s="24"/>
      <c r="D1773" s="24">
        <f t="shared" si="55"/>
        <v>-99.727861635220108</v>
      </c>
      <c r="E1773" s="21"/>
      <c r="G1773" s="23">
        <v>0.31713459999999999</v>
      </c>
      <c r="H1773" s="23">
        <v>-0.26219910000000002</v>
      </c>
    </row>
    <row r="1774" spans="1:8" x14ac:dyDescent="0.35">
      <c r="A1774" s="23">
        <v>3.460937E-2</v>
      </c>
      <c r="B1774" s="23">
        <f t="shared" si="54"/>
        <v>-0.266455</v>
      </c>
      <c r="C1774" s="24"/>
      <c r="D1774" s="24">
        <f t="shared" si="55"/>
        <v>-101.35040880503144</v>
      </c>
      <c r="E1774" s="21"/>
      <c r="G1774" s="23">
        <v>0.32229429999999998</v>
      </c>
      <c r="H1774" s="23">
        <v>-0.266455</v>
      </c>
    </row>
    <row r="1775" spans="1:8" x14ac:dyDescent="0.35">
      <c r="A1775" s="23">
        <v>3.4628909999999999E-2</v>
      </c>
      <c r="B1775" s="23">
        <f t="shared" si="54"/>
        <v>-0.26918069999999999</v>
      </c>
      <c r="C1775" s="24"/>
      <c r="D1775" s="24">
        <f t="shared" si="55"/>
        <v>-102.3608176100629</v>
      </c>
      <c r="E1775" s="21"/>
      <c r="G1775" s="23">
        <v>0.3255074</v>
      </c>
      <c r="H1775" s="23">
        <v>-0.26918069999999999</v>
      </c>
    </row>
    <row r="1776" spans="1:8" x14ac:dyDescent="0.35">
      <c r="A1776" s="23">
        <v>3.4648440000000003E-2</v>
      </c>
      <c r="B1776" s="23">
        <f t="shared" si="54"/>
        <v>-0.2710264</v>
      </c>
      <c r="C1776" s="24"/>
      <c r="D1776" s="24">
        <f t="shared" si="55"/>
        <v>-102.73179245283018</v>
      </c>
      <c r="E1776" s="21"/>
      <c r="G1776" s="23">
        <v>0.32668710000000001</v>
      </c>
      <c r="H1776" s="23">
        <v>-0.2710264</v>
      </c>
    </row>
    <row r="1777" spans="1:8" x14ac:dyDescent="0.35">
      <c r="A1777" s="23">
        <v>3.4667969999999999E-2</v>
      </c>
      <c r="B1777" s="23">
        <f t="shared" si="54"/>
        <v>-0.27203519999999998</v>
      </c>
      <c r="C1777" s="24"/>
      <c r="D1777" s="24">
        <f t="shared" si="55"/>
        <v>-103.03122641509435</v>
      </c>
      <c r="E1777" s="21"/>
      <c r="G1777" s="23">
        <v>0.32763930000000002</v>
      </c>
      <c r="H1777" s="23">
        <v>-0.27203519999999998</v>
      </c>
    </row>
    <row r="1778" spans="1:8" x14ac:dyDescent="0.35">
      <c r="A1778" s="23">
        <v>3.4687500000000003E-2</v>
      </c>
      <c r="B1778" s="23">
        <f t="shared" si="54"/>
        <v>-0.27218179999999997</v>
      </c>
      <c r="C1778" s="24"/>
      <c r="D1778" s="24">
        <f t="shared" si="55"/>
        <v>-102.95317610062892</v>
      </c>
      <c r="E1778" s="21"/>
      <c r="G1778" s="23">
        <v>0.32739109999999999</v>
      </c>
      <c r="H1778" s="23">
        <v>-0.27218179999999997</v>
      </c>
    </row>
    <row r="1779" spans="1:8" x14ac:dyDescent="0.35">
      <c r="A1779" s="23">
        <v>3.470703E-2</v>
      </c>
      <c r="B1779" s="23">
        <f t="shared" si="54"/>
        <v>-0.27232970000000001</v>
      </c>
      <c r="C1779" s="24"/>
      <c r="D1779" s="24">
        <f t="shared" si="55"/>
        <v>-102.76408805031447</v>
      </c>
      <c r="E1779" s="21"/>
      <c r="G1779" s="23">
        <v>0.32678980000000002</v>
      </c>
      <c r="H1779" s="23">
        <v>-0.27232970000000001</v>
      </c>
    </row>
    <row r="1780" spans="1:8" x14ac:dyDescent="0.35">
      <c r="A1780" s="23">
        <v>3.4726559999999997E-2</v>
      </c>
      <c r="B1780" s="23">
        <f t="shared" si="54"/>
        <v>-0.27135819999999999</v>
      </c>
      <c r="C1780" s="24"/>
      <c r="D1780" s="24">
        <f t="shared" si="55"/>
        <v>-102.33106918238994</v>
      </c>
      <c r="E1780" s="21"/>
      <c r="G1780" s="23">
        <v>0.3254128</v>
      </c>
      <c r="H1780" s="23">
        <v>-0.27135819999999999</v>
      </c>
    </row>
    <row r="1781" spans="1:8" x14ac:dyDescent="0.35">
      <c r="A1781" s="23">
        <v>3.474609E-2</v>
      </c>
      <c r="B1781" s="23">
        <f t="shared" si="54"/>
        <v>-0.26756550000000001</v>
      </c>
      <c r="C1781" s="24"/>
      <c r="D1781" s="24">
        <f t="shared" si="55"/>
        <v>-100.71641509433962</v>
      </c>
      <c r="E1781" s="21"/>
      <c r="G1781" s="23">
        <v>0.32027820000000001</v>
      </c>
      <c r="H1781" s="23">
        <v>-0.26756550000000001</v>
      </c>
    </row>
    <row r="1782" spans="1:8" x14ac:dyDescent="0.35">
      <c r="A1782" s="23">
        <v>3.4765629999999999E-2</v>
      </c>
      <c r="B1782" s="23">
        <f t="shared" si="54"/>
        <v>-0.26280360000000003</v>
      </c>
      <c r="C1782" s="24"/>
      <c r="D1782" s="24">
        <f t="shared" si="55"/>
        <v>-98.682389937106919</v>
      </c>
      <c r="E1782" s="21"/>
      <c r="G1782" s="23">
        <v>0.31380999999999998</v>
      </c>
      <c r="H1782" s="23">
        <v>-0.26280360000000003</v>
      </c>
    </row>
    <row r="1783" spans="1:8" x14ac:dyDescent="0.35">
      <c r="A1783" s="23">
        <v>3.4785160000000002E-2</v>
      </c>
      <c r="B1783" s="23">
        <f t="shared" si="54"/>
        <v>-0.25849759999999999</v>
      </c>
      <c r="C1783" s="24"/>
      <c r="D1783" s="24">
        <f t="shared" si="55"/>
        <v>-96.735754716981134</v>
      </c>
      <c r="E1783" s="21"/>
      <c r="G1783" s="23">
        <v>0.3076197</v>
      </c>
      <c r="H1783" s="23">
        <v>-0.25849759999999999</v>
      </c>
    </row>
    <row r="1784" spans="1:8" x14ac:dyDescent="0.35">
      <c r="A1784" s="23">
        <v>3.4804689999999999E-2</v>
      </c>
      <c r="B1784" s="23">
        <f t="shared" si="54"/>
        <v>-0.2530558</v>
      </c>
      <c r="C1784" s="24"/>
      <c r="D1784" s="24">
        <f t="shared" si="55"/>
        <v>-94.232610062893073</v>
      </c>
      <c r="E1784" s="21"/>
      <c r="G1784" s="23">
        <v>0.29965969999999997</v>
      </c>
      <c r="H1784" s="23">
        <v>-0.2530558</v>
      </c>
    </row>
    <row r="1785" spans="1:8" x14ac:dyDescent="0.35">
      <c r="A1785" s="23">
        <v>3.4824220000000003E-2</v>
      </c>
      <c r="B1785" s="23">
        <f t="shared" si="54"/>
        <v>-0.24700630000000001</v>
      </c>
      <c r="C1785" s="24"/>
      <c r="D1785" s="24">
        <f t="shared" si="55"/>
        <v>-91.634874213836483</v>
      </c>
      <c r="E1785" s="21"/>
      <c r="G1785" s="23">
        <v>0.29139890000000002</v>
      </c>
      <c r="H1785" s="23">
        <v>-0.24700630000000001</v>
      </c>
    </row>
    <row r="1786" spans="1:8" x14ac:dyDescent="0.35">
      <c r="A1786" s="23">
        <v>3.484375E-2</v>
      </c>
      <c r="B1786" s="23">
        <f t="shared" si="54"/>
        <v>-0.24042810000000001</v>
      </c>
      <c r="C1786" s="24"/>
      <c r="D1786" s="24">
        <f t="shared" si="55"/>
        <v>-88.759150943396222</v>
      </c>
      <c r="E1786" s="21"/>
      <c r="G1786" s="23">
        <v>0.28225410000000001</v>
      </c>
      <c r="H1786" s="23">
        <v>-0.24042810000000001</v>
      </c>
    </row>
    <row r="1787" spans="1:8" x14ac:dyDescent="0.35">
      <c r="A1787" s="23">
        <v>3.4863280000000003E-2</v>
      </c>
      <c r="B1787" s="23">
        <f t="shared" si="54"/>
        <v>-0.2318472</v>
      </c>
      <c r="C1787" s="24"/>
      <c r="D1787" s="24">
        <f t="shared" si="55"/>
        <v>-85.143459119496839</v>
      </c>
      <c r="E1787" s="21"/>
      <c r="G1787" s="23">
        <v>0.2707562</v>
      </c>
      <c r="H1787" s="23">
        <v>-0.2318472</v>
      </c>
    </row>
    <row r="1788" spans="1:8" x14ac:dyDescent="0.35">
      <c r="A1788" s="23">
        <v>3.488281E-2</v>
      </c>
      <c r="B1788" s="23">
        <f t="shared" si="54"/>
        <v>-0.22243760000000001</v>
      </c>
      <c r="C1788" s="24"/>
      <c r="D1788" s="24">
        <f t="shared" si="55"/>
        <v>-81.249433962264149</v>
      </c>
      <c r="E1788" s="21"/>
      <c r="G1788" s="23">
        <v>0.25837320000000003</v>
      </c>
      <c r="H1788" s="23">
        <v>-0.22243760000000001</v>
      </c>
    </row>
    <row r="1789" spans="1:8" x14ac:dyDescent="0.35">
      <c r="A1789" s="23">
        <v>3.4902339999999997E-2</v>
      </c>
      <c r="B1789" s="23">
        <f t="shared" si="54"/>
        <v>-0.21214160000000001</v>
      </c>
      <c r="C1789" s="24"/>
      <c r="D1789" s="24">
        <f t="shared" si="55"/>
        <v>-76.761289308176089</v>
      </c>
      <c r="E1789" s="21"/>
      <c r="G1789" s="23">
        <v>0.24410090000000001</v>
      </c>
      <c r="H1789" s="23">
        <v>-0.21214160000000001</v>
      </c>
    </row>
    <row r="1790" spans="1:8" x14ac:dyDescent="0.35">
      <c r="A1790" s="23">
        <v>3.4921870000000001E-2</v>
      </c>
      <c r="B1790" s="23">
        <f t="shared" si="54"/>
        <v>-0.20108989999999999</v>
      </c>
      <c r="C1790" s="24"/>
      <c r="D1790" s="24">
        <f t="shared" si="55"/>
        <v>-72.14534591194969</v>
      </c>
      <c r="E1790" s="21"/>
      <c r="G1790" s="23">
        <v>0.22942219999999999</v>
      </c>
      <c r="H1790" s="23">
        <v>-0.20108989999999999</v>
      </c>
    </row>
    <row r="1791" spans="1:8" x14ac:dyDescent="0.35">
      <c r="A1791" s="23">
        <v>3.4941409999999999E-2</v>
      </c>
      <c r="B1791" s="23">
        <f t="shared" si="54"/>
        <v>-0.1902278</v>
      </c>
      <c r="C1791" s="24"/>
      <c r="D1791" s="24">
        <f t="shared" si="55"/>
        <v>-67.851949685534578</v>
      </c>
      <c r="E1791" s="21"/>
      <c r="G1791" s="23">
        <v>0.21576919999999999</v>
      </c>
      <c r="H1791" s="23">
        <v>-0.1902278</v>
      </c>
    </row>
    <row r="1792" spans="1:8" x14ac:dyDescent="0.35">
      <c r="A1792" s="23">
        <v>3.4960940000000003E-2</v>
      </c>
      <c r="B1792" s="23">
        <f t="shared" si="54"/>
        <v>-0.1781076</v>
      </c>
      <c r="C1792" s="24"/>
      <c r="D1792" s="24">
        <f t="shared" si="55"/>
        <v>-62.761446540880499</v>
      </c>
      <c r="E1792" s="21"/>
      <c r="G1792" s="23">
        <v>0.19958139999999999</v>
      </c>
      <c r="H1792" s="23">
        <v>-0.1781076</v>
      </c>
    </row>
    <row r="1793" spans="1:8" x14ac:dyDescent="0.35">
      <c r="A1793" s="23">
        <v>3.498047E-2</v>
      </c>
      <c r="B1793" s="23">
        <f t="shared" si="54"/>
        <v>-0.16472039999999999</v>
      </c>
      <c r="C1793" s="24"/>
      <c r="D1793" s="24">
        <f t="shared" si="55"/>
        <v>-57.192798742138372</v>
      </c>
      <c r="E1793" s="21"/>
      <c r="G1793" s="23">
        <v>0.18187310000000001</v>
      </c>
      <c r="H1793" s="23">
        <v>-0.16472039999999999</v>
      </c>
    </row>
    <row r="1794" spans="1:8" x14ac:dyDescent="0.35">
      <c r="A1794" s="23">
        <v>3.5000000000000003E-2</v>
      </c>
      <c r="B1794" s="23">
        <f t="shared" ref="B1794:B1857" si="56">H1794</f>
        <v>-0.15052750000000001</v>
      </c>
      <c r="C1794" s="24"/>
      <c r="D1794" s="24">
        <f t="shared" ref="D1794:D1857" si="57">G1794*-1000/3.18</f>
        <v>-51.673679245283019</v>
      </c>
      <c r="E1794" s="21"/>
      <c r="G1794" s="23">
        <v>0.1643223</v>
      </c>
      <c r="H1794" s="23">
        <v>-0.15052750000000001</v>
      </c>
    </row>
    <row r="1795" spans="1:8" x14ac:dyDescent="0.35">
      <c r="A1795" s="23">
        <v>3.501953E-2</v>
      </c>
      <c r="B1795" s="23">
        <f t="shared" si="56"/>
        <v>-0.13561770000000001</v>
      </c>
      <c r="C1795" s="24"/>
      <c r="D1795" s="24">
        <f t="shared" si="57"/>
        <v>-45.586603773584898</v>
      </c>
      <c r="E1795" s="21"/>
      <c r="G1795" s="23">
        <v>0.14496539999999999</v>
      </c>
      <c r="H1795" s="23">
        <v>-0.13561770000000001</v>
      </c>
    </row>
    <row r="1796" spans="1:8" x14ac:dyDescent="0.35">
      <c r="A1796" s="23">
        <v>3.5039059999999997E-2</v>
      </c>
      <c r="B1796" s="23">
        <f t="shared" si="56"/>
        <v>-0.1204498</v>
      </c>
      <c r="C1796" s="24"/>
      <c r="D1796" s="24">
        <f t="shared" si="57"/>
        <v>-39.441918238993708</v>
      </c>
      <c r="E1796" s="21"/>
      <c r="G1796" s="23">
        <v>0.12542529999999999</v>
      </c>
      <c r="H1796" s="23">
        <v>-0.1204498</v>
      </c>
    </row>
    <row r="1797" spans="1:8" x14ac:dyDescent="0.35">
      <c r="A1797" s="23">
        <v>3.5058590000000001E-2</v>
      </c>
      <c r="B1797" s="23">
        <f t="shared" si="56"/>
        <v>-0.1048658</v>
      </c>
      <c r="C1797" s="24"/>
      <c r="D1797" s="24">
        <f t="shared" si="57"/>
        <v>-33.484308176100626</v>
      </c>
      <c r="E1797" s="21"/>
      <c r="G1797" s="23">
        <v>0.10648009999999999</v>
      </c>
      <c r="H1797" s="23">
        <v>-0.1048658</v>
      </c>
    </row>
    <row r="1798" spans="1:8" x14ac:dyDescent="0.35">
      <c r="A1798" s="23">
        <v>3.5078129999999999E-2</v>
      </c>
      <c r="B1798" s="23">
        <f t="shared" si="56"/>
        <v>-8.9337100000000003E-2</v>
      </c>
      <c r="C1798" s="24"/>
      <c r="D1798" s="24">
        <f t="shared" si="57"/>
        <v>-27.334864779874213</v>
      </c>
      <c r="E1798" s="21"/>
      <c r="G1798" s="23">
        <v>8.6924870000000001E-2</v>
      </c>
      <c r="H1798" s="23">
        <v>-8.9337100000000003E-2</v>
      </c>
    </row>
    <row r="1799" spans="1:8" x14ac:dyDescent="0.35">
      <c r="A1799" s="23">
        <v>3.5097660000000003E-2</v>
      </c>
      <c r="B1799" s="23">
        <f t="shared" si="56"/>
        <v>-7.3210310000000001E-2</v>
      </c>
      <c r="C1799" s="24"/>
      <c r="D1799" s="24">
        <f t="shared" si="57"/>
        <v>-20.980971698113208</v>
      </c>
      <c r="E1799" s="21"/>
      <c r="G1799" s="23">
        <v>6.6719490000000006E-2</v>
      </c>
      <c r="H1799" s="23">
        <v>-7.3210310000000001E-2</v>
      </c>
    </row>
    <row r="1800" spans="1:8" x14ac:dyDescent="0.35">
      <c r="A1800" s="23">
        <v>3.511719E-2</v>
      </c>
      <c r="B1800" s="23">
        <f t="shared" si="56"/>
        <v>-5.6524449999999997E-2</v>
      </c>
      <c r="C1800" s="24"/>
      <c r="D1800" s="24">
        <f t="shared" si="57"/>
        <v>-14.27383647798742</v>
      </c>
      <c r="E1800" s="21"/>
      <c r="G1800" s="23">
        <v>4.5390800000000002E-2</v>
      </c>
      <c r="H1800" s="23">
        <v>-5.6524449999999997E-2</v>
      </c>
    </row>
    <row r="1801" spans="1:8" x14ac:dyDescent="0.35">
      <c r="A1801" s="23">
        <v>3.5136720000000003E-2</v>
      </c>
      <c r="B1801" s="23">
        <f t="shared" si="56"/>
        <v>-4.028321E-2</v>
      </c>
      <c r="C1801" s="24"/>
      <c r="D1801" s="24">
        <f t="shared" si="57"/>
        <v>-7.7049905660377354</v>
      </c>
      <c r="E1801" s="21"/>
      <c r="G1801" s="23">
        <v>2.4501869999999999E-2</v>
      </c>
      <c r="H1801" s="23">
        <v>-4.028321E-2</v>
      </c>
    </row>
    <row r="1802" spans="1:8" x14ac:dyDescent="0.35">
      <c r="A1802" s="23">
        <v>3.515625E-2</v>
      </c>
      <c r="B1802" s="23">
        <f t="shared" si="56"/>
        <v>-2.373254E-2</v>
      </c>
      <c r="C1802" s="24"/>
      <c r="D1802" s="24">
        <f t="shared" si="57"/>
        <v>-1.2816654088050312</v>
      </c>
      <c r="E1802" s="21"/>
      <c r="G1802" s="23">
        <v>4.0756960000000002E-3</v>
      </c>
      <c r="H1802" s="23">
        <v>-2.373254E-2</v>
      </c>
    </row>
    <row r="1803" spans="1:8" x14ac:dyDescent="0.35">
      <c r="A1803" s="23">
        <v>3.5175779999999997E-2</v>
      </c>
      <c r="B1803" s="23">
        <f t="shared" si="56"/>
        <v>-7.2915430000000002E-3</v>
      </c>
      <c r="C1803" s="24"/>
      <c r="D1803" s="24">
        <f t="shared" si="57"/>
        <v>5.3233081761006282</v>
      </c>
      <c r="E1803" s="21"/>
      <c r="G1803" s="23">
        <v>-1.6928120000000001E-2</v>
      </c>
      <c r="H1803" s="23">
        <v>-7.2915430000000002E-3</v>
      </c>
    </row>
    <row r="1804" spans="1:8" x14ac:dyDescent="0.35">
      <c r="A1804" s="23">
        <v>3.519531E-2</v>
      </c>
      <c r="B1804" s="23">
        <f t="shared" si="56"/>
        <v>8.6760020000000004E-3</v>
      </c>
      <c r="C1804" s="24"/>
      <c r="D1804" s="24">
        <f t="shared" si="57"/>
        <v>11.552327044025157</v>
      </c>
      <c r="E1804" s="21"/>
      <c r="G1804" s="23">
        <v>-3.6736400000000002E-2</v>
      </c>
      <c r="H1804" s="23">
        <v>8.6760020000000004E-3</v>
      </c>
    </row>
    <row r="1805" spans="1:8" x14ac:dyDescent="0.35">
      <c r="A1805" s="23">
        <v>3.5214839999999997E-2</v>
      </c>
      <c r="B1805" s="23">
        <f t="shared" si="56"/>
        <v>2.5001889999999999E-2</v>
      </c>
      <c r="C1805" s="24"/>
      <c r="D1805" s="24">
        <f t="shared" si="57"/>
        <v>17.783012578616351</v>
      </c>
      <c r="E1805" s="21"/>
      <c r="G1805" s="23">
        <v>-5.654998E-2</v>
      </c>
      <c r="H1805" s="23">
        <v>2.5001889999999999E-2</v>
      </c>
    </row>
    <row r="1806" spans="1:8" x14ac:dyDescent="0.35">
      <c r="A1806" s="23">
        <v>3.5234370000000001E-2</v>
      </c>
      <c r="B1806" s="23">
        <f t="shared" si="56"/>
        <v>4.1927199999999998E-2</v>
      </c>
      <c r="C1806" s="24"/>
      <c r="D1806" s="24">
        <f t="shared" si="57"/>
        <v>24.388622641509432</v>
      </c>
      <c r="E1806" s="21"/>
      <c r="G1806" s="23">
        <v>-7.7555819999999998E-2</v>
      </c>
      <c r="H1806" s="23">
        <v>4.1927199999999998E-2</v>
      </c>
    </row>
    <row r="1807" spans="1:8" x14ac:dyDescent="0.35">
      <c r="A1807" s="23">
        <v>3.5253909999999999E-2</v>
      </c>
      <c r="B1807" s="23">
        <f t="shared" si="56"/>
        <v>5.871088E-2</v>
      </c>
      <c r="C1807" s="24"/>
      <c r="D1807" s="24">
        <f t="shared" si="57"/>
        <v>30.687522012578615</v>
      </c>
      <c r="E1807" s="21"/>
      <c r="G1807" s="23">
        <v>-9.7586320000000004E-2</v>
      </c>
      <c r="H1807" s="23">
        <v>5.871088E-2</v>
      </c>
    </row>
    <row r="1808" spans="1:8" x14ac:dyDescent="0.35">
      <c r="A1808" s="23">
        <v>3.5273440000000003E-2</v>
      </c>
      <c r="B1808" s="23">
        <f t="shared" si="56"/>
        <v>7.3924229999999994E-2</v>
      </c>
      <c r="C1808" s="24"/>
      <c r="D1808" s="24">
        <f t="shared" si="57"/>
        <v>36.671477987421383</v>
      </c>
      <c r="E1808" s="21"/>
      <c r="G1808" s="23">
        <v>-0.11661530000000001</v>
      </c>
      <c r="H1808" s="23">
        <v>7.3924229999999994E-2</v>
      </c>
    </row>
    <row r="1809" spans="1:8" x14ac:dyDescent="0.35">
      <c r="A1809" s="23">
        <v>3.529297E-2</v>
      </c>
      <c r="B1809" s="23">
        <f t="shared" si="56"/>
        <v>8.9044849999999995E-2</v>
      </c>
      <c r="C1809" s="24"/>
      <c r="D1809" s="24">
        <f t="shared" si="57"/>
        <v>42.577232704402512</v>
      </c>
      <c r="E1809" s="21"/>
      <c r="G1809" s="23">
        <v>-0.1353956</v>
      </c>
      <c r="H1809" s="23">
        <v>8.9044849999999995E-2</v>
      </c>
    </row>
    <row r="1810" spans="1:8" x14ac:dyDescent="0.35">
      <c r="A1810" s="23">
        <v>3.5312499999999997E-2</v>
      </c>
      <c r="B1810" s="23">
        <f t="shared" si="56"/>
        <v>0.10485940000000001</v>
      </c>
      <c r="C1810" s="24"/>
      <c r="D1810" s="24">
        <f t="shared" si="57"/>
        <v>48.308144654088046</v>
      </c>
      <c r="E1810" s="21"/>
      <c r="G1810" s="23">
        <v>-0.1536199</v>
      </c>
      <c r="H1810" s="23">
        <v>0.10485940000000001</v>
      </c>
    </row>
    <row r="1811" spans="1:8" x14ac:dyDescent="0.35">
      <c r="A1811" s="23">
        <v>3.533203E-2</v>
      </c>
      <c r="B1811" s="23">
        <f t="shared" si="56"/>
        <v>0.11963840000000001</v>
      </c>
      <c r="C1811" s="24"/>
      <c r="D1811" s="24">
        <f t="shared" si="57"/>
        <v>53.898930817610065</v>
      </c>
      <c r="E1811" s="21"/>
      <c r="G1811" s="23">
        <v>-0.17139860000000001</v>
      </c>
      <c r="H1811" s="23">
        <v>0.11963840000000001</v>
      </c>
    </row>
    <row r="1812" spans="1:8" x14ac:dyDescent="0.35">
      <c r="A1812" s="23">
        <v>3.5351559999999997E-2</v>
      </c>
      <c r="B1812" s="23">
        <f t="shared" si="56"/>
        <v>0.13343679999999999</v>
      </c>
      <c r="C1812" s="24"/>
      <c r="D1812" s="24">
        <f t="shared" si="57"/>
        <v>59.171540880503144</v>
      </c>
      <c r="E1812" s="21"/>
      <c r="G1812" s="23">
        <v>-0.18816550000000001</v>
      </c>
      <c r="H1812" s="23">
        <v>0.13343679999999999</v>
      </c>
    </row>
    <row r="1813" spans="1:8" x14ac:dyDescent="0.35">
      <c r="A1813" s="23">
        <v>3.5371090000000001E-2</v>
      </c>
      <c r="B1813" s="23">
        <f t="shared" si="56"/>
        <v>0.14656169999999999</v>
      </c>
      <c r="C1813" s="24"/>
      <c r="D1813" s="24">
        <f t="shared" si="57"/>
        <v>64.087106918238987</v>
      </c>
      <c r="E1813" s="21"/>
      <c r="G1813" s="23">
        <v>-0.20379700000000001</v>
      </c>
      <c r="H1813" s="23">
        <v>0.14656169999999999</v>
      </c>
    </row>
    <row r="1814" spans="1:8" x14ac:dyDescent="0.35">
      <c r="A1814" s="23">
        <v>3.5390629999999999E-2</v>
      </c>
      <c r="B1814" s="23">
        <f t="shared" si="56"/>
        <v>0.1592914</v>
      </c>
      <c r="C1814" s="24"/>
      <c r="D1814" s="24">
        <f t="shared" si="57"/>
        <v>68.930597484276731</v>
      </c>
      <c r="E1814" s="21"/>
      <c r="G1814" s="23">
        <v>-0.21919930000000001</v>
      </c>
      <c r="H1814" s="23">
        <v>0.1592914</v>
      </c>
    </row>
    <row r="1815" spans="1:8" x14ac:dyDescent="0.35">
      <c r="A1815" s="23">
        <v>3.5410160000000003E-2</v>
      </c>
      <c r="B1815" s="23">
        <f t="shared" si="56"/>
        <v>0.17103850000000001</v>
      </c>
      <c r="C1815" s="24"/>
      <c r="D1815" s="24">
        <f t="shared" si="57"/>
        <v>73.402295597484269</v>
      </c>
      <c r="E1815" s="21"/>
      <c r="G1815" s="23">
        <v>-0.2334193</v>
      </c>
      <c r="H1815" s="23">
        <v>0.17103850000000001</v>
      </c>
    </row>
    <row r="1816" spans="1:8" x14ac:dyDescent="0.35">
      <c r="A1816" s="23">
        <v>3.542969E-2</v>
      </c>
      <c r="B1816" s="23">
        <f t="shared" si="56"/>
        <v>0.1819143</v>
      </c>
      <c r="C1816" s="24"/>
      <c r="D1816" s="24">
        <f t="shared" si="57"/>
        <v>77.605471698113192</v>
      </c>
      <c r="E1816" s="21"/>
      <c r="G1816" s="23">
        <v>-0.24678539999999999</v>
      </c>
      <c r="H1816" s="23">
        <v>0.1819143</v>
      </c>
    </row>
    <row r="1817" spans="1:8" x14ac:dyDescent="0.35">
      <c r="A1817" s="23">
        <v>3.5449219999999997E-2</v>
      </c>
      <c r="B1817" s="23">
        <f t="shared" si="56"/>
        <v>0.19282679999999999</v>
      </c>
      <c r="C1817" s="24"/>
      <c r="D1817" s="24">
        <f t="shared" si="57"/>
        <v>81.712798742138361</v>
      </c>
      <c r="E1817" s="21"/>
      <c r="G1817" s="23">
        <v>-0.25984669999999999</v>
      </c>
      <c r="H1817" s="23">
        <v>0.19282679999999999</v>
      </c>
    </row>
    <row r="1818" spans="1:8" x14ac:dyDescent="0.35">
      <c r="A1818" s="23">
        <v>3.546875E-2</v>
      </c>
      <c r="B1818" s="23">
        <f t="shared" si="56"/>
        <v>0.2022592</v>
      </c>
      <c r="C1818" s="24"/>
      <c r="D1818" s="24">
        <f t="shared" si="57"/>
        <v>85.166635220125784</v>
      </c>
      <c r="E1818" s="21"/>
      <c r="G1818" s="23">
        <v>-0.27082990000000001</v>
      </c>
      <c r="H1818" s="23">
        <v>0.2022592</v>
      </c>
    </row>
    <row r="1819" spans="1:8" x14ac:dyDescent="0.35">
      <c r="A1819" s="23">
        <v>3.5488279999999997E-2</v>
      </c>
      <c r="B1819" s="23">
        <f t="shared" si="56"/>
        <v>0.21058099999999999</v>
      </c>
      <c r="C1819" s="24"/>
      <c r="D1819" s="24">
        <f t="shared" si="57"/>
        <v>88.32154088050315</v>
      </c>
      <c r="E1819" s="21"/>
      <c r="G1819" s="23">
        <v>-0.28086250000000001</v>
      </c>
      <c r="H1819" s="23">
        <v>0.21058099999999999</v>
      </c>
    </row>
    <row r="1820" spans="1:8" x14ac:dyDescent="0.35">
      <c r="A1820" s="23">
        <v>3.5507810000000001E-2</v>
      </c>
      <c r="B1820" s="23">
        <f t="shared" si="56"/>
        <v>0.21850929999999999</v>
      </c>
      <c r="C1820" s="24"/>
      <c r="D1820" s="24">
        <f t="shared" si="57"/>
        <v>91.24242138364778</v>
      </c>
      <c r="E1820" s="21"/>
      <c r="G1820" s="23">
        <v>-0.29015089999999999</v>
      </c>
      <c r="H1820" s="23">
        <v>0.21850929999999999</v>
      </c>
    </row>
    <row r="1821" spans="1:8" x14ac:dyDescent="0.35">
      <c r="A1821" s="23">
        <v>3.5527339999999998E-2</v>
      </c>
      <c r="B1821" s="23">
        <f t="shared" si="56"/>
        <v>0.22524959999999999</v>
      </c>
      <c r="C1821" s="24"/>
      <c r="D1821" s="24">
        <f t="shared" si="57"/>
        <v>93.707075471698104</v>
      </c>
      <c r="E1821" s="21"/>
      <c r="G1821" s="23">
        <v>-0.29798849999999999</v>
      </c>
      <c r="H1821" s="23">
        <v>0.22524959999999999</v>
      </c>
    </row>
    <row r="1822" spans="1:8" x14ac:dyDescent="0.35">
      <c r="A1822" s="23">
        <v>3.5546870000000001E-2</v>
      </c>
      <c r="B1822" s="23">
        <f t="shared" si="56"/>
        <v>0.23132710000000001</v>
      </c>
      <c r="C1822" s="24"/>
      <c r="D1822" s="24">
        <f t="shared" si="57"/>
        <v>96.042421383647792</v>
      </c>
      <c r="E1822" s="21"/>
      <c r="G1822" s="23">
        <v>-0.30541489999999999</v>
      </c>
      <c r="H1822" s="23">
        <v>0.23132710000000001</v>
      </c>
    </row>
    <row r="1823" spans="1:8" x14ac:dyDescent="0.35">
      <c r="A1823" s="23">
        <v>3.556641E-2</v>
      </c>
      <c r="B1823" s="23">
        <f t="shared" si="56"/>
        <v>0.23649049999999999</v>
      </c>
      <c r="C1823" s="24"/>
      <c r="D1823" s="24">
        <f t="shared" si="57"/>
        <v>97.89886792452829</v>
      </c>
      <c r="E1823" s="21"/>
      <c r="G1823" s="23">
        <v>-0.3113184</v>
      </c>
      <c r="H1823" s="23">
        <v>0.23649049999999999</v>
      </c>
    </row>
    <row r="1824" spans="1:8" x14ac:dyDescent="0.35">
      <c r="A1824" s="23">
        <v>3.5585940000000003E-2</v>
      </c>
      <c r="B1824" s="23">
        <f t="shared" si="56"/>
        <v>0.2408187</v>
      </c>
      <c r="C1824" s="24"/>
      <c r="D1824" s="24">
        <f t="shared" si="57"/>
        <v>99.310062893081749</v>
      </c>
      <c r="E1824" s="21"/>
      <c r="G1824" s="23">
        <v>-0.31580599999999998</v>
      </c>
      <c r="H1824" s="23">
        <v>0.2408187</v>
      </c>
    </row>
    <row r="1825" spans="1:8" x14ac:dyDescent="0.35">
      <c r="A1825" s="23">
        <v>3.560547E-2</v>
      </c>
      <c r="B1825" s="23">
        <f t="shared" si="56"/>
        <v>0.24476680000000001</v>
      </c>
      <c r="C1825" s="24"/>
      <c r="D1825" s="24">
        <f t="shared" si="57"/>
        <v>100.63276729559747</v>
      </c>
      <c r="E1825" s="21"/>
      <c r="G1825" s="23">
        <v>-0.32001220000000002</v>
      </c>
      <c r="H1825" s="23">
        <v>0.24476680000000001</v>
      </c>
    </row>
    <row r="1826" spans="1:8" x14ac:dyDescent="0.35">
      <c r="A1826" s="23">
        <v>3.5624999999999997E-2</v>
      </c>
      <c r="B1826" s="23">
        <f t="shared" si="56"/>
        <v>0.24766730000000001</v>
      </c>
      <c r="C1826" s="24"/>
      <c r="D1826" s="24">
        <f t="shared" si="57"/>
        <v>101.53955974842766</v>
      </c>
      <c r="E1826" s="21"/>
      <c r="G1826" s="23">
        <v>-0.32289580000000001</v>
      </c>
      <c r="H1826" s="23">
        <v>0.24766730000000001</v>
      </c>
    </row>
    <row r="1827" spans="1:8" x14ac:dyDescent="0.35">
      <c r="A1827" s="23">
        <v>3.5644530000000001E-2</v>
      </c>
      <c r="B1827" s="23">
        <f t="shared" si="56"/>
        <v>0.2496437</v>
      </c>
      <c r="C1827" s="24"/>
      <c r="D1827" s="24">
        <f t="shared" si="57"/>
        <v>101.92088050314466</v>
      </c>
      <c r="E1827" s="21"/>
      <c r="G1827" s="23">
        <v>-0.32410840000000002</v>
      </c>
      <c r="H1827" s="23">
        <v>0.2496437</v>
      </c>
    </row>
    <row r="1828" spans="1:8" x14ac:dyDescent="0.35">
      <c r="A1828" s="23">
        <v>3.5664059999999997E-2</v>
      </c>
      <c r="B1828" s="23">
        <f t="shared" si="56"/>
        <v>0.25102200000000002</v>
      </c>
      <c r="C1828" s="24"/>
      <c r="D1828" s="24">
        <f t="shared" si="57"/>
        <v>102.00449685534591</v>
      </c>
      <c r="E1828" s="21"/>
      <c r="G1828" s="23">
        <v>-0.3243743</v>
      </c>
      <c r="H1828" s="23">
        <v>0.25102200000000002</v>
      </c>
    </row>
    <row r="1829" spans="1:8" x14ac:dyDescent="0.35">
      <c r="A1829" s="23">
        <v>3.5683590000000001E-2</v>
      </c>
      <c r="B1829" s="23">
        <f t="shared" si="56"/>
        <v>0.25117299999999998</v>
      </c>
      <c r="C1829" s="24"/>
      <c r="D1829" s="24">
        <f t="shared" si="57"/>
        <v>101.63257861635221</v>
      </c>
      <c r="E1829" s="21"/>
      <c r="G1829" s="23">
        <v>-0.32319160000000002</v>
      </c>
      <c r="H1829" s="23">
        <v>0.25117299999999998</v>
      </c>
    </row>
    <row r="1830" spans="1:8" x14ac:dyDescent="0.35">
      <c r="A1830" s="23">
        <v>3.570313E-2</v>
      </c>
      <c r="B1830" s="23">
        <f t="shared" si="56"/>
        <v>0.25064380000000003</v>
      </c>
      <c r="C1830" s="24"/>
      <c r="D1830" s="24">
        <f t="shared" si="57"/>
        <v>100.87317610062892</v>
      </c>
      <c r="E1830" s="21"/>
      <c r="G1830" s="23">
        <v>-0.32077670000000003</v>
      </c>
      <c r="H1830" s="23">
        <v>0.25064380000000003</v>
      </c>
    </row>
    <row r="1831" spans="1:8" x14ac:dyDescent="0.35">
      <c r="A1831" s="23">
        <v>3.5722660000000003E-2</v>
      </c>
      <c r="B1831" s="23">
        <f t="shared" si="56"/>
        <v>0.2497935</v>
      </c>
      <c r="C1831" s="24"/>
      <c r="D1831" s="24">
        <f t="shared" si="57"/>
        <v>100.10327044025156</v>
      </c>
      <c r="E1831" s="21"/>
      <c r="G1831" s="23">
        <v>-0.31832840000000001</v>
      </c>
      <c r="H1831" s="23">
        <v>0.2497935</v>
      </c>
    </row>
    <row r="1832" spans="1:8" x14ac:dyDescent="0.35">
      <c r="A1832" s="23">
        <v>3.574219E-2</v>
      </c>
      <c r="B1832" s="23">
        <f t="shared" si="56"/>
        <v>0.2478842</v>
      </c>
      <c r="C1832" s="24"/>
      <c r="D1832" s="24">
        <f t="shared" si="57"/>
        <v>98.965534591194967</v>
      </c>
      <c r="E1832" s="21"/>
      <c r="G1832" s="23">
        <v>-0.3147104</v>
      </c>
      <c r="H1832" s="23">
        <v>0.2478842</v>
      </c>
    </row>
    <row r="1833" spans="1:8" x14ac:dyDescent="0.35">
      <c r="A1833" s="23">
        <v>3.5761719999999997E-2</v>
      </c>
      <c r="B1833" s="23">
        <f t="shared" si="56"/>
        <v>0.24558940000000001</v>
      </c>
      <c r="C1833" s="24"/>
      <c r="D1833" s="24">
        <f t="shared" si="57"/>
        <v>97.25959119496855</v>
      </c>
      <c r="E1833" s="21"/>
      <c r="G1833" s="23">
        <v>-0.30928549999999999</v>
      </c>
      <c r="H1833" s="23">
        <v>0.24558940000000001</v>
      </c>
    </row>
    <row r="1834" spans="1:8" x14ac:dyDescent="0.35">
      <c r="A1834" s="23">
        <v>3.5781250000000001E-2</v>
      </c>
      <c r="B1834" s="23">
        <f t="shared" si="56"/>
        <v>0.24214559999999999</v>
      </c>
      <c r="C1834" s="24"/>
      <c r="D1834" s="24">
        <f t="shared" si="57"/>
        <v>95.11091194968553</v>
      </c>
      <c r="E1834" s="21"/>
      <c r="G1834" s="23">
        <v>-0.30245270000000002</v>
      </c>
      <c r="H1834" s="23">
        <v>0.24214559999999999</v>
      </c>
    </row>
    <row r="1835" spans="1:8" x14ac:dyDescent="0.35">
      <c r="A1835" s="23">
        <v>3.5800779999999997E-2</v>
      </c>
      <c r="B1835" s="23">
        <f t="shared" si="56"/>
        <v>0.23783989999999999</v>
      </c>
      <c r="C1835" s="24"/>
      <c r="D1835" s="24">
        <f t="shared" si="57"/>
        <v>92.582767295597463</v>
      </c>
      <c r="E1835" s="21"/>
      <c r="G1835" s="23">
        <v>-0.29441319999999999</v>
      </c>
      <c r="H1835" s="23">
        <v>0.23783989999999999</v>
      </c>
    </row>
    <row r="1836" spans="1:8" x14ac:dyDescent="0.35">
      <c r="A1836" s="23">
        <v>3.5820310000000001E-2</v>
      </c>
      <c r="B1836" s="23">
        <f t="shared" si="56"/>
        <v>0.2333586</v>
      </c>
      <c r="C1836" s="24"/>
      <c r="D1836" s="24">
        <f t="shared" si="57"/>
        <v>89.95163522012578</v>
      </c>
      <c r="E1836" s="21"/>
      <c r="G1836" s="23">
        <v>-0.28604619999999997</v>
      </c>
      <c r="H1836" s="23">
        <v>0.2333586</v>
      </c>
    </row>
    <row r="1837" spans="1:8" x14ac:dyDescent="0.35">
      <c r="A1837" s="23">
        <v>3.5839839999999998E-2</v>
      </c>
      <c r="B1837" s="23">
        <f t="shared" si="56"/>
        <v>0.22750210000000001</v>
      </c>
      <c r="C1837" s="24"/>
      <c r="D1837" s="24">
        <f t="shared" si="57"/>
        <v>86.893553459119502</v>
      </c>
      <c r="E1837" s="21"/>
      <c r="G1837" s="23">
        <v>-0.2763215</v>
      </c>
      <c r="H1837" s="23">
        <v>0.22750210000000001</v>
      </c>
    </row>
    <row r="1838" spans="1:8" x14ac:dyDescent="0.35">
      <c r="A1838" s="23">
        <v>3.5859370000000002E-2</v>
      </c>
      <c r="B1838" s="23">
        <f t="shared" si="56"/>
        <v>0.22131049999999999</v>
      </c>
      <c r="C1838" s="24"/>
      <c r="D1838" s="24">
        <f t="shared" si="57"/>
        <v>83.589088050314459</v>
      </c>
      <c r="E1838" s="21"/>
      <c r="G1838" s="23">
        <v>-0.26581329999999997</v>
      </c>
      <c r="H1838" s="23">
        <v>0.22131049999999999</v>
      </c>
    </row>
    <row r="1839" spans="1:8" x14ac:dyDescent="0.35">
      <c r="A1839" s="23">
        <v>3.587891E-2</v>
      </c>
      <c r="B1839" s="23">
        <f t="shared" si="56"/>
        <v>0.21380450000000001</v>
      </c>
      <c r="C1839" s="24"/>
      <c r="D1839" s="24">
        <f t="shared" si="57"/>
        <v>80.109496855345895</v>
      </c>
      <c r="E1839" s="21"/>
      <c r="G1839" s="23">
        <v>-0.25474819999999998</v>
      </c>
      <c r="H1839" s="23">
        <v>0.21380450000000001</v>
      </c>
    </row>
    <row r="1840" spans="1:8" x14ac:dyDescent="0.35">
      <c r="A1840" s="23">
        <v>3.5898439999999997E-2</v>
      </c>
      <c r="B1840" s="23">
        <f t="shared" si="56"/>
        <v>0.20524880000000001</v>
      </c>
      <c r="C1840" s="24"/>
      <c r="D1840" s="24">
        <f t="shared" si="57"/>
        <v>75.938993710691832</v>
      </c>
      <c r="E1840" s="21"/>
      <c r="G1840" s="23">
        <v>-0.24148600000000001</v>
      </c>
      <c r="H1840" s="23">
        <v>0.20524880000000001</v>
      </c>
    </row>
    <row r="1841" spans="1:8" x14ac:dyDescent="0.35">
      <c r="A1841" s="23">
        <v>3.591797E-2</v>
      </c>
      <c r="B1841" s="23">
        <f t="shared" si="56"/>
        <v>0.19720480000000001</v>
      </c>
      <c r="C1841" s="24"/>
      <c r="D1841" s="24">
        <f t="shared" si="57"/>
        <v>71.681698113207545</v>
      </c>
      <c r="E1841" s="21"/>
      <c r="G1841" s="23">
        <v>-0.22794780000000001</v>
      </c>
      <c r="H1841" s="23">
        <v>0.19720480000000001</v>
      </c>
    </row>
    <row r="1842" spans="1:8" x14ac:dyDescent="0.35">
      <c r="A1842" s="23">
        <v>3.5937499999999997E-2</v>
      </c>
      <c r="B1842" s="23">
        <f t="shared" si="56"/>
        <v>0.18690689999999999</v>
      </c>
      <c r="C1842" s="24"/>
      <c r="D1842" s="24">
        <f t="shared" si="57"/>
        <v>67.184874213836466</v>
      </c>
      <c r="E1842" s="21"/>
      <c r="G1842" s="23">
        <v>-0.2136479</v>
      </c>
      <c r="H1842" s="23">
        <v>0.18690689999999999</v>
      </c>
    </row>
    <row r="1843" spans="1:8" x14ac:dyDescent="0.35">
      <c r="A1843" s="23">
        <v>3.5957030000000001E-2</v>
      </c>
      <c r="B1843" s="23">
        <f t="shared" si="56"/>
        <v>0.17569309999999999</v>
      </c>
      <c r="C1843" s="24"/>
      <c r="D1843" s="24">
        <f t="shared" si="57"/>
        <v>62.167515723270441</v>
      </c>
      <c r="E1843" s="21"/>
      <c r="G1843" s="23">
        <v>-0.1976927</v>
      </c>
      <c r="H1843" s="23">
        <v>0.17569309999999999</v>
      </c>
    </row>
    <row r="1844" spans="1:8" x14ac:dyDescent="0.35">
      <c r="A1844" s="23">
        <v>3.5976559999999998E-2</v>
      </c>
      <c r="B1844" s="23">
        <f t="shared" si="56"/>
        <v>0.1653944</v>
      </c>
      <c r="C1844" s="24"/>
      <c r="D1844" s="24">
        <f t="shared" si="57"/>
        <v>57.396918238993706</v>
      </c>
      <c r="E1844" s="21"/>
      <c r="G1844" s="23">
        <v>-0.1825222</v>
      </c>
      <c r="H1844" s="23">
        <v>0.1653944</v>
      </c>
    </row>
    <row r="1845" spans="1:8" x14ac:dyDescent="0.35">
      <c r="A1845" s="23">
        <v>3.5996090000000001E-2</v>
      </c>
      <c r="B1845" s="23">
        <f t="shared" si="56"/>
        <v>0.1543861</v>
      </c>
      <c r="C1845" s="24"/>
      <c r="D1845" s="24">
        <f t="shared" si="57"/>
        <v>52.473867924528307</v>
      </c>
      <c r="E1845" s="21"/>
      <c r="G1845" s="23">
        <v>-0.16686690000000001</v>
      </c>
      <c r="H1845" s="23">
        <v>0.1543861</v>
      </c>
    </row>
    <row r="1846" spans="1:8" x14ac:dyDescent="0.35">
      <c r="A1846" s="23">
        <v>3.601563E-2</v>
      </c>
      <c r="B1846" s="23">
        <f t="shared" si="56"/>
        <v>0.14221020000000001</v>
      </c>
      <c r="C1846" s="24"/>
      <c r="D1846" s="24">
        <f t="shared" si="57"/>
        <v>46.978207547169802</v>
      </c>
      <c r="E1846" s="21"/>
      <c r="G1846" s="23">
        <v>-0.14939069999999999</v>
      </c>
      <c r="H1846" s="23">
        <v>0.14221020000000001</v>
      </c>
    </row>
    <row r="1847" spans="1:8" x14ac:dyDescent="0.35">
      <c r="A1847" s="23">
        <v>3.6035159999999997E-2</v>
      </c>
      <c r="B1847" s="23">
        <f t="shared" si="56"/>
        <v>0.1286621</v>
      </c>
      <c r="C1847" s="24"/>
      <c r="D1847" s="24">
        <f t="shared" si="57"/>
        <v>41.277767295597478</v>
      </c>
      <c r="E1847" s="21"/>
      <c r="G1847" s="23">
        <v>-0.1312633</v>
      </c>
      <c r="H1847" s="23">
        <v>0.1286621</v>
      </c>
    </row>
    <row r="1848" spans="1:8" x14ac:dyDescent="0.35">
      <c r="A1848" s="23">
        <v>3.605469E-2</v>
      </c>
      <c r="B1848" s="23">
        <f t="shared" si="56"/>
        <v>0.11564389999999999</v>
      </c>
      <c r="C1848" s="24"/>
      <c r="D1848" s="24">
        <f t="shared" si="57"/>
        <v>35.30606918238994</v>
      </c>
      <c r="E1848" s="21"/>
      <c r="G1848" s="23">
        <v>-0.11227330000000001</v>
      </c>
      <c r="H1848" s="23">
        <v>0.11564389999999999</v>
      </c>
    </row>
    <row r="1849" spans="1:8" x14ac:dyDescent="0.35">
      <c r="A1849" s="23">
        <v>3.6074219999999997E-2</v>
      </c>
      <c r="B1849" s="23">
        <f t="shared" si="56"/>
        <v>0.10366839999999999</v>
      </c>
      <c r="C1849" s="24"/>
      <c r="D1849" s="24">
        <f t="shared" si="57"/>
        <v>29.438283018867924</v>
      </c>
      <c r="E1849" s="21"/>
      <c r="G1849" s="23">
        <v>-9.3613740000000001E-2</v>
      </c>
      <c r="H1849" s="23">
        <v>0.10366839999999999</v>
      </c>
    </row>
    <row r="1850" spans="1:8" x14ac:dyDescent="0.35">
      <c r="A1850" s="23">
        <v>3.6093750000000001E-2</v>
      </c>
      <c r="B1850" s="23">
        <f t="shared" si="56"/>
        <v>9.1546150000000007E-2</v>
      </c>
      <c r="C1850" s="24"/>
      <c r="D1850" s="24">
        <f t="shared" si="57"/>
        <v>23.833745283018864</v>
      </c>
      <c r="E1850" s="21"/>
      <c r="G1850" s="23">
        <v>-7.5791310000000001E-2</v>
      </c>
      <c r="H1850" s="23">
        <v>9.1546150000000007E-2</v>
      </c>
    </row>
    <row r="1851" spans="1:8" x14ac:dyDescent="0.35">
      <c r="A1851" s="23">
        <v>3.6113279999999998E-2</v>
      </c>
      <c r="B1851" s="23">
        <f t="shared" si="56"/>
        <v>7.8841629999999996E-2</v>
      </c>
      <c r="C1851" s="24"/>
      <c r="D1851" s="24">
        <f t="shared" si="57"/>
        <v>17.851855345911947</v>
      </c>
      <c r="E1851" s="21"/>
      <c r="G1851" s="23">
        <v>-5.6768899999999997E-2</v>
      </c>
      <c r="H1851" s="23">
        <v>7.8841629999999996E-2</v>
      </c>
    </row>
    <row r="1852" spans="1:8" x14ac:dyDescent="0.35">
      <c r="A1852" s="23">
        <v>3.6132810000000001E-2</v>
      </c>
      <c r="B1852" s="23">
        <f t="shared" si="56"/>
        <v>6.483717E-2</v>
      </c>
      <c r="C1852" s="24"/>
      <c r="D1852" s="24">
        <f t="shared" si="57"/>
        <v>11.715113207547168</v>
      </c>
      <c r="E1852" s="21"/>
      <c r="G1852" s="23">
        <v>-3.7254059999999999E-2</v>
      </c>
      <c r="H1852" s="23">
        <v>6.483717E-2</v>
      </c>
    </row>
    <row r="1853" spans="1:8" x14ac:dyDescent="0.35">
      <c r="A1853" s="23">
        <v>3.6152339999999998E-2</v>
      </c>
      <c r="B1853" s="23">
        <f t="shared" si="56"/>
        <v>5.0976729999999998E-2</v>
      </c>
      <c r="C1853" s="24"/>
      <c r="D1853" s="24">
        <f t="shared" si="57"/>
        <v>5.3337987421383648</v>
      </c>
      <c r="E1853" s="21"/>
      <c r="G1853" s="23">
        <v>-1.6961480000000001E-2</v>
      </c>
      <c r="H1853" s="23">
        <v>5.0976729999999998E-2</v>
      </c>
    </row>
    <row r="1854" spans="1:8" x14ac:dyDescent="0.35">
      <c r="A1854" s="23">
        <v>3.6171870000000002E-2</v>
      </c>
      <c r="B1854" s="23">
        <f t="shared" si="56"/>
        <v>3.7427259999999997E-2</v>
      </c>
      <c r="C1854" s="24"/>
      <c r="D1854" s="24">
        <f t="shared" si="57"/>
        <v>-1.2503314465408804</v>
      </c>
      <c r="E1854" s="21"/>
      <c r="G1854" s="23">
        <v>3.9760539999999997E-3</v>
      </c>
      <c r="H1854" s="23">
        <v>3.7427259999999997E-2</v>
      </c>
    </row>
    <row r="1855" spans="1:8" x14ac:dyDescent="0.35">
      <c r="A1855" s="23">
        <v>3.619141E-2</v>
      </c>
      <c r="B1855" s="23">
        <f t="shared" si="56"/>
        <v>2.2936910000000001E-2</v>
      </c>
      <c r="C1855" s="24"/>
      <c r="D1855" s="24">
        <f t="shared" si="57"/>
        <v>-7.0720251572327042</v>
      </c>
      <c r="E1855" s="21"/>
      <c r="G1855" s="23">
        <v>2.2489039999999998E-2</v>
      </c>
      <c r="H1855" s="23">
        <v>2.2936910000000001E-2</v>
      </c>
    </row>
    <row r="1856" spans="1:8" x14ac:dyDescent="0.35">
      <c r="A1856" s="23">
        <v>3.6210939999999997E-2</v>
      </c>
      <c r="B1856" s="23">
        <f t="shared" si="56"/>
        <v>7.4178530000000003E-3</v>
      </c>
      <c r="C1856" s="24"/>
      <c r="D1856" s="24">
        <f t="shared" si="57"/>
        <v>-13.04201572327044</v>
      </c>
      <c r="E1856" s="21"/>
      <c r="G1856" s="23">
        <v>4.1473610000000001E-2</v>
      </c>
      <c r="H1856" s="23">
        <v>7.4178530000000003E-3</v>
      </c>
    </row>
    <row r="1857" spans="1:8" x14ac:dyDescent="0.35">
      <c r="A1857" s="23">
        <v>3.6230470000000001E-2</v>
      </c>
      <c r="B1857" s="23">
        <f t="shared" si="56"/>
        <v>-9.856297E-3</v>
      </c>
      <c r="C1857" s="24"/>
      <c r="D1857" s="24">
        <f t="shared" si="57"/>
        <v>-19.740380503144653</v>
      </c>
      <c r="E1857" s="21"/>
      <c r="G1857" s="23">
        <v>6.2774410000000003E-2</v>
      </c>
      <c r="H1857" s="23">
        <v>-9.856297E-3</v>
      </c>
    </row>
    <row r="1858" spans="1:8" x14ac:dyDescent="0.35">
      <c r="A1858" s="23">
        <v>3.6249999999999998E-2</v>
      </c>
      <c r="B1858" s="23">
        <f t="shared" ref="B1858:B1921" si="58">H1858</f>
        <v>-2.8642089999999999E-2</v>
      </c>
      <c r="C1858" s="24"/>
      <c r="D1858" s="24">
        <f t="shared" ref="D1858:D1921" si="59">G1858*-1000/3.18</f>
        <v>-25.897981132075472</v>
      </c>
      <c r="E1858" s="21"/>
      <c r="G1858" s="23">
        <v>8.2355579999999998E-2</v>
      </c>
      <c r="H1858" s="23">
        <v>-2.8642089999999999E-2</v>
      </c>
    </row>
    <row r="1859" spans="1:8" x14ac:dyDescent="0.35">
      <c r="A1859" s="23">
        <v>3.6269530000000001E-2</v>
      </c>
      <c r="B1859" s="23">
        <f t="shared" si="58"/>
        <v>-4.7674090000000002E-2</v>
      </c>
      <c r="C1859" s="24"/>
      <c r="D1859" s="24">
        <f t="shared" si="59"/>
        <v>-31.591132075471698</v>
      </c>
      <c r="E1859" s="21"/>
      <c r="G1859" s="23">
        <v>0.1004598</v>
      </c>
      <c r="H1859" s="23">
        <v>-4.7674090000000002E-2</v>
      </c>
    </row>
    <row r="1860" spans="1:8" x14ac:dyDescent="0.35">
      <c r="A1860" s="23">
        <v>3.6289059999999998E-2</v>
      </c>
      <c r="B1860" s="23">
        <f t="shared" si="58"/>
        <v>-6.6699049999999996E-2</v>
      </c>
      <c r="C1860" s="24"/>
      <c r="D1860" s="24">
        <f t="shared" si="59"/>
        <v>-37.329308176100625</v>
      </c>
      <c r="E1860" s="21"/>
      <c r="G1860" s="23">
        <v>0.1187072</v>
      </c>
      <c r="H1860" s="23">
        <v>-6.6699049999999996E-2</v>
      </c>
    </row>
    <row r="1861" spans="1:8" x14ac:dyDescent="0.35">
      <c r="A1861" s="23">
        <v>3.6308590000000002E-2</v>
      </c>
      <c r="B1861" s="23">
        <f t="shared" si="58"/>
        <v>-8.6125919999999995E-2</v>
      </c>
      <c r="C1861" s="24"/>
      <c r="D1861" s="24">
        <f t="shared" si="59"/>
        <v>-43.012798742138358</v>
      </c>
      <c r="E1861" s="21"/>
      <c r="G1861" s="23">
        <v>0.13678070000000001</v>
      </c>
      <c r="H1861" s="23">
        <v>-8.6125919999999995E-2</v>
      </c>
    </row>
    <row r="1862" spans="1:8" x14ac:dyDescent="0.35">
      <c r="A1862" s="23">
        <v>3.632813E-2</v>
      </c>
      <c r="B1862" s="23">
        <f t="shared" si="58"/>
        <v>-0.1051965</v>
      </c>
      <c r="C1862" s="24"/>
      <c r="D1862" s="24">
        <f t="shared" si="59"/>
        <v>-48.581069182389939</v>
      </c>
      <c r="E1862" s="21"/>
      <c r="G1862" s="23">
        <v>0.15448780000000001</v>
      </c>
      <c r="H1862" s="23">
        <v>-0.1051965</v>
      </c>
    </row>
    <row r="1863" spans="1:8" x14ac:dyDescent="0.35">
      <c r="A1863" s="23">
        <v>3.6347659999999997E-2</v>
      </c>
      <c r="B1863" s="23">
        <f t="shared" si="58"/>
        <v>-0.12340470000000001</v>
      </c>
      <c r="C1863" s="24"/>
      <c r="D1863" s="24">
        <f t="shared" si="59"/>
        <v>-53.978679245283011</v>
      </c>
      <c r="E1863" s="21"/>
      <c r="G1863" s="23">
        <v>0.1716522</v>
      </c>
      <c r="H1863" s="23">
        <v>-0.12340470000000001</v>
      </c>
    </row>
    <row r="1864" spans="1:8" x14ac:dyDescent="0.35">
      <c r="A1864" s="23">
        <v>3.6367190000000001E-2</v>
      </c>
      <c r="B1864" s="23">
        <f t="shared" si="58"/>
        <v>-0.14105909999999999</v>
      </c>
      <c r="C1864" s="24"/>
      <c r="D1864" s="24">
        <f t="shared" si="59"/>
        <v>-59.377201257861635</v>
      </c>
      <c r="E1864" s="21"/>
      <c r="G1864" s="23">
        <v>0.1888195</v>
      </c>
      <c r="H1864" s="23">
        <v>-0.14105909999999999</v>
      </c>
    </row>
    <row r="1865" spans="1:8" x14ac:dyDescent="0.35">
      <c r="A1865" s="23">
        <v>3.6386719999999997E-2</v>
      </c>
      <c r="B1865" s="23">
        <f t="shared" si="58"/>
        <v>-0.15782499999999999</v>
      </c>
      <c r="C1865" s="24"/>
      <c r="D1865" s="24">
        <f t="shared" si="59"/>
        <v>-64.395220125786167</v>
      </c>
      <c r="E1865" s="21"/>
      <c r="G1865" s="23">
        <v>0.20477680000000001</v>
      </c>
      <c r="H1865" s="23">
        <v>-0.15782499999999999</v>
      </c>
    </row>
    <row r="1866" spans="1:8" x14ac:dyDescent="0.35">
      <c r="A1866" s="23">
        <v>3.6406250000000001E-2</v>
      </c>
      <c r="B1866" s="23">
        <f t="shared" si="58"/>
        <v>-0.17323440000000001</v>
      </c>
      <c r="C1866" s="24"/>
      <c r="D1866" s="24">
        <f t="shared" si="59"/>
        <v>-68.876823899371061</v>
      </c>
      <c r="E1866" s="21"/>
      <c r="G1866" s="23">
        <v>0.21902830000000001</v>
      </c>
      <c r="H1866" s="23">
        <v>-0.17323440000000001</v>
      </c>
    </row>
    <row r="1867" spans="1:8" x14ac:dyDescent="0.35">
      <c r="A1867" s="23">
        <v>3.6425779999999998E-2</v>
      </c>
      <c r="B1867" s="23">
        <f t="shared" si="58"/>
        <v>-0.18748680000000001</v>
      </c>
      <c r="C1867" s="24"/>
      <c r="D1867" s="24">
        <f t="shared" si="59"/>
        <v>-73.513301886792448</v>
      </c>
      <c r="E1867" s="21"/>
      <c r="G1867" s="23">
        <v>0.23377229999999999</v>
      </c>
      <c r="H1867" s="23">
        <v>-0.18748680000000001</v>
      </c>
    </row>
    <row r="1868" spans="1:8" x14ac:dyDescent="0.35">
      <c r="A1868" s="23">
        <v>3.6445310000000002E-2</v>
      </c>
      <c r="B1868" s="23">
        <f t="shared" si="58"/>
        <v>-0.20050029999999999</v>
      </c>
      <c r="C1868" s="24"/>
      <c r="D1868" s="24">
        <f t="shared" si="59"/>
        <v>-78.014559748427672</v>
      </c>
      <c r="E1868" s="21"/>
      <c r="G1868" s="23">
        <v>0.24808630000000001</v>
      </c>
      <c r="H1868" s="23">
        <v>-0.20050029999999999</v>
      </c>
    </row>
    <row r="1869" spans="1:8" x14ac:dyDescent="0.35">
      <c r="A1869" s="23">
        <v>3.6464839999999998E-2</v>
      </c>
      <c r="B1869" s="23">
        <f t="shared" si="58"/>
        <v>-0.21140909999999999</v>
      </c>
      <c r="C1869" s="24"/>
      <c r="D1869" s="24">
        <f t="shared" si="59"/>
        <v>-81.805220125786164</v>
      </c>
      <c r="E1869" s="21"/>
      <c r="G1869" s="23">
        <v>0.2601406</v>
      </c>
      <c r="H1869" s="23">
        <v>-0.21140909999999999</v>
      </c>
    </row>
    <row r="1870" spans="1:8" x14ac:dyDescent="0.35">
      <c r="A1870" s="23">
        <v>3.6484370000000002E-2</v>
      </c>
      <c r="B1870" s="23">
        <f t="shared" si="58"/>
        <v>-0.22101589999999999</v>
      </c>
      <c r="C1870" s="24"/>
      <c r="D1870" s="24">
        <f t="shared" si="59"/>
        <v>-85.388018867924529</v>
      </c>
      <c r="E1870" s="21"/>
      <c r="G1870" s="23">
        <v>0.27153389999999999</v>
      </c>
      <c r="H1870" s="23">
        <v>-0.22101589999999999</v>
      </c>
    </row>
    <row r="1871" spans="1:8" x14ac:dyDescent="0.35">
      <c r="A1871" s="23">
        <v>3.6503910000000001E-2</v>
      </c>
      <c r="B1871" s="23">
        <f t="shared" si="58"/>
        <v>-0.2308143</v>
      </c>
      <c r="C1871" s="24"/>
      <c r="D1871" s="24">
        <f t="shared" si="59"/>
        <v>-88.929025157232701</v>
      </c>
      <c r="E1871" s="21"/>
      <c r="G1871" s="23">
        <v>0.2827943</v>
      </c>
      <c r="H1871" s="23">
        <v>-0.2308143</v>
      </c>
    </row>
    <row r="1872" spans="1:8" x14ac:dyDescent="0.35">
      <c r="A1872" s="23">
        <v>3.6523439999999997E-2</v>
      </c>
      <c r="B1872" s="23">
        <f t="shared" si="58"/>
        <v>-0.23963490000000001</v>
      </c>
      <c r="C1872" s="24"/>
      <c r="D1872" s="24">
        <f t="shared" si="59"/>
        <v>-91.994622641509423</v>
      </c>
      <c r="E1872" s="21"/>
      <c r="G1872" s="23">
        <v>0.29254289999999999</v>
      </c>
      <c r="H1872" s="23">
        <v>-0.23963490000000001</v>
      </c>
    </row>
    <row r="1873" spans="1:8" x14ac:dyDescent="0.35">
      <c r="A1873" s="23">
        <v>3.6542970000000001E-2</v>
      </c>
      <c r="B1873" s="23">
        <f t="shared" si="58"/>
        <v>-0.2464327</v>
      </c>
      <c r="C1873" s="24"/>
      <c r="D1873" s="24">
        <f t="shared" si="59"/>
        <v>-94.448333333333323</v>
      </c>
      <c r="E1873" s="21"/>
      <c r="G1873" s="23">
        <v>0.30034569999999999</v>
      </c>
      <c r="H1873" s="23">
        <v>-0.2464327</v>
      </c>
    </row>
    <row r="1874" spans="1:8" x14ac:dyDescent="0.35">
      <c r="A1874" s="23">
        <v>3.6562499999999998E-2</v>
      </c>
      <c r="B1874" s="23">
        <f t="shared" si="58"/>
        <v>-0.25275989999999998</v>
      </c>
      <c r="C1874" s="24"/>
      <c r="D1874" s="24">
        <f t="shared" si="59"/>
        <v>-96.707358490566037</v>
      </c>
      <c r="E1874" s="21"/>
      <c r="G1874" s="23">
        <v>0.30752940000000001</v>
      </c>
      <c r="H1874" s="23">
        <v>-0.25275989999999998</v>
      </c>
    </row>
    <row r="1875" spans="1:8" x14ac:dyDescent="0.35">
      <c r="A1875" s="23">
        <v>3.6582030000000001E-2</v>
      </c>
      <c r="B1875" s="23">
        <f t="shared" si="58"/>
        <v>-0.259544</v>
      </c>
      <c r="C1875" s="24"/>
      <c r="D1875" s="24">
        <f t="shared" si="59"/>
        <v>-99.160691823899356</v>
      </c>
      <c r="E1875" s="21"/>
      <c r="G1875" s="23">
        <v>0.31533099999999997</v>
      </c>
      <c r="H1875" s="23">
        <v>-0.259544</v>
      </c>
    </row>
    <row r="1876" spans="1:8" x14ac:dyDescent="0.35">
      <c r="A1876" s="23">
        <v>3.6601559999999998E-2</v>
      </c>
      <c r="B1876" s="23">
        <f t="shared" si="58"/>
        <v>-0.2649454</v>
      </c>
      <c r="C1876" s="24"/>
      <c r="D1876" s="24">
        <f t="shared" si="59"/>
        <v>-101.00603773584906</v>
      </c>
      <c r="E1876" s="21"/>
      <c r="G1876" s="23">
        <v>0.32119920000000002</v>
      </c>
      <c r="H1876" s="23">
        <v>-0.2649454</v>
      </c>
    </row>
    <row r="1877" spans="1:8" x14ac:dyDescent="0.35">
      <c r="A1877" s="23">
        <v>3.6621090000000002E-2</v>
      </c>
      <c r="B1877" s="23">
        <f t="shared" si="58"/>
        <v>-0.2680824</v>
      </c>
      <c r="C1877" s="24"/>
      <c r="D1877" s="24">
        <f t="shared" si="59"/>
        <v>-101.96886792452831</v>
      </c>
      <c r="E1877" s="21"/>
      <c r="G1877" s="23">
        <v>0.32426100000000002</v>
      </c>
      <c r="H1877" s="23">
        <v>-0.2680824</v>
      </c>
    </row>
    <row r="1878" spans="1:8" x14ac:dyDescent="0.35">
      <c r="A1878" s="23">
        <v>3.664063E-2</v>
      </c>
      <c r="B1878" s="23">
        <f t="shared" si="58"/>
        <v>-0.27064270000000001</v>
      </c>
      <c r="C1878" s="24"/>
      <c r="D1878" s="24">
        <f t="shared" si="59"/>
        <v>-102.85166666666665</v>
      </c>
      <c r="E1878" s="21"/>
      <c r="G1878" s="23">
        <v>0.32706829999999998</v>
      </c>
      <c r="H1878" s="23">
        <v>-0.27064270000000001</v>
      </c>
    </row>
    <row r="1879" spans="1:8" x14ac:dyDescent="0.35">
      <c r="A1879" s="23">
        <v>3.6660159999999997E-2</v>
      </c>
      <c r="B1879" s="23">
        <f t="shared" si="58"/>
        <v>-0.27210590000000001</v>
      </c>
      <c r="C1879" s="24"/>
      <c r="D1879" s="24">
        <f t="shared" si="59"/>
        <v>-103.2045283018868</v>
      </c>
      <c r="E1879" s="21"/>
      <c r="G1879" s="23">
        <v>0.32819039999999999</v>
      </c>
      <c r="H1879" s="23">
        <v>-0.27210590000000001</v>
      </c>
    </row>
    <row r="1880" spans="1:8" x14ac:dyDescent="0.35">
      <c r="A1880" s="23">
        <v>3.6679690000000001E-2</v>
      </c>
      <c r="B1880" s="23">
        <f t="shared" si="58"/>
        <v>-0.27176539999999999</v>
      </c>
      <c r="C1880" s="24"/>
      <c r="D1880" s="24">
        <f t="shared" si="59"/>
        <v>-102.90603773584905</v>
      </c>
      <c r="E1880" s="21"/>
      <c r="G1880" s="23">
        <v>0.32724120000000001</v>
      </c>
      <c r="H1880" s="23">
        <v>-0.27176539999999999</v>
      </c>
    </row>
    <row r="1881" spans="1:8" x14ac:dyDescent="0.35">
      <c r="A1881" s="23">
        <v>3.6699219999999998E-2</v>
      </c>
      <c r="B1881" s="23">
        <f t="shared" si="58"/>
        <v>-0.27169700000000002</v>
      </c>
      <c r="C1881" s="24"/>
      <c r="D1881" s="24">
        <f t="shared" si="59"/>
        <v>-102.82455974842767</v>
      </c>
      <c r="E1881" s="21"/>
      <c r="G1881" s="23">
        <v>0.3269821</v>
      </c>
      <c r="H1881" s="23">
        <v>-0.27169700000000002</v>
      </c>
    </row>
    <row r="1882" spans="1:8" x14ac:dyDescent="0.35">
      <c r="A1882" s="23">
        <v>3.6718750000000001E-2</v>
      </c>
      <c r="B1882" s="23">
        <f t="shared" si="58"/>
        <v>-0.27167259999999999</v>
      </c>
      <c r="C1882" s="24"/>
      <c r="D1882" s="24">
        <f t="shared" si="59"/>
        <v>-102.51798742138365</v>
      </c>
      <c r="E1882" s="21"/>
      <c r="G1882" s="23">
        <v>0.3260072</v>
      </c>
      <c r="H1882" s="23">
        <v>-0.27167259999999999</v>
      </c>
    </row>
    <row r="1883" spans="1:8" x14ac:dyDescent="0.35">
      <c r="A1883" s="23">
        <v>3.6738279999999998E-2</v>
      </c>
      <c r="B1883" s="23">
        <f t="shared" si="58"/>
        <v>-0.2694551</v>
      </c>
      <c r="C1883" s="24"/>
      <c r="D1883" s="24">
        <f t="shared" si="59"/>
        <v>-101.49025157232703</v>
      </c>
      <c r="E1883" s="21"/>
      <c r="G1883" s="23">
        <v>0.322739</v>
      </c>
      <c r="H1883" s="23">
        <v>-0.2694551</v>
      </c>
    </row>
    <row r="1884" spans="1:8" x14ac:dyDescent="0.35">
      <c r="A1884" s="23">
        <v>3.6757810000000002E-2</v>
      </c>
      <c r="B1884" s="23">
        <f t="shared" si="58"/>
        <v>-0.26519199999999998</v>
      </c>
      <c r="C1884" s="24"/>
      <c r="D1884" s="24">
        <f t="shared" si="59"/>
        <v>-99.892515723270449</v>
      </c>
      <c r="E1884" s="21"/>
      <c r="G1884" s="23">
        <v>0.3176582</v>
      </c>
      <c r="H1884" s="23">
        <v>-0.26519199999999998</v>
      </c>
    </row>
    <row r="1885" spans="1:8" x14ac:dyDescent="0.35">
      <c r="A1885" s="23">
        <v>3.6777339999999999E-2</v>
      </c>
      <c r="B1885" s="23">
        <f t="shared" si="58"/>
        <v>-0.26025169999999997</v>
      </c>
      <c r="C1885" s="24"/>
      <c r="D1885" s="24">
        <f t="shared" si="59"/>
        <v>-97.650345911949685</v>
      </c>
      <c r="E1885" s="21"/>
      <c r="G1885" s="23">
        <v>0.31052809999999997</v>
      </c>
      <c r="H1885" s="23">
        <v>-0.26025169999999997</v>
      </c>
    </row>
    <row r="1886" spans="1:8" x14ac:dyDescent="0.35">
      <c r="A1886" s="23">
        <v>3.6796870000000002E-2</v>
      </c>
      <c r="B1886" s="23">
        <f t="shared" si="58"/>
        <v>-0.25516450000000002</v>
      </c>
      <c r="C1886" s="24"/>
      <c r="D1886" s="24">
        <f t="shared" si="59"/>
        <v>-95.289528301886776</v>
      </c>
      <c r="E1886" s="21"/>
      <c r="G1886" s="23">
        <v>0.30302069999999998</v>
      </c>
      <c r="H1886" s="23">
        <v>-0.25516450000000002</v>
      </c>
    </row>
    <row r="1887" spans="1:8" x14ac:dyDescent="0.35">
      <c r="A1887" s="23">
        <v>3.6816410000000001E-2</v>
      </c>
      <c r="B1887" s="23">
        <f t="shared" si="58"/>
        <v>-0.2491505</v>
      </c>
      <c r="C1887" s="24"/>
      <c r="D1887" s="24">
        <f t="shared" si="59"/>
        <v>-92.828742138364774</v>
      </c>
      <c r="E1887" s="21"/>
      <c r="G1887" s="23">
        <v>0.2951954</v>
      </c>
      <c r="H1887" s="23">
        <v>-0.2491505</v>
      </c>
    </row>
    <row r="1888" spans="1:8" x14ac:dyDescent="0.35">
      <c r="A1888" s="23">
        <v>3.6835939999999998E-2</v>
      </c>
      <c r="B1888" s="23">
        <f t="shared" si="58"/>
        <v>-0.24216650000000001</v>
      </c>
      <c r="C1888" s="24"/>
      <c r="D1888" s="24">
        <f t="shared" si="59"/>
        <v>-89.816761006289298</v>
      </c>
      <c r="E1888" s="21"/>
      <c r="G1888" s="23">
        <v>0.28561730000000002</v>
      </c>
      <c r="H1888" s="23">
        <v>-0.24216650000000001</v>
      </c>
    </row>
    <row r="1889" spans="1:8" x14ac:dyDescent="0.35">
      <c r="A1889" s="23">
        <v>3.6855470000000001E-2</v>
      </c>
      <c r="B1889" s="23">
        <f t="shared" si="58"/>
        <v>-0.23498350000000001</v>
      </c>
      <c r="C1889" s="24"/>
      <c r="D1889" s="24">
        <f t="shared" si="59"/>
        <v>-86.669528301886785</v>
      </c>
      <c r="E1889" s="21"/>
      <c r="G1889" s="23">
        <v>0.2756091</v>
      </c>
      <c r="H1889" s="23">
        <v>-0.23498350000000001</v>
      </c>
    </row>
    <row r="1890" spans="1:8" x14ac:dyDescent="0.35">
      <c r="A1890" s="23">
        <v>3.6874999999999998E-2</v>
      </c>
      <c r="B1890" s="23">
        <f t="shared" si="58"/>
        <v>-0.22643079999999999</v>
      </c>
      <c r="C1890" s="24"/>
      <c r="D1890" s="24">
        <f t="shared" si="59"/>
        <v>-82.999559748427671</v>
      </c>
      <c r="E1890" s="21"/>
      <c r="G1890" s="23">
        <v>0.26393860000000002</v>
      </c>
      <c r="H1890" s="23">
        <v>-0.22643079999999999</v>
      </c>
    </row>
    <row r="1891" spans="1:8" x14ac:dyDescent="0.35">
      <c r="A1891" s="23">
        <v>3.6894530000000002E-2</v>
      </c>
      <c r="B1891" s="23">
        <f t="shared" si="58"/>
        <v>-0.216142</v>
      </c>
      <c r="C1891" s="24"/>
      <c r="D1891" s="24">
        <f t="shared" si="59"/>
        <v>-78.564779874213841</v>
      </c>
      <c r="E1891" s="21"/>
      <c r="G1891" s="23">
        <v>0.249836</v>
      </c>
      <c r="H1891" s="23">
        <v>-0.216142</v>
      </c>
    </row>
    <row r="1892" spans="1:8" x14ac:dyDescent="0.35">
      <c r="A1892" s="23">
        <v>3.6914059999999999E-2</v>
      </c>
      <c r="B1892" s="23">
        <f t="shared" si="58"/>
        <v>-0.2053807</v>
      </c>
      <c r="C1892" s="24"/>
      <c r="D1892" s="24">
        <f t="shared" si="59"/>
        <v>-74.08496855345912</v>
      </c>
      <c r="E1892" s="21"/>
      <c r="G1892" s="23">
        <v>0.2355902</v>
      </c>
      <c r="H1892" s="23">
        <v>-0.2053807</v>
      </c>
    </row>
    <row r="1893" spans="1:8" x14ac:dyDescent="0.35">
      <c r="A1893" s="23">
        <v>3.6933590000000002E-2</v>
      </c>
      <c r="B1893" s="23">
        <f t="shared" si="58"/>
        <v>-0.1943396</v>
      </c>
      <c r="C1893" s="24"/>
      <c r="D1893" s="24">
        <f t="shared" si="59"/>
        <v>-69.508899371069177</v>
      </c>
      <c r="E1893" s="21"/>
      <c r="G1893" s="23">
        <v>0.22103829999999999</v>
      </c>
      <c r="H1893" s="23">
        <v>-0.1943396</v>
      </c>
    </row>
    <row r="1894" spans="1:8" x14ac:dyDescent="0.35">
      <c r="A1894" s="23">
        <v>3.6953130000000001E-2</v>
      </c>
      <c r="B1894" s="23">
        <f t="shared" si="58"/>
        <v>-0.1828091</v>
      </c>
      <c r="C1894" s="24"/>
      <c r="D1894" s="24">
        <f t="shared" si="59"/>
        <v>-64.759528301886789</v>
      </c>
      <c r="E1894" s="21"/>
      <c r="G1894" s="23">
        <v>0.20593529999999999</v>
      </c>
      <c r="H1894" s="23">
        <v>-0.1828091</v>
      </c>
    </row>
    <row r="1895" spans="1:8" x14ac:dyDescent="0.35">
      <c r="A1895" s="23">
        <v>3.6972659999999997E-2</v>
      </c>
      <c r="B1895" s="23">
        <f t="shared" si="58"/>
        <v>-0.1703375</v>
      </c>
      <c r="C1895" s="24"/>
      <c r="D1895" s="24">
        <f t="shared" si="59"/>
        <v>-59.605251572327042</v>
      </c>
      <c r="E1895" s="21"/>
      <c r="G1895" s="23">
        <v>0.18954470000000001</v>
      </c>
      <c r="H1895" s="23">
        <v>-0.1703375</v>
      </c>
    </row>
    <row r="1896" spans="1:8" x14ac:dyDescent="0.35">
      <c r="A1896" s="23">
        <v>3.6992190000000001E-2</v>
      </c>
      <c r="B1896" s="23">
        <f t="shared" si="58"/>
        <v>-0.15651590000000001</v>
      </c>
      <c r="C1896" s="24"/>
      <c r="D1896" s="24">
        <f t="shared" si="59"/>
        <v>-53.940251572327043</v>
      </c>
      <c r="E1896" s="21"/>
      <c r="G1896" s="23">
        <v>0.17152999999999999</v>
      </c>
      <c r="H1896" s="23">
        <v>-0.15651590000000001</v>
      </c>
    </row>
    <row r="1897" spans="1:8" x14ac:dyDescent="0.35">
      <c r="A1897" s="23">
        <v>3.7011719999999998E-2</v>
      </c>
      <c r="B1897" s="23">
        <f t="shared" si="58"/>
        <v>-0.14183519999999999</v>
      </c>
      <c r="C1897" s="24"/>
      <c r="D1897" s="24">
        <f t="shared" si="59"/>
        <v>-48.184591194968554</v>
      </c>
      <c r="E1897" s="21"/>
      <c r="G1897" s="23">
        <v>0.153227</v>
      </c>
      <c r="H1897" s="23">
        <v>-0.14183519999999999</v>
      </c>
    </row>
    <row r="1898" spans="1:8" x14ac:dyDescent="0.35">
      <c r="A1898" s="23">
        <v>3.7031250000000002E-2</v>
      </c>
      <c r="B1898" s="23">
        <f t="shared" si="58"/>
        <v>-0.12674679999999999</v>
      </c>
      <c r="C1898" s="24"/>
      <c r="D1898" s="24">
        <f t="shared" si="59"/>
        <v>-42.007893081761004</v>
      </c>
      <c r="E1898" s="21"/>
      <c r="G1898" s="23">
        <v>0.13358510000000001</v>
      </c>
      <c r="H1898" s="23">
        <v>-0.12674679999999999</v>
      </c>
    </row>
    <row r="1899" spans="1:8" x14ac:dyDescent="0.35">
      <c r="A1899" s="23">
        <v>3.7050779999999998E-2</v>
      </c>
      <c r="B1899" s="23">
        <f t="shared" si="58"/>
        <v>-0.1111931</v>
      </c>
      <c r="C1899" s="24"/>
      <c r="D1899" s="24">
        <f t="shared" si="59"/>
        <v>-35.66503144654088</v>
      </c>
      <c r="E1899" s="21"/>
      <c r="G1899" s="23">
        <v>0.1134148</v>
      </c>
      <c r="H1899" s="23">
        <v>-0.1111931</v>
      </c>
    </row>
    <row r="1900" spans="1:8" x14ac:dyDescent="0.35">
      <c r="A1900" s="23">
        <v>3.7070310000000002E-2</v>
      </c>
      <c r="B1900" s="23">
        <f t="shared" si="58"/>
        <v>-9.5668370000000003E-2</v>
      </c>
      <c r="C1900" s="24"/>
      <c r="D1900" s="24">
        <f t="shared" si="59"/>
        <v>-29.704257861635217</v>
      </c>
      <c r="E1900" s="21"/>
      <c r="G1900" s="23">
        <v>9.4459539999999995E-2</v>
      </c>
      <c r="H1900" s="23">
        <v>-9.5668370000000003E-2</v>
      </c>
    </row>
    <row r="1901" spans="1:8" x14ac:dyDescent="0.35">
      <c r="A1901" s="23">
        <v>3.7089839999999999E-2</v>
      </c>
      <c r="B1901" s="23">
        <f t="shared" si="58"/>
        <v>-8.0260639999999994E-2</v>
      </c>
      <c r="C1901" s="24"/>
      <c r="D1901" s="24">
        <f t="shared" si="59"/>
        <v>-23.488748427672956</v>
      </c>
      <c r="E1901" s="21"/>
      <c r="G1901" s="23">
        <v>7.4694220000000006E-2</v>
      </c>
      <c r="H1901" s="23">
        <v>-8.0260639999999994E-2</v>
      </c>
    </row>
    <row r="1902" spans="1:8" x14ac:dyDescent="0.35">
      <c r="A1902" s="23">
        <v>3.7109379999999997E-2</v>
      </c>
      <c r="B1902" s="23">
        <f t="shared" si="58"/>
        <v>-6.3693910000000006E-2</v>
      </c>
      <c r="C1902" s="24"/>
      <c r="D1902" s="24">
        <f t="shared" si="59"/>
        <v>-16.996584905660377</v>
      </c>
      <c r="E1902" s="21"/>
      <c r="G1902" s="23">
        <v>5.4049140000000002E-2</v>
      </c>
      <c r="H1902" s="23">
        <v>-6.3693910000000006E-2</v>
      </c>
    </row>
    <row r="1903" spans="1:8" x14ac:dyDescent="0.35">
      <c r="A1903" s="23">
        <v>3.7128910000000001E-2</v>
      </c>
      <c r="B1903" s="23">
        <f t="shared" si="58"/>
        <v>-4.6846430000000001E-2</v>
      </c>
      <c r="C1903" s="24"/>
      <c r="D1903" s="24">
        <f t="shared" si="59"/>
        <v>-10.663081761006289</v>
      </c>
      <c r="E1903" s="21"/>
      <c r="G1903" s="23">
        <v>3.3908599999999997E-2</v>
      </c>
      <c r="H1903" s="23">
        <v>-4.6846430000000001E-2</v>
      </c>
    </row>
    <row r="1904" spans="1:8" x14ac:dyDescent="0.35">
      <c r="A1904" s="23">
        <v>3.7148439999999998E-2</v>
      </c>
      <c r="B1904" s="23">
        <f t="shared" si="58"/>
        <v>-3.0440979999999999E-2</v>
      </c>
      <c r="C1904" s="24"/>
      <c r="D1904" s="24">
        <f t="shared" si="59"/>
        <v>-4.0248836477987417</v>
      </c>
      <c r="E1904" s="21"/>
      <c r="G1904" s="23">
        <v>1.2799130000000001E-2</v>
      </c>
      <c r="H1904" s="23">
        <v>-3.0440979999999999E-2</v>
      </c>
    </row>
    <row r="1905" spans="1:8" x14ac:dyDescent="0.35">
      <c r="A1905" s="23">
        <v>3.7167970000000002E-2</v>
      </c>
      <c r="B1905" s="23">
        <f t="shared" si="58"/>
        <v>-1.340366E-2</v>
      </c>
      <c r="C1905" s="24"/>
      <c r="D1905" s="24">
        <f t="shared" si="59"/>
        <v>2.7648839622641512</v>
      </c>
      <c r="E1905" s="21"/>
      <c r="G1905" s="23">
        <v>-8.7923310000000005E-3</v>
      </c>
      <c r="H1905" s="23">
        <v>-1.340366E-2</v>
      </c>
    </row>
    <row r="1906" spans="1:8" x14ac:dyDescent="0.35">
      <c r="A1906" s="23">
        <v>3.7187499999999998E-2</v>
      </c>
      <c r="B1906" s="23">
        <f t="shared" si="58"/>
        <v>3.3065210000000002E-3</v>
      </c>
      <c r="C1906" s="24"/>
      <c r="D1906" s="24">
        <f t="shared" si="59"/>
        <v>9.2046320754716966</v>
      </c>
      <c r="E1906" s="21"/>
      <c r="G1906" s="23">
        <v>-2.9270729999999998E-2</v>
      </c>
      <c r="H1906" s="23">
        <v>3.3065210000000002E-3</v>
      </c>
    </row>
    <row r="1907" spans="1:8" x14ac:dyDescent="0.35">
      <c r="A1907" s="23">
        <v>3.7207030000000002E-2</v>
      </c>
      <c r="B1907" s="23">
        <f t="shared" si="58"/>
        <v>1.8994110000000002E-2</v>
      </c>
      <c r="C1907" s="24"/>
      <c r="D1907" s="24">
        <f t="shared" si="59"/>
        <v>15.457949685534588</v>
      </c>
      <c r="E1907" s="21"/>
      <c r="G1907" s="23">
        <v>-4.9156279999999997E-2</v>
      </c>
      <c r="H1907" s="23">
        <v>1.8994110000000002E-2</v>
      </c>
    </row>
    <row r="1908" spans="1:8" x14ac:dyDescent="0.35">
      <c r="A1908" s="23">
        <v>3.7226559999999999E-2</v>
      </c>
      <c r="B1908" s="23">
        <f t="shared" si="58"/>
        <v>3.4346769999999999E-2</v>
      </c>
      <c r="C1908" s="24"/>
      <c r="D1908" s="24">
        <f t="shared" si="59"/>
        <v>21.602738993710691</v>
      </c>
      <c r="E1908" s="21"/>
      <c r="G1908" s="23">
        <v>-6.8696709999999994E-2</v>
      </c>
      <c r="H1908" s="23">
        <v>3.4346769999999999E-2</v>
      </c>
    </row>
    <row r="1909" spans="1:8" x14ac:dyDescent="0.35">
      <c r="A1909" s="23">
        <v>3.7246090000000003E-2</v>
      </c>
      <c r="B1909" s="23">
        <f t="shared" si="58"/>
        <v>5.0849850000000002E-2</v>
      </c>
      <c r="C1909" s="24"/>
      <c r="D1909" s="24">
        <f t="shared" si="59"/>
        <v>27.957591194968547</v>
      </c>
      <c r="E1909" s="21"/>
      <c r="G1909" s="23">
        <v>-8.8905139999999994E-2</v>
      </c>
      <c r="H1909" s="23">
        <v>5.0849850000000002E-2</v>
      </c>
    </row>
    <row r="1910" spans="1:8" x14ac:dyDescent="0.35">
      <c r="A1910" s="23">
        <v>3.7265630000000001E-2</v>
      </c>
      <c r="B1910" s="23">
        <f t="shared" si="58"/>
        <v>6.7776489999999995E-2</v>
      </c>
      <c r="C1910" s="24"/>
      <c r="D1910" s="24">
        <f t="shared" si="59"/>
        <v>34.294968553459121</v>
      </c>
      <c r="E1910" s="21"/>
      <c r="G1910" s="23">
        <v>-0.109058</v>
      </c>
      <c r="H1910" s="23">
        <v>6.7776489999999995E-2</v>
      </c>
    </row>
    <row r="1911" spans="1:8" x14ac:dyDescent="0.35">
      <c r="A1911" s="23">
        <v>3.7285159999999998E-2</v>
      </c>
      <c r="B1911" s="23">
        <f t="shared" si="58"/>
        <v>8.3090410000000003E-2</v>
      </c>
      <c r="C1911" s="24"/>
      <c r="D1911" s="24">
        <f t="shared" si="59"/>
        <v>40.223584905660374</v>
      </c>
      <c r="E1911" s="21"/>
      <c r="G1911" s="23">
        <v>-0.127911</v>
      </c>
      <c r="H1911" s="23">
        <v>8.3090410000000003E-2</v>
      </c>
    </row>
    <row r="1912" spans="1:8" x14ac:dyDescent="0.35">
      <c r="A1912" s="23">
        <v>3.7304690000000001E-2</v>
      </c>
      <c r="B1912" s="23">
        <f t="shared" si="58"/>
        <v>9.8654030000000004E-2</v>
      </c>
      <c r="C1912" s="24"/>
      <c r="D1912" s="24">
        <f t="shared" si="59"/>
        <v>46.24883647798741</v>
      </c>
      <c r="E1912" s="21"/>
      <c r="G1912" s="23">
        <v>-0.14707129999999999</v>
      </c>
      <c r="H1912" s="23">
        <v>9.8654030000000004E-2</v>
      </c>
    </row>
    <row r="1913" spans="1:8" x14ac:dyDescent="0.35">
      <c r="A1913" s="23">
        <v>3.7324219999999998E-2</v>
      </c>
      <c r="B1913" s="23">
        <f t="shared" si="58"/>
        <v>0.1138752</v>
      </c>
      <c r="C1913" s="24"/>
      <c r="D1913" s="24">
        <f t="shared" si="59"/>
        <v>51.860314465408798</v>
      </c>
      <c r="E1913" s="21"/>
      <c r="G1913" s="23">
        <v>-0.1649158</v>
      </c>
      <c r="H1913" s="23">
        <v>0.1138752</v>
      </c>
    </row>
    <row r="1914" spans="1:8" x14ac:dyDescent="0.35">
      <c r="A1914" s="23">
        <v>3.7343750000000002E-2</v>
      </c>
      <c r="B1914" s="23">
        <f t="shared" si="58"/>
        <v>0.12699579999999999</v>
      </c>
      <c r="C1914" s="24"/>
      <c r="D1914" s="24">
        <f t="shared" si="59"/>
        <v>56.79128930817609</v>
      </c>
      <c r="E1914" s="21"/>
      <c r="G1914" s="23">
        <v>-0.18059629999999999</v>
      </c>
      <c r="H1914" s="23">
        <v>0.12699579999999999</v>
      </c>
    </row>
    <row r="1915" spans="1:8" x14ac:dyDescent="0.35">
      <c r="A1915" s="23">
        <v>3.7363279999999999E-2</v>
      </c>
      <c r="B1915" s="23">
        <f t="shared" si="58"/>
        <v>0.14037230000000001</v>
      </c>
      <c r="C1915" s="24"/>
      <c r="D1915" s="24">
        <f t="shared" si="59"/>
        <v>61.962735849056607</v>
      </c>
      <c r="E1915" s="21"/>
      <c r="G1915" s="23">
        <v>-0.19704150000000001</v>
      </c>
      <c r="H1915" s="23">
        <v>0.14037230000000001</v>
      </c>
    </row>
    <row r="1916" spans="1:8" x14ac:dyDescent="0.35">
      <c r="A1916" s="23">
        <v>3.7382810000000002E-2</v>
      </c>
      <c r="B1916" s="23">
        <f t="shared" si="58"/>
        <v>0.15415110000000001</v>
      </c>
      <c r="C1916" s="24"/>
      <c r="D1916" s="24">
        <f t="shared" si="59"/>
        <v>67.08389937106918</v>
      </c>
      <c r="E1916" s="21"/>
      <c r="G1916" s="23">
        <v>-0.21332680000000001</v>
      </c>
      <c r="H1916" s="23">
        <v>0.15415110000000001</v>
      </c>
    </row>
    <row r="1917" spans="1:8" x14ac:dyDescent="0.35">
      <c r="A1917" s="23">
        <v>3.7402339999999999E-2</v>
      </c>
      <c r="B1917" s="23">
        <f t="shared" si="58"/>
        <v>0.1665934</v>
      </c>
      <c r="C1917" s="24"/>
      <c r="D1917" s="24">
        <f t="shared" si="59"/>
        <v>71.717452830188677</v>
      </c>
      <c r="E1917" s="21"/>
      <c r="G1917" s="23">
        <v>-0.2280615</v>
      </c>
      <c r="H1917" s="23">
        <v>0.1665934</v>
      </c>
    </row>
    <row r="1918" spans="1:8" x14ac:dyDescent="0.35">
      <c r="A1918" s="23">
        <v>3.7421879999999998E-2</v>
      </c>
      <c r="B1918" s="23">
        <f t="shared" si="58"/>
        <v>0.17798230000000001</v>
      </c>
      <c r="C1918" s="24"/>
      <c r="D1918" s="24">
        <f t="shared" si="59"/>
        <v>76.204685534591192</v>
      </c>
      <c r="E1918" s="21"/>
      <c r="G1918" s="23">
        <v>-0.24233089999999999</v>
      </c>
      <c r="H1918" s="23">
        <v>0.17798230000000001</v>
      </c>
    </row>
    <row r="1919" spans="1:8" x14ac:dyDescent="0.35">
      <c r="A1919" s="23">
        <v>3.7441410000000001E-2</v>
      </c>
      <c r="B1919" s="23">
        <f t="shared" si="58"/>
        <v>0.1884661</v>
      </c>
      <c r="C1919" s="24"/>
      <c r="D1919" s="24">
        <f t="shared" si="59"/>
        <v>80.130345911949689</v>
      </c>
      <c r="E1919" s="21"/>
      <c r="G1919" s="23">
        <v>-0.2548145</v>
      </c>
      <c r="H1919" s="23">
        <v>0.1884661</v>
      </c>
    </row>
    <row r="1920" spans="1:8" x14ac:dyDescent="0.35">
      <c r="A1920" s="23">
        <v>3.7460939999999998E-2</v>
      </c>
      <c r="B1920" s="23">
        <f t="shared" si="58"/>
        <v>0.19780639999999999</v>
      </c>
      <c r="C1920" s="24"/>
      <c r="D1920" s="24">
        <f t="shared" si="59"/>
        <v>83.483899371069185</v>
      </c>
      <c r="E1920" s="21"/>
      <c r="G1920" s="23">
        <v>-0.26547880000000001</v>
      </c>
      <c r="H1920" s="23">
        <v>0.19780639999999999</v>
      </c>
    </row>
    <row r="1921" spans="1:8" x14ac:dyDescent="0.35">
      <c r="A1921" s="23">
        <v>3.7480470000000002E-2</v>
      </c>
      <c r="B1921" s="23">
        <f t="shared" si="58"/>
        <v>0.20660990000000001</v>
      </c>
      <c r="C1921" s="24"/>
      <c r="D1921" s="24">
        <f t="shared" si="59"/>
        <v>86.904088050314471</v>
      </c>
      <c r="E1921" s="21"/>
      <c r="G1921" s="23">
        <v>-0.27635500000000002</v>
      </c>
      <c r="H1921" s="23">
        <v>0.20660990000000001</v>
      </c>
    </row>
    <row r="1922" spans="1:8" x14ac:dyDescent="0.35">
      <c r="A1922" s="23">
        <v>3.7499999999999999E-2</v>
      </c>
      <c r="B1922" s="23">
        <f t="shared" ref="B1922:B1985" si="60">H1922</f>
        <v>0.2151322</v>
      </c>
      <c r="C1922" s="24"/>
      <c r="D1922" s="24">
        <f t="shared" ref="D1922:D1985" si="61">G1922*-1000/3.18</f>
        <v>90.091383647798722</v>
      </c>
      <c r="E1922" s="21"/>
      <c r="G1922" s="23">
        <v>-0.28649059999999998</v>
      </c>
      <c r="H1922" s="23">
        <v>0.2151322</v>
      </c>
    </row>
    <row r="1923" spans="1:8" x14ac:dyDescent="0.35">
      <c r="A1923" s="23">
        <v>3.7519530000000002E-2</v>
      </c>
      <c r="B1923" s="23">
        <f t="shared" si="60"/>
        <v>0.22306200000000001</v>
      </c>
      <c r="C1923" s="24"/>
      <c r="D1923" s="24">
        <f t="shared" si="61"/>
        <v>92.985660377358499</v>
      </c>
      <c r="E1923" s="21"/>
      <c r="G1923" s="23">
        <v>-0.29569440000000002</v>
      </c>
      <c r="H1923" s="23">
        <v>0.22306200000000001</v>
      </c>
    </row>
    <row r="1924" spans="1:8" x14ac:dyDescent="0.35">
      <c r="A1924" s="23">
        <v>3.7539059999999999E-2</v>
      </c>
      <c r="B1924" s="23">
        <f t="shared" si="60"/>
        <v>0.229439</v>
      </c>
      <c r="C1924" s="24"/>
      <c r="D1924" s="24">
        <f t="shared" si="61"/>
        <v>95.377830188679226</v>
      </c>
      <c r="E1924" s="21"/>
      <c r="G1924" s="23">
        <v>-0.3033015</v>
      </c>
      <c r="H1924" s="23">
        <v>0.229439</v>
      </c>
    </row>
    <row r="1925" spans="1:8" x14ac:dyDescent="0.35">
      <c r="A1925" s="23">
        <v>3.7558590000000003E-2</v>
      </c>
      <c r="B1925" s="23">
        <f t="shared" si="60"/>
        <v>0.234069</v>
      </c>
      <c r="C1925" s="24"/>
      <c r="D1925" s="24">
        <f t="shared" si="61"/>
        <v>96.992704402515713</v>
      </c>
      <c r="E1925" s="21"/>
      <c r="G1925" s="23">
        <v>-0.30843680000000001</v>
      </c>
      <c r="H1925" s="23">
        <v>0.234069</v>
      </c>
    </row>
    <row r="1926" spans="1:8" x14ac:dyDescent="0.35">
      <c r="A1926" s="23">
        <v>3.7578130000000001E-2</v>
      </c>
      <c r="B1926" s="23">
        <f t="shared" si="60"/>
        <v>0.23859250000000001</v>
      </c>
      <c r="C1926" s="24"/>
      <c r="D1926" s="24">
        <f t="shared" si="61"/>
        <v>98.648647798742132</v>
      </c>
      <c r="E1926" s="21"/>
      <c r="G1926" s="23">
        <v>-0.3137027</v>
      </c>
      <c r="H1926" s="23">
        <v>0.23859250000000001</v>
      </c>
    </row>
    <row r="1927" spans="1:8" x14ac:dyDescent="0.35">
      <c r="A1927" s="23">
        <v>3.7597659999999998E-2</v>
      </c>
      <c r="B1927" s="23">
        <f t="shared" si="60"/>
        <v>0.24250089999999999</v>
      </c>
      <c r="C1927" s="24"/>
      <c r="D1927" s="24">
        <f t="shared" si="61"/>
        <v>100.01210691823898</v>
      </c>
      <c r="E1927" s="21"/>
      <c r="G1927" s="23">
        <v>-0.3180385</v>
      </c>
      <c r="H1927" s="23">
        <v>0.24250089999999999</v>
      </c>
    </row>
    <row r="1928" spans="1:8" x14ac:dyDescent="0.35">
      <c r="A1928" s="23">
        <v>3.7617190000000002E-2</v>
      </c>
      <c r="B1928" s="23">
        <f t="shared" si="60"/>
        <v>0.2455619</v>
      </c>
      <c r="C1928" s="24"/>
      <c r="D1928" s="24">
        <f t="shared" si="61"/>
        <v>100.92248427672955</v>
      </c>
      <c r="E1928" s="21"/>
      <c r="G1928" s="23">
        <v>-0.32093349999999998</v>
      </c>
      <c r="H1928" s="23">
        <v>0.2455619</v>
      </c>
    </row>
    <row r="1929" spans="1:8" x14ac:dyDescent="0.35">
      <c r="A1929" s="23">
        <v>3.7636719999999999E-2</v>
      </c>
      <c r="B1929" s="23">
        <f t="shared" si="60"/>
        <v>0.24888160000000001</v>
      </c>
      <c r="C1929" s="24"/>
      <c r="D1929" s="24">
        <f t="shared" si="61"/>
        <v>101.90720125786162</v>
      </c>
      <c r="E1929" s="21"/>
      <c r="G1929" s="23">
        <v>-0.32406489999999999</v>
      </c>
      <c r="H1929" s="23">
        <v>0.24888160000000001</v>
      </c>
    </row>
    <row r="1930" spans="1:8" x14ac:dyDescent="0.35">
      <c r="A1930" s="23">
        <v>3.7656250000000002E-2</v>
      </c>
      <c r="B1930" s="23">
        <f t="shared" si="60"/>
        <v>0.25056640000000002</v>
      </c>
      <c r="C1930" s="24"/>
      <c r="D1930" s="24">
        <f t="shared" si="61"/>
        <v>102.12427672955974</v>
      </c>
      <c r="E1930" s="21"/>
      <c r="G1930" s="23">
        <v>-0.32475520000000002</v>
      </c>
      <c r="H1930" s="23">
        <v>0.25056640000000002</v>
      </c>
    </row>
    <row r="1931" spans="1:8" x14ac:dyDescent="0.35">
      <c r="A1931" s="23">
        <v>3.7675779999999999E-2</v>
      </c>
      <c r="B1931" s="23">
        <f t="shared" si="60"/>
        <v>0.25049260000000001</v>
      </c>
      <c r="C1931" s="24"/>
      <c r="D1931" s="24">
        <f t="shared" si="61"/>
        <v>101.69459119496855</v>
      </c>
      <c r="E1931" s="21"/>
      <c r="G1931" s="23">
        <v>-0.32338879999999998</v>
      </c>
      <c r="H1931" s="23">
        <v>0.25049260000000001</v>
      </c>
    </row>
    <row r="1932" spans="1:8" x14ac:dyDescent="0.35">
      <c r="A1932" s="23">
        <v>3.7695310000000003E-2</v>
      </c>
      <c r="B1932" s="23">
        <f t="shared" si="60"/>
        <v>0.25027319999999997</v>
      </c>
      <c r="C1932" s="24"/>
      <c r="D1932" s="24">
        <f t="shared" si="61"/>
        <v>101.18157232704402</v>
      </c>
      <c r="E1932" s="21"/>
      <c r="G1932" s="23">
        <v>-0.32175740000000003</v>
      </c>
      <c r="H1932" s="23">
        <v>0.25027319999999997</v>
      </c>
    </row>
    <row r="1933" spans="1:8" x14ac:dyDescent="0.35">
      <c r="A1933" s="23">
        <v>3.7714839999999999E-2</v>
      </c>
      <c r="B1933" s="23">
        <f t="shared" si="60"/>
        <v>0.2495985</v>
      </c>
      <c r="C1933" s="24"/>
      <c r="D1933" s="24">
        <f t="shared" si="61"/>
        <v>100.21694968553459</v>
      </c>
      <c r="E1933" s="21"/>
      <c r="G1933" s="23">
        <v>-0.31868990000000003</v>
      </c>
      <c r="H1933" s="23">
        <v>0.2495985</v>
      </c>
    </row>
    <row r="1934" spans="1:8" x14ac:dyDescent="0.35">
      <c r="A1934" s="23">
        <v>3.7734379999999998E-2</v>
      </c>
      <c r="B1934" s="23">
        <f t="shared" si="60"/>
        <v>0.2482984</v>
      </c>
      <c r="C1934" s="24"/>
      <c r="D1934" s="24">
        <f t="shared" si="61"/>
        <v>99.088050314465391</v>
      </c>
      <c r="E1934" s="21"/>
      <c r="G1934" s="23">
        <v>-0.31509999999999999</v>
      </c>
      <c r="H1934" s="23">
        <v>0.2482984</v>
      </c>
    </row>
    <row r="1935" spans="1:8" x14ac:dyDescent="0.35">
      <c r="A1935" s="23">
        <v>3.7753910000000002E-2</v>
      </c>
      <c r="B1935" s="23">
        <f t="shared" si="60"/>
        <v>0.24601529999999999</v>
      </c>
      <c r="C1935" s="24"/>
      <c r="D1935" s="24">
        <f t="shared" si="61"/>
        <v>97.761886792452842</v>
      </c>
      <c r="E1935" s="21"/>
      <c r="G1935" s="23">
        <v>-0.31088280000000001</v>
      </c>
      <c r="H1935" s="23">
        <v>0.24601529999999999</v>
      </c>
    </row>
    <row r="1936" spans="1:8" x14ac:dyDescent="0.35">
      <c r="A1936" s="23">
        <v>3.7773439999999998E-2</v>
      </c>
      <c r="B1936" s="23">
        <f t="shared" si="60"/>
        <v>0.2428256</v>
      </c>
      <c r="C1936" s="24"/>
      <c r="D1936" s="24">
        <f t="shared" si="61"/>
        <v>95.892327044025151</v>
      </c>
      <c r="E1936" s="21"/>
      <c r="G1936" s="23">
        <v>-0.30493759999999998</v>
      </c>
      <c r="H1936" s="23">
        <v>0.2428256</v>
      </c>
    </row>
    <row r="1937" spans="1:8" x14ac:dyDescent="0.35">
      <c r="A1937" s="23">
        <v>3.7792970000000002E-2</v>
      </c>
      <c r="B1937" s="23">
        <f t="shared" si="60"/>
        <v>0.2390129</v>
      </c>
      <c r="C1937" s="24"/>
      <c r="D1937" s="24">
        <f t="shared" si="61"/>
        <v>93.649213836477983</v>
      </c>
      <c r="E1937" s="21"/>
      <c r="G1937" s="23">
        <v>-0.29780450000000003</v>
      </c>
      <c r="H1937" s="23">
        <v>0.2390129</v>
      </c>
    </row>
    <row r="1938" spans="1:8" x14ac:dyDescent="0.35">
      <c r="A1938" s="23">
        <v>3.7812499999999999E-2</v>
      </c>
      <c r="B1938" s="23">
        <f t="shared" si="60"/>
        <v>0.23411860000000001</v>
      </c>
      <c r="C1938" s="24"/>
      <c r="D1938" s="24">
        <f t="shared" si="61"/>
        <v>90.831855345911947</v>
      </c>
      <c r="E1938" s="21"/>
      <c r="G1938" s="23">
        <v>-0.28884530000000003</v>
      </c>
      <c r="H1938" s="23">
        <v>0.23411860000000001</v>
      </c>
    </row>
    <row r="1939" spans="1:8" x14ac:dyDescent="0.35">
      <c r="A1939" s="23">
        <v>3.7832030000000003E-2</v>
      </c>
      <c r="B1939" s="23">
        <f t="shared" si="60"/>
        <v>0.22823299999999999</v>
      </c>
      <c r="C1939" s="24"/>
      <c r="D1939" s="24">
        <f t="shared" si="61"/>
        <v>87.786383647798729</v>
      </c>
      <c r="E1939" s="21"/>
      <c r="G1939" s="23">
        <v>-0.27916069999999998</v>
      </c>
      <c r="H1939" s="23">
        <v>0.22823299999999999</v>
      </c>
    </row>
    <row r="1940" spans="1:8" x14ac:dyDescent="0.35">
      <c r="A1940" s="23">
        <v>3.7851559999999999E-2</v>
      </c>
      <c r="B1940" s="23">
        <f t="shared" si="60"/>
        <v>0.22275159999999999</v>
      </c>
      <c r="C1940" s="24"/>
      <c r="D1940" s="24">
        <f t="shared" si="61"/>
        <v>84.894496855345906</v>
      </c>
      <c r="E1940" s="21"/>
      <c r="G1940" s="23">
        <v>-0.2699645</v>
      </c>
      <c r="H1940" s="23">
        <v>0.22275159999999999</v>
      </c>
    </row>
    <row r="1941" spans="1:8" x14ac:dyDescent="0.35">
      <c r="A1941" s="23">
        <v>3.7871090000000003E-2</v>
      </c>
      <c r="B1941" s="23">
        <f t="shared" si="60"/>
        <v>0.2169074</v>
      </c>
      <c r="C1941" s="24"/>
      <c r="D1941" s="24">
        <f t="shared" si="61"/>
        <v>81.406163522012577</v>
      </c>
      <c r="E1941" s="21"/>
      <c r="G1941" s="23">
        <v>-0.25887159999999998</v>
      </c>
      <c r="H1941" s="23">
        <v>0.2169074</v>
      </c>
    </row>
    <row r="1942" spans="1:8" x14ac:dyDescent="0.35">
      <c r="A1942" s="23">
        <v>3.7890630000000002E-2</v>
      </c>
      <c r="B1942" s="23">
        <f t="shared" si="60"/>
        <v>0.20822160000000001</v>
      </c>
      <c r="C1942" s="24"/>
      <c r="D1942" s="24">
        <f t="shared" si="61"/>
        <v>77.485031446540873</v>
      </c>
      <c r="E1942" s="21"/>
      <c r="G1942" s="23">
        <v>-0.24640239999999999</v>
      </c>
      <c r="H1942" s="23">
        <v>0.20822160000000001</v>
      </c>
    </row>
    <row r="1943" spans="1:8" x14ac:dyDescent="0.35">
      <c r="A1943" s="23">
        <v>3.7910159999999998E-2</v>
      </c>
      <c r="B1943" s="23">
        <f t="shared" si="60"/>
        <v>0.1992071</v>
      </c>
      <c r="C1943" s="24"/>
      <c r="D1943" s="24">
        <f t="shared" si="61"/>
        <v>73.524119496855349</v>
      </c>
      <c r="E1943" s="21"/>
      <c r="G1943" s="23">
        <v>-0.23380670000000001</v>
      </c>
      <c r="H1943" s="23">
        <v>0.1992071</v>
      </c>
    </row>
    <row r="1944" spans="1:8" x14ac:dyDescent="0.35">
      <c r="A1944" s="23">
        <v>3.7929690000000002E-2</v>
      </c>
      <c r="B1944" s="23">
        <f t="shared" si="60"/>
        <v>0.18975259999999999</v>
      </c>
      <c r="C1944" s="24"/>
      <c r="D1944" s="24">
        <f t="shared" si="61"/>
        <v>68.887610062893074</v>
      </c>
      <c r="E1944" s="21"/>
      <c r="G1944" s="23">
        <v>-0.2190626</v>
      </c>
      <c r="H1944" s="23">
        <v>0.18975259999999999</v>
      </c>
    </row>
    <row r="1945" spans="1:8" x14ac:dyDescent="0.35">
      <c r="A1945" s="23">
        <v>3.7949219999999999E-2</v>
      </c>
      <c r="B1945" s="23">
        <f t="shared" si="60"/>
        <v>0.17856349999999999</v>
      </c>
      <c r="C1945" s="24"/>
      <c r="D1945" s="24">
        <f t="shared" si="61"/>
        <v>63.848553459119493</v>
      </c>
      <c r="E1945" s="21"/>
      <c r="G1945" s="23">
        <v>-0.20303840000000001</v>
      </c>
      <c r="H1945" s="23">
        <v>0.17856349999999999</v>
      </c>
    </row>
    <row r="1946" spans="1:8" x14ac:dyDescent="0.35">
      <c r="A1946" s="23">
        <v>3.7968750000000002E-2</v>
      </c>
      <c r="B1946" s="23">
        <f t="shared" si="60"/>
        <v>0.16870879999999999</v>
      </c>
      <c r="C1946" s="24"/>
      <c r="D1946" s="24">
        <f t="shared" si="61"/>
        <v>59.065314465408797</v>
      </c>
      <c r="E1946" s="21"/>
      <c r="G1946" s="23">
        <v>-0.18782769999999999</v>
      </c>
      <c r="H1946" s="23">
        <v>0.16870879999999999</v>
      </c>
    </row>
    <row r="1947" spans="1:8" x14ac:dyDescent="0.35">
      <c r="A1947" s="23">
        <v>3.7988279999999999E-2</v>
      </c>
      <c r="B1947" s="23">
        <f t="shared" si="60"/>
        <v>0.15862560000000001</v>
      </c>
      <c r="C1947" s="24"/>
      <c r="D1947" s="24">
        <f t="shared" si="61"/>
        <v>54.326729559748422</v>
      </c>
      <c r="E1947" s="21"/>
      <c r="G1947" s="23">
        <v>-0.172759</v>
      </c>
      <c r="H1947" s="23">
        <v>0.15862560000000001</v>
      </c>
    </row>
    <row r="1948" spans="1:8" x14ac:dyDescent="0.35">
      <c r="A1948" s="23">
        <v>3.8007810000000003E-2</v>
      </c>
      <c r="B1948" s="23">
        <f t="shared" si="60"/>
        <v>0.14756610000000001</v>
      </c>
      <c r="C1948" s="24"/>
      <c r="D1948" s="24">
        <f t="shared" si="61"/>
        <v>49.231761006289304</v>
      </c>
      <c r="E1948" s="21"/>
      <c r="G1948" s="23">
        <v>-0.156557</v>
      </c>
      <c r="H1948" s="23">
        <v>0.14756610000000001</v>
      </c>
    </row>
    <row r="1949" spans="1:8" x14ac:dyDescent="0.35">
      <c r="A1949" s="23">
        <v>3.802734E-2</v>
      </c>
      <c r="B1949" s="23">
        <f t="shared" si="60"/>
        <v>0.13525329999999999</v>
      </c>
      <c r="C1949" s="24"/>
      <c r="D1949" s="24">
        <f t="shared" si="61"/>
        <v>43.657955974842764</v>
      </c>
      <c r="E1949" s="21"/>
      <c r="G1949" s="23">
        <v>-0.13883229999999999</v>
      </c>
      <c r="H1949" s="23">
        <v>0.13525329999999999</v>
      </c>
    </row>
    <row r="1950" spans="1:8" x14ac:dyDescent="0.35">
      <c r="A1950" s="23">
        <v>3.8046879999999998E-2</v>
      </c>
      <c r="B1950" s="23">
        <f t="shared" si="60"/>
        <v>0.1218166</v>
      </c>
      <c r="C1950" s="24"/>
      <c r="D1950" s="24">
        <f t="shared" si="61"/>
        <v>37.754905660377361</v>
      </c>
      <c r="E1950" s="21"/>
      <c r="G1950" s="23">
        <v>-0.1200606</v>
      </c>
      <c r="H1950" s="23">
        <v>0.1218166</v>
      </c>
    </row>
    <row r="1951" spans="1:8" x14ac:dyDescent="0.35">
      <c r="A1951" s="23">
        <v>3.8066410000000002E-2</v>
      </c>
      <c r="B1951" s="23">
        <f t="shared" si="60"/>
        <v>0.1102653</v>
      </c>
      <c r="C1951" s="24"/>
      <c r="D1951" s="24">
        <f t="shared" si="61"/>
        <v>31.689371069182393</v>
      </c>
      <c r="E1951" s="21"/>
      <c r="G1951" s="23">
        <v>-0.10077220000000001</v>
      </c>
      <c r="H1951" s="23">
        <v>0.1102653</v>
      </c>
    </row>
    <row r="1952" spans="1:8" x14ac:dyDescent="0.35">
      <c r="A1952" s="23">
        <v>3.8085939999999999E-2</v>
      </c>
      <c r="B1952" s="23">
        <f t="shared" si="60"/>
        <v>9.6647109999999994E-2</v>
      </c>
      <c r="C1952" s="24"/>
      <c r="D1952" s="24">
        <f t="shared" si="61"/>
        <v>25.773204402515724</v>
      </c>
      <c r="E1952" s="21"/>
      <c r="G1952" s="23">
        <v>-8.1958790000000004E-2</v>
      </c>
      <c r="H1952" s="23">
        <v>9.6647109999999994E-2</v>
      </c>
    </row>
    <row r="1953" spans="1:8" x14ac:dyDescent="0.35">
      <c r="A1953" s="23">
        <v>3.8105470000000002E-2</v>
      </c>
      <c r="B1953" s="23">
        <f t="shared" si="60"/>
        <v>8.2632120000000003E-2</v>
      </c>
      <c r="C1953" s="24"/>
      <c r="D1953" s="24">
        <f t="shared" si="61"/>
        <v>20.180361635220123</v>
      </c>
      <c r="E1953" s="21"/>
      <c r="G1953" s="23">
        <v>-6.4173549999999996E-2</v>
      </c>
      <c r="H1953" s="23">
        <v>8.2632120000000003E-2</v>
      </c>
    </row>
    <row r="1954" spans="1:8" x14ac:dyDescent="0.35">
      <c r="A1954" s="23">
        <v>3.8124999999999999E-2</v>
      </c>
      <c r="B1954" s="23">
        <f t="shared" si="60"/>
        <v>7.1871710000000005E-2</v>
      </c>
      <c r="C1954" s="24"/>
      <c r="D1954" s="24">
        <f t="shared" si="61"/>
        <v>14.352474842767295</v>
      </c>
      <c r="E1954" s="21"/>
      <c r="G1954" s="23">
        <v>-4.564087E-2</v>
      </c>
      <c r="H1954" s="23">
        <v>7.1871710000000005E-2</v>
      </c>
    </row>
    <row r="1955" spans="1:8" x14ac:dyDescent="0.35">
      <c r="A1955" s="23">
        <v>3.8144530000000003E-2</v>
      </c>
      <c r="B1955" s="23">
        <f t="shared" si="60"/>
        <v>5.9319379999999998E-2</v>
      </c>
      <c r="C1955" s="24"/>
      <c r="D1955" s="24">
        <f t="shared" si="61"/>
        <v>7.9499748427672943</v>
      </c>
      <c r="E1955" s="21"/>
      <c r="G1955" s="23">
        <v>-2.5280919999999998E-2</v>
      </c>
      <c r="H1955" s="23">
        <v>5.9319379999999998E-2</v>
      </c>
    </row>
    <row r="1956" spans="1:8" x14ac:dyDescent="0.35">
      <c r="A1956" s="23">
        <v>3.816406E-2</v>
      </c>
      <c r="B1956" s="23">
        <f t="shared" si="60"/>
        <v>4.4808880000000002E-2</v>
      </c>
      <c r="C1956" s="24"/>
      <c r="D1956" s="24">
        <f t="shared" si="61"/>
        <v>1.5347735849056603</v>
      </c>
      <c r="E1956" s="21"/>
      <c r="G1956" s="23">
        <v>-4.8805799999999998E-3</v>
      </c>
      <c r="H1956" s="23">
        <v>4.4808880000000002E-2</v>
      </c>
    </row>
    <row r="1957" spans="1:8" x14ac:dyDescent="0.35">
      <c r="A1957" s="23">
        <v>3.8183590000000003E-2</v>
      </c>
      <c r="B1957" s="23">
        <f t="shared" si="60"/>
        <v>2.8487100000000001E-2</v>
      </c>
      <c r="C1957" s="24"/>
      <c r="D1957" s="24">
        <f t="shared" si="61"/>
        <v>-4.6417893081760999</v>
      </c>
      <c r="E1957" s="21"/>
      <c r="G1957" s="23">
        <v>1.476089E-2</v>
      </c>
      <c r="H1957" s="23">
        <v>2.8487100000000001E-2</v>
      </c>
    </row>
    <row r="1958" spans="1:8" x14ac:dyDescent="0.35">
      <c r="A1958" s="23">
        <v>3.820312E-2</v>
      </c>
      <c r="B1958" s="23">
        <f t="shared" si="60"/>
        <v>1.2907409999999999E-2</v>
      </c>
      <c r="C1958" s="24"/>
      <c r="D1958" s="24">
        <f t="shared" si="61"/>
        <v>-10.885402515723269</v>
      </c>
      <c r="E1958" s="21"/>
      <c r="G1958" s="23">
        <v>3.461558E-2</v>
      </c>
      <c r="H1958" s="23">
        <v>1.2907409999999999E-2</v>
      </c>
    </row>
    <row r="1959" spans="1:8" x14ac:dyDescent="0.35">
      <c r="A1959" s="23">
        <v>3.8222659999999999E-2</v>
      </c>
      <c r="B1959" s="23">
        <f t="shared" si="60"/>
        <v>-2.2076890000000001E-3</v>
      </c>
      <c r="C1959" s="24"/>
      <c r="D1959" s="24">
        <f t="shared" si="61"/>
        <v>-17.259509433962265</v>
      </c>
      <c r="E1959" s="21"/>
      <c r="G1959" s="23">
        <v>5.4885240000000002E-2</v>
      </c>
      <c r="H1959" s="23">
        <v>-2.2076890000000001E-3</v>
      </c>
    </row>
    <row r="1960" spans="1:8" x14ac:dyDescent="0.35">
      <c r="A1960" s="23">
        <v>3.8242190000000002E-2</v>
      </c>
      <c r="B1960" s="23">
        <f t="shared" si="60"/>
        <v>-2.145702E-2</v>
      </c>
      <c r="C1960" s="24"/>
      <c r="D1960" s="24">
        <f t="shared" si="61"/>
        <v>-23.517003144654087</v>
      </c>
      <c r="E1960" s="21"/>
      <c r="G1960" s="23">
        <v>7.4784069999999994E-2</v>
      </c>
      <c r="H1960" s="23">
        <v>-2.145702E-2</v>
      </c>
    </row>
    <row r="1961" spans="1:8" x14ac:dyDescent="0.35">
      <c r="A1961" s="23">
        <v>3.8261719999999999E-2</v>
      </c>
      <c r="B1961" s="23">
        <f t="shared" si="60"/>
        <v>-3.9249300000000001E-2</v>
      </c>
      <c r="C1961" s="24"/>
      <c r="D1961" s="24">
        <f t="shared" si="61"/>
        <v>-29.083874213836474</v>
      </c>
      <c r="E1961" s="21"/>
      <c r="G1961" s="23">
        <v>9.2486719999999994E-2</v>
      </c>
      <c r="H1961" s="23">
        <v>-3.9249300000000001E-2</v>
      </c>
    </row>
    <row r="1962" spans="1:8" x14ac:dyDescent="0.35">
      <c r="A1962" s="23">
        <v>3.8281250000000003E-2</v>
      </c>
      <c r="B1962" s="23">
        <f t="shared" si="60"/>
        <v>-5.6973389999999999E-2</v>
      </c>
      <c r="C1962" s="24"/>
      <c r="D1962" s="24">
        <f t="shared" si="61"/>
        <v>-34.535408805031445</v>
      </c>
      <c r="E1962" s="21"/>
      <c r="G1962" s="23">
        <v>0.10982260000000001</v>
      </c>
      <c r="H1962" s="23">
        <v>-5.6973389999999999E-2</v>
      </c>
    </row>
    <row r="1963" spans="1:8" x14ac:dyDescent="0.35">
      <c r="A1963" s="23">
        <v>3.830078E-2</v>
      </c>
      <c r="B1963" s="23">
        <f t="shared" si="60"/>
        <v>-7.7920639999999999E-2</v>
      </c>
      <c r="C1963" s="24"/>
      <c r="D1963" s="24">
        <f t="shared" si="61"/>
        <v>-40.69012578616352</v>
      </c>
      <c r="E1963" s="21"/>
      <c r="G1963" s="23">
        <v>0.1293946</v>
      </c>
      <c r="H1963" s="23">
        <v>-7.7920639999999999E-2</v>
      </c>
    </row>
    <row r="1964" spans="1:8" x14ac:dyDescent="0.35">
      <c r="A1964" s="23">
        <v>3.8320310000000003E-2</v>
      </c>
      <c r="B1964" s="23">
        <f t="shared" si="60"/>
        <v>-9.74801E-2</v>
      </c>
      <c r="C1964" s="24"/>
      <c r="D1964" s="24">
        <f t="shared" si="61"/>
        <v>-46.517106918238994</v>
      </c>
      <c r="E1964" s="21"/>
      <c r="G1964" s="23">
        <v>0.14792440000000001</v>
      </c>
      <c r="H1964" s="23">
        <v>-9.74801E-2</v>
      </c>
    </row>
    <row r="1965" spans="1:8" x14ac:dyDescent="0.35">
      <c r="A1965" s="23">
        <v>3.833984E-2</v>
      </c>
      <c r="B1965" s="23">
        <f t="shared" si="60"/>
        <v>-0.115857</v>
      </c>
      <c r="C1965" s="24"/>
      <c r="D1965" s="24">
        <f t="shared" si="61"/>
        <v>-51.888899371069179</v>
      </c>
      <c r="E1965" s="21"/>
      <c r="G1965" s="23">
        <v>0.16500670000000001</v>
      </c>
      <c r="H1965" s="23">
        <v>-0.115857</v>
      </c>
    </row>
    <row r="1966" spans="1:8" x14ac:dyDescent="0.35">
      <c r="A1966" s="23">
        <v>3.8359379999999998E-2</v>
      </c>
      <c r="B1966" s="23">
        <f t="shared" si="60"/>
        <v>-0.1336948</v>
      </c>
      <c r="C1966" s="24"/>
      <c r="D1966" s="24">
        <f t="shared" si="61"/>
        <v>-57.339905660377354</v>
      </c>
      <c r="E1966" s="21"/>
      <c r="G1966" s="23">
        <v>0.1823409</v>
      </c>
      <c r="H1966" s="23">
        <v>-0.1336948</v>
      </c>
    </row>
    <row r="1967" spans="1:8" x14ac:dyDescent="0.35">
      <c r="A1967" s="23">
        <v>3.8378910000000002E-2</v>
      </c>
      <c r="B1967" s="23">
        <f t="shared" si="60"/>
        <v>-0.1507165</v>
      </c>
      <c r="C1967" s="24"/>
      <c r="D1967" s="24">
        <f t="shared" si="61"/>
        <v>-62.090974842767288</v>
      </c>
      <c r="E1967" s="21"/>
      <c r="G1967" s="23">
        <v>0.19744929999999999</v>
      </c>
      <c r="H1967" s="23">
        <v>-0.1507165</v>
      </c>
    </row>
    <row r="1968" spans="1:8" x14ac:dyDescent="0.35">
      <c r="A1968" s="23">
        <v>3.8398439999999999E-2</v>
      </c>
      <c r="B1968" s="23">
        <f t="shared" si="60"/>
        <v>-0.1661685</v>
      </c>
      <c r="C1968" s="24"/>
      <c r="D1968" s="24">
        <f t="shared" si="61"/>
        <v>-66.556729559748419</v>
      </c>
      <c r="E1968" s="21"/>
      <c r="G1968" s="23">
        <v>0.21165039999999999</v>
      </c>
      <c r="H1968" s="23">
        <v>-0.1661685</v>
      </c>
    </row>
    <row r="1969" spans="1:8" x14ac:dyDescent="0.35">
      <c r="A1969" s="23">
        <v>3.8417970000000003E-2</v>
      </c>
      <c r="B1969" s="23">
        <f t="shared" si="60"/>
        <v>-0.18078920000000001</v>
      </c>
      <c r="C1969" s="24"/>
      <c r="D1969" s="24">
        <f t="shared" si="61"/>
        <v>-71.593333333333334</v>
      </c>
      <c r="E1969" s="21"/>
      <c r="G1969" s="23">
        <v>0.2276668</v>
      </c>
      <c r="H1969" s="23">
        <v>-0.18078920000000001</v>
      </c>
    </row>
    <row r="1970" spans="1:8" x14ac:dyDescent="0.35">
      <c r="A1970" s="23">
        <v>3.8437499999999999E-2</v>
      </c>
      <c r="B1970" s="23">
        <f t="shared" si="60"/>
        <v>-0.19568640000000001</v>
      </c>
      <c r="C1970" s="24"/>
      <c r="D1970" s="24">
        <f t="shared" si="61"/>
        <v>-76.376603773584904</v>
      </c>
      <c r="E1970" s="21"/>
      <c r="G1970" s="23">
        <v>0.2428776</v>
      </c>
      <c r="H1970" s="23">
        <v>-0.19568640000000001</v>
      </c>
    </row>
    <row r="1971" spans="1:8" x14ac:dyDescent="0.35">
      <c r="A1971" s="23">
        <v>3.8457030000000003E-2</v>
      </c>
      <c r="B1971" s="23">
        <f t="shared" si="60"/>
        <v>-0.20740059999999999</v>
      </c>
      <c r="C1971" s="24"/>
      <c r="D1971" s="24">
        <f t="shared" si="61"/>
        <v>-80.317169811320738</v>
      </c>
      <c r="E1971" s="21"/>
      <c r="G1971" s="23">
        <v>0.25540859999999999</v>
      </c>
      <c r="H1971" s="23">
        <v>-0.20740059999999999</v>
      </c>
    </row>
    <row r="1972" spans="1:8" x14ac:dyDescent="0.35">
      <c r="A1972" s="23">
        <v>3.847656E-2</v>
      </c>
      <c r="B1972" s="23">
        <f t="shared" si="60"/>
        <v>-0.21642739999999999</v>
      </c>
      <c r="C1972" s="24"/>
      <c r="D1972" s="24">
        <f t="shared" si="61"/>
        <v>-83.680314465408784</v>
      </c>
      <c r="E1972" s="21"/>
      <c r="G1972" s="23">
        <v>0.26610339999999999</v>
      </c>
      <c r="H1972" s="23">
        <v>-0.21642739999999999</v>
      </c>
    </row>
    <row r="1973" spans="1:8" x14ac:dyDescent="0.35">
      <c r="A1973" s="23">
        <v>3.8496089999999997E-2</v>
      </c>
      <c r="B1973" s="23">
        <f t="shared" si="60"/>
        <v>-0.22594239999999999</v>
      </c>
      <c r="C1973" s="24"/>
      <c r="D1973" s="24">
        <f t="shared" si="61"/>
        <v>-87.123427672955955</v>
      </c>
      <c r="E1973" s="21"/>
      <c r="G1973" s="23">
        <v>0.27705249999999998</v>
      </c>
      <c r="H1973" s="23">
        <v>-0.22594239999999999</v>
      </c>
    </row>
    <row r="1974" spans="1:8" x14ac:dyDescent="0.35">
      <c r="A1974" s="23">
        <v>3.851562E-2</v>
      </c>
      <c r="B1974" s="23">
        <f t="shared" si="60"/>
        <v>-0.235596</v>
      </c>
      <c r="C1974" s="24"/>
      <c r="D1974" s="24">
        <f t="shared" si="61"/>
        <v>-90.607044025157236</v>
      </c>
      <c r="E1974" s="21"/>
      <c r="G1974" s="23">
        <v>0.28813040000000001</v>
      </c>
      <c r="H1974" s="23">
        <v>-0.235596</v>
      </c>
    </row>
    <row r="1975" spans="1:8" x14ac:dyDescent="0.35">
      <c r="A1975" s="23">
        <v>3.8535159999999999E-2</v>
      </c>
      <c r="B1975" s="23">
        <f t="shared" si="60"/>
        <v>-0.2431276</v>
      </c>
      <c r="C1975" s="24"/>
      <c r="D1975" s="24">
        <f t="shared" si="61"/>
        <v>-93.197327044025158</v>
      </c>
      <c r="E1975" s="21"/>
      <c r="G1975" s="23">
        <v>0.29636750000000001</v>
      </c>
      <c r="H1975" s="23">
        <v>-0.2431276</v>
      </c>
    </row>
    <row r="1976" spans="1:8" x14ac:dyDescent="0.35">
      <c r="A1976" s="23">
        <v>3.8554690000000003E-2</v>
      </c>
      <c r="B1976" s="23">
        <f t="shared" si="60"/>
        <v>-0.24928249999999999</v>
      </c>
      <c r="C1976" s="24"/>
      <c r="D1976" s="24">
        <f t="shared" si="61"/>
        <v>-95.558176100628927</v>
      </c>
      <c r="E1976" s="21"/>
      <c r="G1976" s="23">
        <v>0.30387500000000001</v>
      </c>
      <c r="H1976" s="23">
        <v>-0.24928249999999999</v>
      </c>
    </row>
    <row r="1977" spans="1:8" x14ac:dyDescent="0.35">
      <c r="A1977" s="23">
        <v>3.8574219999999999E-2</v>
      </c>
      <c r="B1977" s="23">
        <f t="shared" si="60"/>
        <v>-0.25690730000000001</v>
      </c>
      <c r="C1977" s="24"/>
      <c r="D1977" s="24">
        <f t="shared" si="61"/>
        <v>-98.173805031446534</v>
      </c>
      <c r="E1977" s="21"/>
      <c r="G1977" s="23">
        <v>0.31219269999999999</v>
      </c>
      <c r="H1977" s="23">
        <v>-0.25690730000000001</v>
      </c>
    </row>
    <row r="1978" spans="1:8" x14ac:dyDescent="0.35">
      <c r="A1978" s="23">
        <v>3.8593750000000003E-2</v>
      </c>
      <c r="B1978" s="23">
        <f t="shared" si="60"/>
        <v>-0.26287080000000002</v>
      </c>
      <c r="C1978" s="24"/>
      <c r="D1978" s="24">
        <f t="shared" si="61"/>
        <v>-100.03518867924528</v>
      </c>
      <c r="E1978" s="21"/>
      <c r="G1978" s="23">
        <v>0.3181119</v>
      </c>
      <c r="H1978" s="23">
        <v>-0.26287080000000002</v>
      </c>
    </row>
    <row r="1979" spans="1:8" x14ac:dyDescent="0.35">
      <c r="A1979" s="23">
        <v>3.861328E-2</v>
      </c>
      <c r="B1979" s="23">
        <f t="shared" si="60"/>
        <v>-0.2659049</v>
      </c>
      <c r="C1979" s="24"/>
      <c r="D1979" s="24">
        <f t="shared" si="61"/>
        <v>-101.26298742138364</v>
      </c>
      <c r="E1979" s="21"/>
      <c r="G1979" s="23">
        <v>0.32201629999999998</v>
      </c>
      <c r="H1979" s="23">
        <v>-0.2659049</v>
      </c>
    </row>
    <row r="1980" spans="1:8" x14ac:dyDescent="0.35">
      <c r="A1980" s="23">
        <v>3.8632809999999997E-2</v>
      </c>
      <c r="B1980" s="23">
        <f t="shared" si="60"/>
        <v>-0.2689725</v>
      </c>
      <c r="C1980" s="24"/>
      <c r="D1980" s="24">
        <f t="shared" si="61"/>
        <v>-102.17940251572327</v>
      </c>
      <c r="E1980" s="21"/>
      <c r="G1980" s="23">
        <v>0.32493050000000001</v>
      </c>
      <c r="H1980" s="23">
        <v>-0.2689725</v>
      </c>
    </row>
    <row r="1981" spans="1:8" x14ac:dyDescent="0.35">
      <c r="A1981" s="23">
        <v>3.865234E-2</v>
      </c>
      <c r="B1981" s="23">
        <f t="shared" si="60"/>
        <v>-0.27105889999999999</v>
      </c>
      <c r="C1981" s="24"/>
      <c r="D1981" s="24">
        <f t="shared" si="61"/>
        <v>-102.65597484276729</v>
      </c>
      <c r="E1981" s="21"/>
      <c r="G1981" s="23">
        <v>0.32644600000000001</v>
      </c>
      <c r="H1981" s="23">
        <v>-0.27105889999999999</v>
      </c>
    </row>
    <row r="1982" spans="1:8" x14ac:dyDescent="0.35">
      <c r="A1982" s="23">
        <v>3.8671879999999999E-2</v>
      </c>
      <c r="B1982" s="23">
        <f t="shared" si="60"/>
        <v>-0.27125460000000001</v>
      </c>
      <c r="C1982" s="24"/>
      <c r="D1982" s="24">
        <f t="shared" si="61"/>
        <v>-102.73971698113208</v>
      </c>
      <c r="E1982" s="21"/>
      <c r="G1982" s="23">
        <v>0.32671230000000001</v>
      </c>
      <c r="H1982" s="23">
        <v>-0.27125460000000001</v>
      </c>
    </row>
    <row r="1983" spans="1:8" x14ac:dyDescent="0.35">
      <c r="A1983" s="23">
        <v>3.8691410000000002E-2</v>
      </c>
      <c r="B1983" s="23">
        <f t="shared" si="60"/>
        <v>-0.27118409999999998</v>
      </c>
      <c r="C1983" s="24"/>
      <c r="D1983" s="24">
        <f t="shared" si="61"/>
        <v>-102.64103773584904</v>
      </c>
      <c r="E1983" s="21"/>
      <c r="G1983" s="23">
        <v>0.32639849999999998</v>
      </c>
      <c r="H1983" s="23">
        <v>-0.27118409999999998</v>
      </c>
    </row>
    <row r="1984" spans="1:8" x14ac:dyDescent="0.35">
      <c r="A1984" s="23">
        <v>3.8710939999999999E-2</v>
      </c>
      <c r="B1984" s="23">
        <f t="shared" si="60"/>
        <v>-0.27173370000000002</v>
      </c>
      <c r="C1984" s="24"/>
      <c r="D1984" s="24">
        <f t="shared" si="61"/>
        <v>-102.66443396226416</v>
      </c>
      <c r="E1984" s="21"/>
      <c r="G1984" s="23">
        <v>0.32647290000000001</v>
      </c>
      <c r="H1984" s="23">
        <v>-0.27173370000000002</v>
      </c>
    </row>
    <row r="1985" spans="1:8" x14ac:dyDescent="0.35">
      <c r="A1985" s="23">
        <v>3.8730470000000003E-2</v>
      </c>
      <c r="B1985" s="23">
        <f t="shared" si="60"/>
        <v>-0.27047529999999997</v>
      </c>
      <c r="C1985" s="24"/>
      <c r="D1985" s="24">
        <f t="shared" si="61"/>
        <v>-101.91317610062892</v>
      </c>
      <c r="E1985" s="21"/>
      <c r="G1985" s="23">
        <v>0.32408389999999998</v>
      </c>
      <c r="H1985" s="23">
        <v>-0.27047529999999997</v>
      </c>
    </row>
    <row r="1986" spans="1:8" x14ac:dyDescent="0.35">
      <c r="A1986" s="23">
        <v>3.875E-2</v>
      </c>
      <c r="B1986" s="23">
        <f t="shared" ref="B1986:B2001" si="62">H1986</f>
        <v>-0.26572970000000001</v>
      </c>
      <c r="C1986" s="24"/>
      <c r="D1986" s="24">
        <f t="shared" ref="D1986:D2001" si="63">G1986*-1000/3.18</f>
        <v>-99.933238993710702</v>
      </c>
      <c r="E1986" s="21"/>
      <c r="G1986" s="23">
        <v>0.31778770000000001</v>
      </c>
      <c r="H1986" s="23">
        <v>-0.26572970000000001</v>
      </c>
    </row>
    <row r="1987" spans="1:8" x14ac:dyDescent="0.35">
      <c r="A1987" s="23">
        <v>3.8769530000000003E-2</v>
      </c>
      <c r="B1987" s="23">
        <f t="shared" si="62"/>
        <v>-0.26092359999999998</v>
      </c>
      <c r="C1987" s="24"/>
      <c r="D1987" s="24">
        <f t="shared" si="63"/>
        <v>-97.997641509433961</v>
      </c>
      <c r="E1987" s="21"/>
      <c r="G1987" s="23">
        <v>0.31163249999999998</v>
      </c>
      <c r="H1987" s="23">
        <v>-0.26092359999999998</v>
      </c>
    </row>
    <row r="1988" spans="1:8" x14ac:dyDescent="0.35">
      <c r="A1988" s="23">
        <v>3.878906E-2</v>
      </c>
      <c r="B1988" s="23">
        <f t="shared" si="62"/>
        <v>-0.25714530000000002</v>
      </c>
      <c r="C1988" s="24"/>
      <c r="D1988" s="24">
        <f t="shared" si="63"/>
        <v>-96.184496855345898</v>
      </c>
      <c r="E1988" s="21"/>
      <c r="G1988" s="23">
        <v>0.30586669999999999</v>
      </c>
      <c r="H1988" s="23">
        <v>-0.25714530000000002</v>
      </c>
    </row>
    <row r="1989" spans="1:8" x14ac:dyDescent="0.35">
      <c r="A1989" s="23">
        <v>3.8808589999999997E-2</v>
      </c>
      <c r="B1989" s="23">
        <f t="shared" si="62"/>
        <v>-0.25145230000000002</v>
      </c>
      <c r="C1989" s="24"/>
      <c r="D1989" s="24">
        <f t="shared" si="63"/>
        <v>-93.614842767295599</v>
      </c>
      <c r="E1989" s="21"/>
      <c r="G1989" s="23">
        <v>0.29769519999999999</v>
      </c>
      <c r="H1989" s="23">
        <v>-0.25145230000000002</v>
      </c>
    </row>
    <row r="1990" spans="1:8" x14ac:dyDescent="0.35">
      <c r="A1990" s="23">
        <v>3.8828120000000001E-2</v>
      </c>
      <c r="B1990" s="23">
        <f t="shared" si="62"/>
        <v>-0.2447059</v>
      </c>
      <c r="C1990" s="24"/>
      <c r="D1990" s="24">
        <f t="shared" si="63"/>
        <v>-90.816603773584902</v>
      </c>
      <c r="E1990" s="21"/>
      <c r="G1990" s="23">
        <v>0.28879680000000002</v>
      </c>
      <c r="H1990" s="23">
        <v>-0.2447059</v>
      </c>
    </row>
    <row r="1991" spans="1:8" x14ac:dyDescent="0.35">
      <c r="A1991" s="23">
        <v>3.8847659999999999E-2</v>
      </c>
      <c r="B1991" s="23">
        <f t="shared" si="62"/>
        <v>-0.23835990000000001</v>
      </c>
      <c r="C1991" s="24"/>
      <c r="D1991" s="24">
        <f t="shared" si="63"/>
        <v>-87.95738993710691</v>
      </c>
      <c r="E1991" s="21"/>
      <c r="G1991" s="23">
        <v>0.27970450000000002</v>
      </c>
      <c r="H1991" s="23">
        <v>-0.23835990000000001</v>
      </c>
    </row>
    <row r="1992" spans="1:8" x14ac:dyDescent="0.35">
      <c r="A1992" s="23">
        <v>3.8867190000000003E-2</v>
      </c>
      <c r="B1992" s="23">
        <f t="shared" si="62"/>
        <v>-0.22980400000000001</v>
      </c>
      <c r="C1992" s="24"/>
      <c r="D1992" s="24">
        <f t="shared" si="63"/>
        <v>-84.181666666666658</v>
      </c>
      <c r="E1992" s="21"/>
      <c r="G1992" s="23">
        <v>0.26769769999999998</v>
      </c>
      <c r="H1992" s="23">
        <v>-0.22980400000000001</v>
      </c>
    </row>
    <row r="1993" spans="1:8" x14ac:dyDescent="0.35">
      <c r="A1993" s="23">
        <v>3.888672E-2</v>
      </c>
      <c r="B1993" s="23">
        <f t="shared" si="62"/>
        <v>-0.2189654</v>
      </c>
      <c r="C1993" s="24"/>
      <c r="D1993" s="24">
        <f t="shared" si="63"/>
        <v>-79.892201257861629</v>
      </c>
      <c r="E1993" s="21"/>
      <c r="G1993" s="23">
        <v>0.25405719999999998</v>
      </c>
      <c r="H1993" s="23">
        <v>-0.2189654</v>
      </c>
    </row>
    <row r="1994" spans="1:8" x14ac:dyDescent="0.35">
      <c r="A1994" s="23">
        <v>3.8906250000000003E-2</v>
      </c>
      <c r="B1994" s="23">
        <f t="shared" si="62"/>
        <v>-0.20855499999999999</v>
      </c>
      <c r="C1994" s="24"/>
      <c r="D1994" s="24">
        <f t="shared" si="63"/>
        <v>-75.640754716981121</v>
      </c>
      <c r="E1994" s="21"/>
      <c r="G1994" s="23">
        <v>0.24053759999999999</v>
      </c>
      <c r="H1994" s="23">
        <v>-0.20855499999999999</v>
      </c>
    </row>
    <row r="1995" spans="1:8" x14ac:dyDescent="0.35">
      <c r="A1995" s="23">
        <v>3.892578E-2</v>
      </c>
      <c r="B1995" s="23">
        <f t="shared" si="62"/>
        <v>-0.1984204</v>
      </c>
      <c r="C1995" s="24"/>
      <c r="D1995" s="24">
        <f t="shared" si="63"/>
        <v>-71.324496855345913</v>
      </c>
      <c r="E1995" s="21"/>
      <c r="G1995" s="23">
        <v>0.22681190000000001</v>
      </c>
      <c r="H1995" s="23">
        <v>-0.1984204</v>
      </c>
    </row>
    <row r="1996" spans="1:8" x14ac:dyDescent="0.35">
      <c r="A1996" s="23">
        <v>3.8945309999999997E-2</v>
      </c>
      <c r="B1996" s="23">
        <f t="shared" si="62"/>
        <v>-0.1872182</v>
      </c>
      <c r="C1996" s="24"/>
      <c r="D1996" s="24">
        <f t="shared" si="63"/>
        <v>-66.671006289308167</v>
      </c>
      <c r="E1996" s="21"/>
      <c r="G1996" s="23">
        <v>0.2120138</v>
      </c>
      <c r="H1996" s="23">
        <v>-0.1872182</v>
      </c>
    </row>
    <row r="1997" spans="1:8" x14ac:dyDescent="0.35">
      <c r="A1997" s="23">
        <v>3.8964840000000001E-2</v>
      </c>
      <c r="B1997" s="23">
        <f t="shared" si="62"/>
        <v>-0.17459959999999999</v>
      </c>
      <c r="C1997" s="24"/>
      <c r="D1997" s="24">
        <f t="shared" si="63"/>
        <v>-61.421446540880503</v>
      </c>
      <c r="E1997" s="21"/>
      <c r="G1997" s="23">
        <v>0.1953202</v>
      </c>
      <c r="H1997" s="23">
        <v>-0.17459959999999999</v>
      </c>
    </row>
    <row r="1998" spans="1:8" x14ac:dyDescent="0.35">
      <c r="A1998" s="23">
        <v>3.8984379999999999E-2</v>
      </c>
      <c r="B1998" s="23">
        <f t="shared" si="62"/>
        <v>-0.16124169999999999</v>
      </c>
      <c r="C1998" s="24"/>
      <c r="D1998" s="24">
        <f t="shared" si="63"/>
        <v>-56.12383647798741</v>
      </c>
      <c r="E1998" s="21"/>
      <c r="G1998" s="23">
        <v>0.17847379999999999</v>
      </c>
      <c r="H1998" s="23">
        <v>-0.16124169999999999</v>
      </c>
    </row>
    <row r="1999" spans="1:8" x14ac:dyDescent="0.35">
      <c r="A1999" s="23">
        <v>3.9003910000000003E-2</v>
      </c>
      <c r="B1999" s="23">
        <f t="shared" si="62"/>
        <v>-0.14704590000000001</v>
      </c>
      <c r="C1999" s="24"/>
      <c r="D1999" s="24">
        <f t="shared" si="63"/>
        <v>-50.366352201257854</v>
      </c>
      <c r="E1999" s="21"/>
      <c r="G1999" s="23">
        <v>0.160165</v>
      </c>
      <c r="H1999" s="23">
        <v>-0.14704590000000001</v>
      </c>
    </row>
    <row r="2000" spans="1:8" x14ac:dyDescent="0.35">
      <c r="A2000" s="23">
        <v>3.902344E-2</v>
      </c>
      <c r="B2000" s="23">
        <f t="shared" si="62"/>
        <v>-0.1312999</v>
      </c>
      <c r="C2000" s="24"/>
      <c r="D2000" s="24">
        <f t="shared" si="63"/>
        <v>-43.989213836477987</v>
      </c>
      <c r="E2000" s="21"/>
      <c r="G2000" s="23">
        <v>0.1398857</v>
      </c>
      <c r="H2000" s="23">
        <v>-0.1312999</v>
      </c>
    </row>
    <row r="2001" spans="1:8" x14ac:dyDescent="0.35">
      <c r="A2001" s="23">
        <v>3.9042970000000003E-2</v>
      </c>
      <c r="B2001" s="23">
        <f t="shared" si="62"/>
        <v>-0.11632679999999999</v>
      </c>
      <c r="C2001" s="24"/>
      <c r="D2001" s="24">
        <f t="shared" si="63"/>
        <v>-38.098207547169814</v>
      </c>
      <c r="E2001" s="21"/>
      <c r="G2001" s="23">
        <v>0.1211523</v>
      </c>
      <c r="H2001" s="23">
        <v>-0.11632679999999999</v>
      </c>
    </row>
    <row r="2002" spans="1:8" x14ac:dyDescent="0.35">
      <c r="A2002" s="23"/>
      <c r="B2002" s="23"/>
      <c r="C2002" s="24"/>
      <c r="D2002" s="24"/>
      <c r="E2002" s="21"/>
      <c r="G2002" s="23">
        <v>0.102394</v>
      </c>
      <c r="H2002" s="23">
        <v>-0.1019045</v>
      </c>
    </row>
    <row r="2003" spans="1:8" x14ac:dyDescent="0.35">
      <c r="A2003" s="23"/>
      <c r="B2003" s="23"/>
      <c r="C2003" s="24"/>
      <c r="D2003" s="24"/>
      <c r="E2003" s="21"/>
      <c r="G2003" s="23">
        <v>8.2250809999999994E-2</v>
      </c>
      <c r="H2003" s="23">
        <v>-8.543953E-2</v>
      </c>
    </row>
    <row r="2004" spans="1:8" x14ac:dyDescent="0.35">
      <c r="A2004" s="23"/>
      <c r="B2004" s="23"/>
      <c r="C2004" s="24"/>
      <c r="D2004" s="24"/>
      <c r="E2004" s="21"/>
      <c r="G2004" s="23">
        <v>6.1902270000000002E-2</v>
      </c>
      <c r="H2004" s="23">
        <v>-6.8977499999999997E-2</v>
      </c>
    </row>
    <row r="2005" spans="1:8" x14ac:dyDescent="0.35">
      <c r="A2005" s="23"/>
      <c r="B2005" s="23"/>
      <c r="C2005" s="24"/>
      <c r="D2005" s="24"/>
      <c r="E2005" s="21"/>
      <c r="G2005" s="23">
        <v>4.0918610000000001E-2</v>
      </c>
      <c r="H2005" s="23">
        <v>-5.3186780000000003E-2</v>
      </c>
    </row>
    <row r="2006" spans="1:8" x14ac:dyDescent="0.35">
      <c r="A2006" s="23"/>
      <c r="B2006" s="23"/>
      <c r="C2006" s="24"/>
      <c r="D2006" s="24"/>
      <c r="E2006" s="21"/>
      <c r="G2006" s="23">
        <v>2.0022229999999999E-2</v>
      </c>
      <c r="H2006" s="23">
        <v>-3.6681470000000001E-2</v>
      </c>
    </row>
    <row r="2007" spans="1:8" x14ac:dyDescent="0.35">
      <c r="A2007" s="23"/>
      <c r="B2007" s="23"/>
      <c r="C2007" s="24"/>
      <c r="D2007" s="24"/>
      <c r="E2007" s="21"/>
      <c r="G2007" s="23">
        <v>-8.5753800000000003E-4</v>
      </c>
      <c r="H2007" s="23">
        <v>-1.9989860000000002E-2</v>
      </c>
    </row>
    <row r="2008" spans="1:8" x14ac:dyDescent="0.35">
      <c r="A2008" s="23"/>
      <c r="B2008" s="23"/>
      <c r="C2008" s="24"/>
      <c r="D2008" s="24"/>
      <c r="E2008" s="21"/>
      <c r="G2008" s="23">
        <v>-2.1722129999999999E-2</v>
      </c>
      <c r="H2008" s="23">
        <v>-3.4388819999999999E-3</v>
      </c>
    </row>
    <row r="2009" spans="1:8" x14ac:dyDescent="0.35">
      <c r="A2009" s="23"/>
      <c r="B2009" s="23"/>
      <c r="C2009" s="24"/>
      <c r="D2009" s="24"/>
      <c r="E2009" s="21"/>
      <c r="G2009" s="23">
        <v>-4.1251490000000002E-2</v>
      </c>
      <c r="H2009" s="23">
        <v>1.2665249999999999E-2</v>
      </c>
    </row>
    <row r="2010" spans="1:8" x14ac:dyDescent="0.35">
      <c r="A2010" s="23"/>
      <c r="B2010" s="23"/>
      <c r="C2010" s="24"/>
      <c r="D2010" s="24"/>
      <c r="E2010" s="21"/>
      <c r="G2010" s="23">
        <v>-6.1315120000000001E-2</v>
      </c>
      <c r="H2010" s="23">
        <v>2.913458E-2</v>
      </c>
    </row>
    <row r="2011" spans="1:8" x14ac:dyDescent="0.35">
      <c r="A2011" s="23"/>
      <c r="B2011" s="23"/>
      <c r="C2011" s="24"/>
      <c r="D2011" s="24"/>
      <c r="E2011" s="21"/>
      <c r="G2011" s="23">
        <v>-8.2231109999999996E-2</v>
      </c>
      <c r="H2011" s="23">
        <v>4.5982040000000002E-2</v>
      </c>
    </row>
    <row r="2012" spans="1:8" x14ac:dyDescent="0.35">
      <c r="A2012" s="23"/>
      <c r="B2012" s="23"/>
      <c r="C2012" s="24"/>
      <c r="D2012" s="24"/>
      <c r="E2012" s="21"/>
      <c r="G2012" s="23">
        <v>-0.1015086</v>
      </c>
      <c r="H2012" s="23">
        <v>6.1411019999999997E-2</v>
      </c>
    </row>
    <row r="2013" spans="1:8" x14ac:dyDescent="0.35">
      <c r="A2013" s="23"/>
      <c r="B2013" s="23"/>
      <c r="C2013" s="24"/>
      <c r="D2013" s="24"/>
      <c r="E2013" s="21"/>
      <c r="G2013" s="23">
        <v>-0.1207044</v>
      </c>
      <c r="H2013" s="23">
        <v>7.6999330000000005E-2</v>
      </c>
    </row>
    <row r="2014" spans="1:8" x14ac:dyDescent="0.35">
      <c r="A2014" s="23"/>
      <c r="B2014" s="23"/>
      <c r="C2014" s="24"/>
      <c r="D2014" s="24"/>
      <c r="E2014" s="21"/>
      <c r="G2014" s="23">
        <v>-0.14016670000000001</v>
      </c>
      <c r="H2014" s="23">
        <v>9.3156020000000006E-2</v>
      </c>
    </row>
    <row r="2015" spans="1:8" x14ac:dyDescent="0.35">
      <c r="A2015" s="23"/>
      <c r="B2015" s="23"/>
      <c r="C2015" s="24"/>
      <c r="D2015" s="24"/>
      <c r="E2015" s="21"/>
      <c r="G2015" s="23">
        <v>-0.15791379999999999</v>
      </c>
      <c r="H2015" s="23">
        <v>0.10804900000000001</v>
      </c>
    </row>
    <row r="2016" spans="1:8" x14ac:dyDescent="0.35">
      <c r="A2016" s="23"/>
      <c r="B2016" s="23"/>
      <c r="C2016" s="24"/>
      <c r="D2016" s="24"/>
      <c r="E2016" s="21"/>
      <c r="G2016" s="23">
        <v>-0.17514750000000001</v>
      </c>
      <c r="H2016" s="23">
        <v>0.1224195</v>
      </c>
    </row>
    <row r="2017" spans="1:8" x14ac:dyDescent="0.35">
      <c r="A2017" s="23"/>
      <c r="B2017" s="23"/>
      <c r="C2017" s="24"/>
      <c r="D2017" s="24"/>
      <c r="E2017" s="21"/>
      <c r="G2017" s="23">
        <v>-0.1918097</v>
      </c>
      <c r="H2017" s="23">
        <v>0.13624449999999999</v>
      </c>
    </row>
    <row r="2018" spans="1:8" x14ac:dyDescent="0.35">
      <c r="A2018" s="23"/>
      <c r="B2018" s="23"/>
      <c r="C2018" s="24"/>
      <c r="D2018" s="24"/>
      <c r="E2018" s="21"/>
      <c r="G2018" s="23">
        <v>-0.20765400000000001</v>
      </c>
      <c r="H2018" s="23">
        <v>0.1495485</v>
      </c>
    </row>
    <row r="2019" spans="1:8" x14ac:dyDescent="0.35">
      <c r="A2019" s="23"/>
      <c r="B2019" s="23"/>
      <c r="C2019" s="24"/>
      <c r="D2019" s="24"/>
      <c r="E2019" s="21"/>
      <c r="G2019" s="23">
        <v>-0.22336710000000001</v>
      </c>
      <c r="H2019" s="23">
        <v>0.16255140000000001</v>
      </c>
    </row>
    <row r="2020" spans="1:8" x14ac:dyDescent="0.35">
      <c r="A2020" s="23"/>
      <c r="B2020" s="23"/>
      <c r="C2020" s="24"/>
      <c r="D2020" s="24"/>
      <c r="E2020" s="21"/>
      <c r="G2020" s="23">
        <v>-0.2371963</v>
      </c>
      <c r="H2020" s="23">
        <v>0.17402619999999999</v>
      </c>
    </row>
    <row r="2021" spans="1:8" x14ac:dyDescent="0.35">
      <c r="A2021" s="23"/>
      <c r="B2021" s="23"/>
      <c r="C2021" s="24"/>
      <c r="D2021" s="24"/>
      <c r="E2021" s="21"/>
      <c r="G2021" s="23">
        <v>-0.2497653</v>
      </c>
      <c r="H2021" s="23">
        <v>0.18465139999999999</v>
      </c>
    </row>
    <row r="2022" spans="1:8" x14ac:dyDescent="0.35">
      <c r="A2022" s="23"/>
      <c r="B2022" s="23"/>
      <c r="C2022" s="24"/>
      <c r="D2022" s="24"/>
      <c r="E2022" s="21"/>
      <c r="G2022" s="23">
        <v>-0.26223849999999999</v>
      </c>
      <c r="H2022" s="23">
        <v>0.19489960000000001</v>
      </c>
    </row>
    <row r="2023" spans="1:8" x14ac:dyDescent="0.35">
      <c r="A2023" s="23"/>
      <c r="B2023" s="23"/>
      <c r="C2023" s="24"/>
      <c r="D2023" s="24"/>
      <c r="E2023" s="21"/>
      <c r="G2023" s="23">
        <v>-0.2731962</v>
      </c>
      <c r="H2023" s="23">
        <v>0.20407320000000001</v>
      </c>
    </row>
    <row r="2024" spans="1:8" x14ac:dyDescent="0.35">
      <c r="A2024" s="23"/>
      <c r="B2024" s="23"/>
      <c r="C2024" s="24"/>
      <c r="D2024" s="24"/>
      <c r="E2024" s="21"/>
      <c r="G2024" s="23">
        <v>-0.28350049999999999</v>
      </c>
      <c r="H2024" s="23">
        <v>0.2129067</v>
      </c>
    </row>
    <row r="2025" spans="1:8" x14ac:dyDescent="0.35">
      <c r="A2025" s="23"/>
      <c r="B2025" s="23"/>
      <c r="C2025" s="24"/>
      <c r="D2025" s="24"/>
      <c r="E2025" s="21"/>
      <c r="G2025" s="23">
        <v>-0.29316599999999998</v>
      </c>
      <c r="H2025" s="23">
        <v>0.2209728</v>
      </c>
    </row>
    <row r="2026" spans="1:8" x14ac:dyDescent="0.35">
      <c r="A2026" s="23"/>
      <c r="B2026" s="23"/>
      <c r="C2026" s="24"/>
      <c r="D2026" s="24"/>
      <c r="E2026" s="21"/>
      <c r="G2026" s="23">
        <v>-0.30045240000000001</v>
      </c>
      <c r="H2026" s="23">
        <v>0.22714309999999999</v>
      </c>
    </row>
    <row r="2027" spans="1:8" x14ac:dyDescent="0.35">
      <c r="A2027" s="23"/>
      <c r="B2027" s="23"/>
      <c r="C2027" s="24"/>
      <c r="D2027" s="24"/>
      <c r="E2027" s="21"/>
      <c r="G2027" s="23">
        <v>-0.30682350000000003</v>
      </c>
      <c r="H2027" s="23">
        <v>0.23259669999999999</v>
      </c>
    </row>
    <row r="2028" spans="1:8" x14ac:dyDescent="0.35">
      <c r="A2028" s="23"/>
      <c r="B2028" s="23"/>
      <c r="C2028" s="24"/>
      <c r="D2028" s="24"/>
      <c r="E2028" s="21"/>
      <c r="G2028" s="23">
        <v>-0.31267109999999998</v>
      </c>
      <c r="H2028" s="23">
        <v>0.23774919999999999</v>
      </c>
    </row>
    <row r="2029" spans="1:8" x14ac:dyDescent="0.35">
      <c r="A2029" s="23"/>
      <c r="B2029" s="23"/>
      <c r="C2029" s="24"/>
      <c r="D2029" s="24"/>
      <c r="E2029" s="21"/>
      <c r="G2029" s="23">
        <v>-0.31693519999999997</v>
      </c>
      <c r="H2029" s="23">
        <v>0.24181459999999999</v>
      </c>
    </row>
    <row r="2030" spans="1:8" x14ac:dyDescent="0.35">
      <c r="A2030" s="23"/>
      <c r="B2030" s="23"/>
      <c r="C2030" s="24"/>
      <c r="D2030" s="24"/>
      <c r="E2030" s="21"/>
      <c r="G2030" s="23">
        <v>-0.3210326</v>
      </c>
      <c r="H2030" s="23">
        <v>0.2457308</v>
      </c>
    </row>
    <row r="2031" spans="1:8" x14ac:dyDescent="0.35">
      <c r="A2031" s="23"/>
      <c r="B2031" s="23"/>
      <c r="C2031" s="24"/>
      <c r="D2031" s="24"/>
      <c r="E2031" s="21"/>
      <c r="G2031" s="23">
        <v>-0.32413429999999999</v>
      </c>
      <c r="H2031" s="23">
        <v>0.24911730000000001</v>
      </c>
    </row>
    <row r="2032" spans="1:8" x14ac:dyDescent="0.35">
      <c r="A2032" s="23"/>
      <c r="B2032" s="23"/>
      <c r="C2032" s="24"/>
      <c r="D2032" s="24"/>
      <c r="E2032" s="21"/>
      <c r="G2032" s="23">
        <v>-0.324986</v>
      </c>
      <c r="H2032" s="23">
        <v>0.25067289999999998</v>
      </c>
    </row>
    <row r="2033" spans="1:8" x14ac:dyDescent="0.35">
      <c r="A2033" s="23"/>
      <c r="B2033" s="23"/>
      <c r="C2033" s="24"/>
      <c r="D2033" s="24"/>
      <c r="E2033" s="21"/>
      <c r="G2033" s="23">
        <v>-0.32483840000000003</v>
      </c>
      <c r="H2033" s="23">
        <v>0.25109720000000002</v>
      </c>
    </row>
    <row r="2034" spans="1:8" x14ac:dyDescent="0.35">
      <c r="A2034" s="23"/>
      <c r="B2034" s="23"/>
      <c r="C2034" s="24"/>
      <c r="D2034" s="24"/>
      <c r="E2034" s="21"/>
      <c r="G2034" s="23">
        <v>-0.32310640000000002</v>
      </c>
      <c r="H2034" s="23">
        <v>0.25098939999999997</v>
      </c>
    </row>
    <row r="2035" spans="1:8" x14ac:dyDescent="0.35">
      <c r="A2035" s="23"/>
      <c r="B2035" s="23"/>
      <c r="C2035" s="24"/>
      <c r="D2035" s="24"/>
      <c r="E2035" s="21"/>
      <c r="G2035" s="23">
        <v>-0.32011400000000001</v>
      </c>
      <c r="H2035" s="23">
        <v>0.25055470000000002</v>
      </c>
    </row>
    <row r="2036" spans="1:8" x14ac:dyDescent="0.35">
      <c r="A2036" s="23"/>
      <c r="B2036" s="23"/>
      <c r="C2036" s="24"/>
      <c r="D2036" s="24"/>
      <c r="E2036" s="21"/>
      <c r="G2036" s="23">
        <v>-0.31729770000000002</v>
      </c>
      <c r="H2036" s="23">
        <v>0.24982489999999999</v>
      </c>
    </row>
    <row r="2037" spans="1:8" x14ac:dyDescent="0.35">
      <c r="A2037" s="23"/>
      <c r="B2037" s="23"/>
      <c r="C2037" s="24"/>
      <c r="D2037" s="24"/>
      <c r="E2037" s="21"/>
      <c r="G2037" s="23">
        <v>-0.31362040000000002</v>
      </c>
      <c r="H2037" s="23">
        <v>0.24846119999999999</v>
      </c>
    </row>
    <row r="2038" spans="1:8" x14ac:dyDescent="0.35">
      <c r="A2038" s="23"/>
      <c r="B2038" s="23"/>
      <c r="C2038" s="24"/>
      <c r="D2038" s="24"/>
      <c r="E2038" s="21"/>
      <c r="G2038" s="23">
        <v>-0.30854189999999998</v>
      </c>
      <c r="H2038" s="23">
        <v>0.24637410000000001</v>
      </c>
    </row>
    <row r="2039" spans="1:8" x14ac:dyDescent="0.35">
      <c r="A2039" s="23"/>
      <c r="B2039" s="23"/>
      <c r="C2039" s="24"/>
      <c r="D2039" s="24"/>
      <c r="E2039" s="21"/>
      <c r="G2039" s="23">
        <v>-0.30173260000000002</v>
      </c>
      <c r="H2039" s="23">
        <v>0.24274970000000001</v>
      </c>
    </row>
    <row r="2040" spans="1:8" x14ac:dyDescent="0.35">
      <c r="A2040" s="23"/>
      <c r="B2040" s="23"/>
      <c r="C2040" s="24"/>
      <c r="D2040" s="24"/>
      <c r="E2040" s="21"/>
      <c r="G2040" s="23">
        <v>-0.2925548</v>
      </c>
      <c r="H2040" s="23">
        <v>0.23717050000000001</v>
      </c>
    </row>
    <row r="2041" spans="1:8" x14ac:dyDescent="0.35">
      <c r="A2041" s="23"/>
      <c r="B2041" s="23"/>
      <c r="C2041" s="24"/>
      <c r="D2041" s="24"/>
      <c r="E2041" s="21"/>
      <c r="G2041" s="23">
        <v>-0.28311219999999998</v>
      </c>
      <c r="H2041" s="23">
        <v>0.23190559999999999</v>
      </c>
    </row>
    <row r="2042" spans="1:8" x14ac:dyDescent="0.35">
      <c r="A2042" s="23"/>
      <c r="B2042" s="23"/>
      <c r="C2042" s="24"/>
      <c r="D2042" s="24"/>
      <c r="E2042" s="21"/>
      <c r="G2042" s="23">
        <v>-0.27431109999999997</v>
      </c>
      <c r="H2042" s="23">
        <v>0.22742280000000001</v>
      </c>
    </row>
    <row r="2043" spans="1:8" x14ac:dyDescent="0.35">
      <c r="A2043" s="23"/>
      <c r="B2043" s="23"/>
      <c r="C2043" s="24"/>
      <c r="D2043" s="24"/>
      <c r="E2043" s="21"/>
      <c r="G2043" s="23">
        <v>-0.26438529999999999</v>
      </c>
      <c r="H2043" s="23">
        <v>0.2207723</v>
      </c>
    </row>
    <row r="2044" spans="1:8" x14ac:dyDescent="0.35">
      <c r="A2044" s="23"/>
      <c r="B2044" s="23"/>
      <c r="C2044" s="24"/>
      <c r="D2044" s="24"/>
      <c r="E2044" s="21"/>
      <c r="G2044" s="23">
        <v>-0.25274740000000001</v>
      </c>
      <c r="H2044" s="23">
        <v>0.21264279999999999</v>
      </c>
    </row>
    <row r="2045" spans="1:8" x14ac:dyDescent="0.35">
      <c r="A2045" s="23"/>
      <c r="B2045" s="23"/>
      <c r="C2045" s="24"/>
      <c r="D2045" s="24"/>
      <c r="E2045" s="21"/>
      <c r="G2045" s="23">
        <v>-0.23957149999999999</v>
      </c>
      <c r="H2045" s="23">
        <v>0.20479800000000001</v>
      </c>
    </row>
    <row r="2046" spans="1:8" x14ac:dyDescent="0.35">
      <c r="A2046" s="23"/>
      <c r="B2046" s="23"/>
      <c r="C2046" s="24"/>
      <c r="D2046" s="24"/>
      <c r="E2046" s="21"/>
      <c r="G2046" s="23">
        <v>-0.22511709999999999</v>
      </c>
      <c r="H2046" s="23">
        <v>0.19519059999999999</v>
      </c>
    </row>
    <row r="2047" spans="1:8" x14ac:dyDescent="0.35">
      <c r="A2047" s="23"/>
      <c r="B2047" s="23"/>
      <c r="C2047" s="24"/>
      <c r="D2047" s="24"/>
      <c r="E2047" s="21"/>
      <c r="G2047" s="23">
        <v>-0.20978949999999999</v>
      </c>
      <c r="H2047" s="23">
        <v>0.183804</v>
      </c>
    </row>
    <row r="2048" spans="1:8" x14ac:dyDescent="0.35">
      <c r="A2048" s="23"/>
      <c r="B2048" s="23"/>
      <c r="C2048" s="24"/>
      <c r="D2048" s="24"/>
      <c r="E2048" s="21"/>
      <c r="G2048" s="23">
        <v>-0.19459109999999999</v>
      </c>
      <c r="H2048" s="23">
        <v>0.1734812</v>
      </c>
    </row>
    <row r="2049" spans="1:8" x14ac:dyDescent="0.35">
      <c r="A2049" s="23"/>
      <c r="B2049" s="23"/>
      <c r="C2049" s="24"/>
      <c r="D2049" s="24"/>
      <c r="E2049" s="21"/>
      <c r="G2049" s="23">
        <v>-0.17954139999999999</v>
      </c>
      <c r="H2049" s="23">
        <v>0.16523560000000001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2026-09-21T03:34:29Z</dcterms:modified>
</cp:coreProperties>
</file>